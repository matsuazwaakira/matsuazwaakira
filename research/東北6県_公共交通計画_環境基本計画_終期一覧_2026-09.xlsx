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s>
  <definedNames>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city.morioka.iwate.jp/_res/projects/default_project/_page_/001/043/162/R7honpen.pdf" TargetMode="External" Id="rId31" /><Relationship Type="http://schemas.openxmlformats.org/officeDocument/2006/relationships/hyperlink" Target="https://www.town.nishiwaga.lg.jp/material/files/group/1/2306nishiwagakotsukeikaku.pdf" TargetMode="External" Id="rId32" /><Relationship Type="http://schemas.openxmlformats.org/officeDocument/2006/relationships/hyperlink" Target="https://www.town.kanegasaki.iwate.jp/articles/2020032900015/file_contents/keikaku.pdf" TargetMode="External" Id="rId33" /><Relationship Type="http://schemas.openxmlformats.org/officeDocument/2006/relationships/hyperlink" Target="https://www.town.hiraizumi.iwate.jp/%E5%B9%B3%E6%B3%89%E7%94%BA%E5%9C%B0%E5%9F%9F%E5%85%AC%E5%85%B1%E4%BA%A4%E9%80%9A%E8%A8%88%E7%94%BB%E3%82%92%E7%AD%96%E5%AE%9A%E3%81%97%E3%81%BE%E3%81%97%E3%81%9F-25574/" TargetMode="External" Id="rId34" /><Relationship Type="http://schemas.openxmlformats.org/officeDocument/2006/relationships/hyperlink" Target="https://www.town.sumita.iwate.jp/docs/2025040400014/files/tiikikoukyoukoutuukeikaku2025.pdf" TargetMode="External" Id="rId35" /><Relationship Type="http://schemas.openxmlformats.org/officeDocument/2006/relationships/hyperlink" Target="https://www.town.sumita.iwate.jp/docs/2023061500010/files/04_dai4syou.pdf" TargetMode="External" Id="rId36" /><Relationship Type="http://schemas.openxmlformats.org/officeDocument/2006/relationships/hyperlink" Target="https://www.town.otsuchi.iwate.jp/fs/2/3/0/5/0/9/_/___________.pdf" TargetMode="External" Id="rId37" /><Relationship Type="http://schemas.openxmlformats.org/officeDocument/2006/relationships/hyperlink" Target="https://www.town.yamada.iwate.jp/fs/1/2/1/7/4/5/_/___________.pdf" TargetMode="External" Id="rId38" /><Relationship Type="http://schemas.openxmlformats.org/officeDocument/2006/relationships/hyperlink" Target="https://www.town.iwaizumi.lg.jp/docs/2024032500015/" TargetMode="External" Id="rId39" /><Relationship Type="http://schemas.openxmlformats.org/officeDocument/2006/relationships/hyperlink" Target="https://www.vill.tanohata.iwate.jp/bunya/keikaku/tanohata/" TargetMode="External" Id="rId40" /><Relationship Type="http://schemas.openxmlformats.org/officeDocument/2006/relationships/hyperlink" Target="https://www.vill.tanohata.iwate.jp/docs/2015081800027/" TargetMode="External" Id="rId41" /><Relationship Type="http://schemas.openxmlformats.org/officeDocument/2006/relationships/hyperlink" Target="https://vill.kunohe.iwate.jp/fs/9/5/9/5/_/%E4%B9%9D%E6%88%B8%E6%9D%91%E5%9C%B0%E5%9F%9F%E5%85%AC%E5%85%B1%E4%BA%A4%E9%80%9A%E8%A8%88%E7%94%BB.pdf" TargetMode="External" Id="rId42" /><Relationship Type="http://schemas.openxmlformats.org/officeDocument/2006/relationships/hyperlink" Target="https://www.town.hirono.iwate.jp/doc/2026070700013" TargetMode="External" Id="rId43"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uploaded/attachment/10172.pdf"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li/010/020/080/index.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020057/kurashi/kendo/kotsuseisaku/ykotsu_kasseikakyougikai.html"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pref.yamagata.jp/020057/kurashi/kendo/kotsuseisaku/ykotsu_kasseikakyougikai.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pref.yamagata.jp/020057/kurashi/kendo/kotsuseisaku/ykotsu_kasseikakyougikai.html"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pref.yamagata.jp/020057/kurashi/kendo/kotsuseisaku/ykotsu_kasseikakyougika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nihonmatsu.lg.jp/kurashi_tetsuduki/koutsu/page011927.html" TargetMode="External" Id="rId14" /><Relationship Type="http://schemas.openxmlformats.org/officeDocument/2006/relationships/hyperlink" Target="https://www.city.nihonmatsu.lg.jp/data/doc/1716164612_doc_33_0.pdf" TargetMode="External" Id="rId15" /><Relationship Type="http://schemas.openxmlformats.org/officeDocument/2006/relationships/hyperlink" Target="https://www.city.tamura.lg.jp/soshiki/1/assets/&#12304;set&#12305;&#30000;&#26449;&#24066;&#22320;&#22495;&#20844;&#20849;&#20132;&#36890;&#35336;&#30011;&#27010;&#35201;&#29256;2406&#25913;&#35330;.pdf" TargetMode="External" Id="rId16" /><Relationship Type="http://schemas.openxmlformats.org/officeDocument/2006/relationships/hyperlink" Target="https://www.city.minamisoma.lg.jp/material/files/group/3/202601281245.pdf" TargetMode="External" Id="rId17" /><Relationship Type="http://schemas.openxmlformats.org/officeDocument/2006/relationships/hyperlink" Target="https://www.city.minamisoma.lg.jp/material/files/group/3/20231024_co148.pdf" TargetMode="External" Id="rId18" /><Relationship Type="http://schemas.openxmlformats.org/officeDocument/2006/relationships/hyperlink" Target="https://www.city.fukushima-date.lg.jp/soshiki/86/47231.html" TargetMode="External" Id="rId19" /><Relationship Type="http://schemas.openxmlformats.org/officeDocument/2006/relationships/hyperlink" Target="https://www.city.fukushima-date.lg.jp/soshiki/86/47604.html" TargetMode="External" Id="rId20" /><Relationship Type="http://schemas.openxmlformats.org/officeDocument/2006/relationships/hyperlink" Target="https://www.city.motomiya.lg.jp/soshiki/10/tiikikoukyoukoutsuukeikaku.html" TargetMode="External" Id="rId21" /><Relationship Type="http://schemas.openxmlformats.org/officeDocument/2006/relationships/hyperlink" Target="https://www.vill.otama.fukushima.jp/gyousei_jouhou/keikaku/" TargetMode="External" Id="rId22" /><Relationship Type="http://schemas.openxmlformats.org/officeDocument/2006/relationships/hyperlink" Target="https://www.town.minamiaizu.lg.jp/official/soshikikarasagasu/sogoseisakuka/kakushukeikaku/1/3114.html" TargetMode="External" Id="rId23" /><Relationship Type="http://schemas.openxmlformats.org/officeDocument/2006/relationships/hyperlink" Target="https://www.town.minamiaizu.lg.jp/official/soshikikarasagasu/kankyosuidoka/kakushukeikaku/1/450.html" TargetMode="External" Id="rId24" /><Relationship Type="http://schemas.openxmlformats.org/officeDocument/2006/relationships/hyperlink" Target="https://www.pref.fukushima.lg.jp/sec/16005d/aizukeniki-keikaku-ribenkeikaku.html" TargetMode="External" Id="rId25" /><Relationship Type="http://schemas.openxmlformats.org/officeDocument/2006/relationships/hyperlink" Target="https://www.pref.fukushima.lg.jp/sec/16005d/aizukeniki-keikaku-ribenkeikaku.html" TargetMode="External" Id="rId26" /><Relationship Type="http://schemas.openxmlformats.org/officeDocument/2006/relationships/hyperlink" Target="https://www.pref.fukushima.lg.jp/sec/16005d/aizukeniki-keikaku-ribenkeikaku.html" TargetMode="External" Id="rId27" /><Relationship Type="http://schemas.openxmlformats.org/officeDocument/2006/relationships/hyperlink" Target="https://www.pref.fukushima.lg.jp/sec/16005d/aizukeniki-keikaku-ribenkeikaku.html" TargetMode="External" Id="rId28" /><Relationship Type="http://schemas.openxmlformats.org/officeDocument/2006/relationships/hyperlink" Target="https://www.vill.nishigo.fukushima.jp/material/files/group/3/koutsuukeikaku_soan_2026.pdf" TargetMode="External" Id="rId29" /><Relationship Type="http://schemas.openxmlformats.org/officeDocument/2006/relationships/hyperlink" Target="https://www.vill.nishigo.fukushima.jp/soshiki/kankyohozenka/kankyo_gomi/2/4547.html" TargetMode="External" Id="rId30" /><Relationship Type="http://schemas.openxmlformats.org/officeDocument/2006/relationships/hyperlink" Target="https://www.pref.fukushima.lg.jp/uploaded/attachment/622613.pdf" TargetMode="External" Id="rId31" /><Relationship Type="http://schemas.openxmlformats.org/officeDocument/2006/relationships/hyperlink" Target="https://www.pref.fukushima.lg.jp/uploaded/attachment/622613.pdf" TargetMode="External" Id="rId32" /><Relationship Type="http://schemas.openxmlformats.org/officeDocument/2006/relationships/hyperlink" Target="https://www.town.yabuki.fukushima.jp/page/page009573.html" TargetMode="External" Id="rId33" /><Relationship Type="http://schemas.openxmlformats.org/officeDocument/2006/relationships/hyperlink" Target="https://www.pref.fukushima.lg.jp/uploaded/attachment/622613.pdf" TargetMode="External" Id="rId34" /><Relationship Type="http://schemas.openxmlformats.org/officeDocument/2006/relationships/hyperlink" Target="https://www.town.tanagura.fukushima.jp/page/page001917.html"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pref.fukushima.lg.jp/uploaded/attachment/622613.pdf" TargetMode="External" Id="rId37" /><Relationship Type="http://schemas.openxmlformats.org/officeDocument/2006/relationships/hyperlink" Target="https://www.vill.samegawa.fukushima.jp/sp/page/page002592.html" TargetMode="External" Id="rId38" /><Relationship Type="http://schemas.openxmlformats.org/officeDocument/2006/relationships/hyperlink" Target="https://www.town.ishikawa.fukushima.jp/admin/project/03/24.html"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pref.fukushima.lg.jp/uploaded/attachment/622613.pdf" TargetMode="External" Id="rId41" /><Relationship Type="http://schemas.openxmlformats.org/officeDocument/2006/relationships/hyperlink" Target="https://www.pref.fukushima.lg.jp/uploaded/attachment/622613.pdf" TargetMode="External" Id="rId42" /><Relationship Type="http://schemas.openxmlformats.org/officeDocument/2006/relationships/hyperlink" Target="https://www.pref.fukushima.lg.jp/uploaded/attachment/622613.pdf" TargetMode="External" Id="rId43" /><Relationship Type="http://schemas.openxmlformats.org/officeDocument/2006/relationships/hyperlink" Target="https://www.pref.fukushima.lg.jp/sec/16005d/chiikikoukyoukasseikakyougikai.html" TargetMode="External" Id="rId44" /><Relationship Type="http://schemas.openxmlformats.org/officeDocument/2006/relationships/hyperlink" Target="https://www.pref.fukushima.lg.jp/sec/16005d/chiikikoukyoukasseikakyougikai.html" TargetMode="External" Id="rId45" /><Relationship Type="http://schemas.openxmlformats.org/officeDocument/2006/relationships/hyperlink" Target="https://www.pref.fukushima.lg.jp/sec/16005d/hinan-koutsuu-keikaku.html" TargetMode="External" Id="rId46" /><Relationship Type="http://schemas.openxmlformats.org/officeDocument/2006/relationships/hyperlink" Target="https://www.town.hirono.fukushima.jp/chousei/machidukuri/1003877/1005075.html" TargetMode="External" Id="rId47" /><Relationship Type="http://schemas.openxmlformats.org/officeDocument/2006/relationships/hyperlink" Target="https://www.pref.fukushima.lg.jp/sec/16005d/hinan-koutsuu-keikaku.html" TargetMode="External" Id="rId48" /><Relationship Type="http://schemas.openxmlformats.org/officeDocument/2006/relationships/hyperlink" Target="https://www.pref.fukushima.lg.jp/sec/16005d/hinan-koutsuu-keikaku.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pref.fukushima.lg.jp/sec/16005d/hinan-koutsuu-keikaku.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chiikikoukyoukasseikakyougikai.html" TargetMode="External" Id="rId55" /><Relationship Type="http://schemas.openxmlformats.org/officeDocument/2006/relationships/hyperlink" Target="https://www.pref.fukushima.lg.jp/sec/16005d/hinan-koutsuu-keikaku.html" TargetMode="External" Id="rId56" /></Relationships>
</file>

<file path=xl/worksheets/sheet1.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東北6県 地域公共交通計画・環境基本計画 終期一覧　集計・設定</t>
        </is>
      </c>
    </row>
    <row r="3">
      <c r="A3" s="2" t="inlineStr">
        <is>
          <t>■ 営業対象とする終期（令和年度）</t>
        </is>
      </c>
    </row>
    <row r="4">
      <c r="B4" s="3" t="inlineStr">
        <is>
          <t>下限</t>
        </is>
      </c>
      <c r="C4" s="4" t="n">
        <v>9</v>
      </c>
      <c r="D4" s="5" t="inlineStr">
        <is>
          <t>R8年度で終わる計画は作成中のため対象外（下限9）。数字を変えると全シートの判定が再計算されます。</t>
        </is>
      </c>
    </row>
    <row r="5">
      <c r="B5" s="3" t="inlineStr">
        <is>
          <t>上限</t>
        </is>
      </c>
      <c r="C5" s="4" t="n">
        <v>9</v>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2" t="inlineStr">
        <is>
          <t>合計</t>
        </is>
      </c>
      <c r="C15" s="2">
        <f>SUM(C9:C14)</f>
        <v/>
      </c>
      <c r="D15" s="2">
        <f>SUM(D9:D14)</f>
        <v/>
      </c>
      <c r="E15" s="2">
        <f>SUM(E9:E14)</f>
        <v/>
      </c>
      <c r="F15" s="2">
        <f>SUM(F9:F14)</f>
        <v/>
      </c>
      <c r="G15" s="2">
        <f>SUM(G9:G14)</f>
        <v/>
      </c>
      <c r="H15" s="2">
        <f>SUM(H9:H14)</f>
        <v/>
      </c>
      <c r="I15" s="2">
        <f>SUM(I9:I14)</f>
        <v/>
      </c>
    </row>
    <row r="17">
      <c r="A17" s="7" t="inlineStr">
        <is>
          <t>■ 判定の見方</t>
        </is>
      </c>
    </row>
    <row r="18">
      <c r="A18" s="8" t="inlineStr">
        <is>
          <t>◎ 営業：どちらかの計画の終期が対象年度（初期値R9）で、次の計画の作業は見つかっていない</t>
        </is>
      </c>
    </row>
    <row r="19">
      <c r="A19" s="8" t="inlineStr">
        <is>
          <t>△ 着手済・要確認：終期は対象年度だが、次期計画の策定業務委託やパブコメをすでに確認済。委託先が決まっている可能性が高い</t>
        </is>
      </c>
    </row>
    <row r="20">
      <c r="A20" s="8" t="inlineStr">
        <is>
          <t>？ 期間要確認：終期がわからないため判定できない</t>
        </is>
      </c>
    </row>
    <row r="21">
      <c r="A21" s="8" t="inlineStr">
        <is>
          <t>✕ 対象外：終期が対象年度の外（R8以前は作成中または終了、R10以降は先）、または新計画を策定済</t>
        </is>
      </c>
    </row>
    <row r="22">
      <c r="A22" s="8" t="inlineStr">
        <is>
          <t>－：その計画がない（環境基本計画を作っていない町村など）</t>
        </is>
      </c>
    </row>
    <row r="23">
      <c r="A23" s="8" t="inlineStr"/>
    </row>
    <row r="24">
      <c r="A24" s="7" t="inlineStr">
        <is>
          <t>■ 入力する列</t>
        </is>
      </c>
    </row>
    <row r="25">
      <c r="A25" s="8" t="inlineStr">
        <is>
          <t>各県シートの「終期(令和年度)」と「改定状況」（未確認／着手済／策定済／計画なし）を直すと、判定が自動で変わります。</t>
        </is>
      </c>
    </row>
    <row r="26">
      <c r="A26" s="8" t="inlineStr">
        <is>
          <t>「未確認」は、改定の動きが検索で見つからなかったという意味です。動きがないと確かめたわけではありません。</t>
        </is>
      </c>
    </row>
    <row r="27">
      <c r="A27" s="8" t="inlineStr">
        <is>
          <t>確度：確認済＝検索結果の本文に期間が書かれていた／推定＝策定時期などから推測（終期のセルは茶色の斜体）／不明＝確認できなかった</t>
        </is>
      </c>
    </row>
    <row r="28">
      <c r="A28" s="8" t="inlineStr"/>
    </row>
    <row r="29">
      <c r="A29" s="7" t="inlineStr">
        <is>
          <t>■ 国交省一覧との照合（T列）</t>
        </is>
      </c>
    </row>
    <row r="30">
      <c r="A30" s="8" t="inlineStr">
        <is>
          <t>国土交通省「地域公共交通計画の作成状況一覧」（令和8年5月末時点）と照合。掲載＝計画作成済み、期間満了＝一覧で灰色（計画期間が満了）。一覧には計画期間の記載がないため、終期は各計画書で確認。</t>
        </is>
      </c>
    </row>
    <row r="31">
      <c r="A31" s="8" t="inlineStr">
        <is>
          <t>【当方未把握】＝一覧には計画があるが本調査で計画書を特定できていない／【当方は計画あり】＝本調査では計画を把握したが一覧に未掲載（旧法計画・最近の策定・名称違いの可能性）。</t>
        </is>
      </c>
    </row>
    <row r="32">
      <c r="A32" s="8" t="inlineStr"/>
    </row>
    <row r="33">
      <c r="A33" s="7" t="inlineStr">
        <is>
          <t>■ 調査の方法と限界</t>
        </is>
      </c>
    </row>
    <row r="34">
      <c r="A34"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5">
      <c r="A35" s="8" t="inlineStr">
        <is>
          <t>2026年9月30日時点でWeb検索して調べました。自治体サイトやPDFを直接開けない環境だったため、期間は検索結果の本文・要約から取っています。</t>
        </is>
      </c>
    </row>
    <row r="36">
      <c r="A36" s="8" t="inlineStr">
        <is>
          <t>計画リンクはエビデンスとして検索結果に出たURLを載せています。営業に行く前に、リンク先の計画書で計画期間を確かめてください。特に「推定」「不明」の行は必ず確認してください。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青森県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青森市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c r="T4" s="11" t="inlineStr">
        <is>
          <t>掲載</t>
        </is>
      </c>
    </row>
    <row r="5">
      <c r="A5" s="11" t="n">
        <v>2</v>
      </c>
      <c r="B5" s="11" t="inlineStr">
        <is>
          <t>弘前市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c r="T5" s="11" t="inlineStr">
        <is>
          <t>掲載</t>
        </is>
      </c>
    </row>
    <row r="6">
      <c r="A6" s="11" t="n">
        <v>3</v>
      </c>
      <c r="B6" s="11" t="inlineStr">
        <is>
          <t>八戸市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c r="T6" s="17" t="inlineStr">
        <is>
          <t>掲載（広域：八戸圏域）／期間満了</t>
        </is>
      </c>
    </row>
    <row r="7">
      <c r="A7" s="11" t="n">
        <v>4</v>
      </c>
      <c r="B7" s="11" t="inlineStr">
        <is>
          <t>黒石市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t>
        </is>
      </c>
      <c r="S7" s="15" t="inlineStr">
        <is>
          <t>調査済</t>
        </is>
      </c>
      <c r="T7" s="11" t="inlineStr">
        <is>
          <t>掲載</t>
        </is>
      </c>
    </row>
    <row r="8">
      <c r="A8" s="11" t="n">
        <v>5</v>
      </c>
      <c r="B8" s="11" t="inlineStr">
        <is>
          <t>五所川原市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五所川原市地域公共交通計画</t>
        </is>
      </c>
      <c r="G8" s="11" t="inlineStr">
        <is>
          <t>R5〜R10</t>
        </is>
      </c>
      <c r="H8" s="13" t="n">
        <v>10</v>
      </c>
      <c r="I8" s="13" t="inlineStr">
        <is>
          <t>確認済</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t>
        </is>
      </c>
      <c r="S8" s="18" t="inlineStr">
        <is>
          <t>交通のみ調査</t>
        </is>
      </c>
      <c r="T8" s="11" t="inlineStr">
        <is>
          <t>掲載</t>
        </is>
      </c>
    </row>
    <row r="9">
      <c r="A9" s="11" t="n">
        <v>6</v>
      </c>
      <c r="B9" s="11" t="inlineStr">
        <is>
          <t>十和田市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未確認</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t>
        </is>
      </c>
      <c r="S9" s="18" t="inlineStr">
        <is>
          <t>交通のみ調査</t>
        </is>
      </c>
      <c r="T9" s="11" t="inlineStr">
        <is>
          <t>掲載</t>
        </is>
      </c>
    </row>
    <row r="10">
      <c r="A10" s="11" t="n">
        <v>7</v>
      </c>
      <c r="B10" s="11" t="inlineStr">
        <is>
          <t>三沢市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c r="T10" s="11" t="inlineStr">
        <is>
          <t>掲載</t>
        </is>
      </c>
    </row>
    <row r="11">
      <c r="A11" s="11" t="n">
        <v>8</v>
      </c>
      <c r="B11" s="11" t="inlineStr">
        <is>
          <t>むつ市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t>
        </is>
      </c>
      <c r="S11" s="18" t="inlineStr">
        <is>
          <t>交通のみ調査</t>
        </is>
      </c>
      <c r="T11" s="11" t="inlineStr">
        <is>
          <t>掲載（広域：下北地域）</t>
        </is>
      </c>
    </row>
    <row r="12">
      <c r="A12" s="11" t="n">
        <v>9</v>
      </c>
      <c r="B12" s="11" t="inlineStr">
        <is>
          <t>つがる市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t>
        </is>
      </c>
      <c r="S12" s="18" t="inlineStr">
        <is>
          <t>環境のみ調査</t>
        </is>
      </c>
      <c r="T12" s="11" t="inlineStr">
        <is>
          <t>未掲載</t>
        </is>
      </c>
    </row>
    <row r="13">
      <c r="A13" s="11" t="n">
        <v>10</v>
      </c>
      <c r="B13" s="11" t="inlineStr">
        <is>
          <t>平川市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c r="T13" s="11" t="inlineStr">
        <is>
          <t>掲載</t>
        </is>
      </c>
    </row>
    <row r="14">
      <c r="A14" s="11" t="n">
        <v>11</v>
      </c>
      <c r="B14" s="11" t="inlineStr">
        <is>
          <t>平内町</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未確認</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t>
        </is>
      </c>
      <c r="S14" s="18" t="inlineStr">
        <is>
          <t>交通のみ調査</t>
        </is>
      </c>
      <c r="T14" s="11" t="inlineStr">
        <is>
          <t>掲載</t>
        </is>
      </c>
    </row>
    <row r="15">
      <c r="A15" s="11" t="n">
        <v>12</v>
      </c>
      <c r="B15" s="11" t="inlineStr">
        <is>
          <t>今別町</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今別町地域公共交通計画</t>
        </is>
      </c>
      <c r="G15" s="11" t="inlineStr">
        <is>
          <t>R5〜R9</t>
        </is>
      </c>
      <c r="H15" s="16" t="n">
        <v>9</v>
      </c>
      <c r="I15" s="13" t="inlineStr">
        <is>
          <t>推定</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t>
        </is>
      </c>
      <c r="S15" s="18" t="inlineStr">
        <is>
          <t>交通のみ調査</t>
        </is>
      </c>
      <c r="T15" s="11" t="inlineStr">
        <is>
          <t>掲載</t>
        </is>
      </c>
    </row>
    <row r="16">
      <c r="A16" s="11" t="n">
        <v>13</v>
      </c>
      <c r="B16" s="11" t="inlineStr">
        <is>
          <t>蓬田村</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t>
        </is>
      </c>
      <c r="S16" s="18" t="inlineStr">
        <is>
          <t>未調査</t>
        </is>
      </c>
      <c r="T16" s="11" t="inlineStr">
        <is>
          <t>未掲載</t>
        </is>
      </c>
    </row>
    <row r="17">
      <c r="A17" s="11" t="n">
        <v>14</v>
      </c>
      <c r="B17" s="11" t="inlineStr">
        <is>
          <t>外ヶ浜町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t>
        </is>
      </c>
      <c r="S17" s="18" t="inlineStr">
        <is>
          <t>交通のみ調査</t>
        </is>
      </c>
      <c r="T17" s="11" t="inlineStr">
        <is>
          <t>掲載</t>
        </is>
      </c>
    </row>
    <row r="18">
      <c r="A18" s="11" t="n">
        <v>15</v>
      </c>
      <c r="B18" s="11" t="inlineStr">
        <is>
          <t>鰺ヶ沢町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未確認</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t>
        </is>
      </c>
      <c r="S18" s="18" t="inlineStr">
        <is>
          <t>交通のみ調査</t>
        </is>
      </c>
      <c r="T18" s="11" t="inlineStr">
        <is>
          <t>掲載</t>
        </is>
      </c>
    </row>
    <row r="19">
      <c r="A19" s="11" t="n">
        <v>16</v>
      </c>
      <c r="B19" s="11" t="inlineStr">
        <is>
          <t>深浦町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未確認</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t>
        </is>
      </c>
      <c r="S19" s="18" t="inlineStr">
        <is>
          <t>交通のみ調査</t>
        </is>
      </c>
      <c r="T19" s="11" t="inlineStr">
        <is>
          <t>掲載</t>
        </is>
      </c>
    </row>
    <row r="20">
      <c r="A20" s="11" t="n">
        <v>17</v>
      </c>
      <c r="B20" s="11" t="inlineStr">
        <is>
          <t>西目屋村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t>
        </is>
      </c>
      <c r="S20" s="18" t="inlineStr">
        <is>
          <t>未調査</t>
        </is>
      </c>
      <c r="T20" s="11" t="inlineStr">
        <is>
          <t>未掲載</t>
        </is>
      </c>
    </row>
    <row r="21">
      <c r="A21" s="11" t="n">
        <v>18</v>
      </c>
      <c r="B21" s="11" t="inlineStr">
        <is>
          <t>藤崎町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t>
        </is>
      </c>
      <c r="S21" s="18" t="inlineStr">
        <is>
          <t>未調査</t>
        </is>
      </c>
      <c r="T21" s="11" t="inlineStr">
        <is>
          <t>未掲載</t>
        </is>
      </c>
    </row>
    <row r="22">
      <c r="A22" s="11" t="n">
        <v>19</v>
      </c>
      <c r="B22" s="11" t="inlineStr">
        <is>
          <t>大鰐町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t>
        </is>
      </c>
      <c r="S22" s="18" t="inlineStr">
        <is>
          <t>交通のみ調査</t>
        </is>
      </c>
      <c r="T22" s="11" t="inlineStr">
        <is>
          <t>掲載</t>
        </is>
      </c>
    </row>
    <row r="23">
      <c r="A23" s="11" t="n">
        <v>20</v>
      </c>
      <c r="B23" s="11" t="inlineStr">
        <is>
          <t>田舎館村</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t>
        </is>
      </c>
      <c r="S23" s="18" t="inlineStr">
        <is>
          <t>未調査</t>
        </is>
      </c>
      <c r="T23" s="11" t="inlineStr">
        <is>
          <t>未掲載</t>
        </is>
      </c>
    </row>
    <row r="24">
      <c r="A24" s="11" t="n">
        <v>21</v>
      </c>
      <c r="B24" s="11" t="inlineStr">
        <is>
          <t>板柳町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t>
        </is>
      </c>
      <c r="S24" s="18" t="inlineStr">
        <is>
          <t>未調査</t>
        </is>
      </c>
      <c r="T24" s="11" t="inlineStr">
        <is>
          <t>未掲載</t>
        </is>
      </c>
    </row>
    <row r="25">
      <c r="A25" s="11" t="n">
        <v>22</v>
      </c>
      <c r="B25" s="11" t="inlineStr">
        <is>
          <t>鶴田町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t>
        </is>
      </c>
      <c r="S25" s="18" t="inlineStr">
        <is>
          <t>未調査</t>
        </is>
      </c>
      <c r="T25" s="11" t="inlineStr">
        <is>
          <t>未掲載</t>
        </is>
      </c>
    </row>
    <row r="26">
      <c r="A26" s="11" t="n">
        <v>23</v>
      </c>
      <c r="B26" s="11" t="inlineStr">
        <is>
          <t>中泊町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中泊町地域公共交通計画</t>
        </is>
      </c>
      <c r="G26" s="11" t="inlineStr">
        <is>
          <t>R5〜R9</t>
        </is>
      </c>
      <c r="H26" s="16" t="n">
        <v>9</v>
      </c>
      <c r="I26" s="13" t="inlineStr">
        <is>
          <t>推定</t>
        </is>
      </c>
      <c r="J26" s="13" t="inlineStr">
        <is>
          <t>未確認</t>
        </is>
      </c>
      <c r="K26" s="14" t="inlineStr">
        <is>
          <t>https://www.town.nakadomari.lg.jp/material/files/group/3/koutuukeikakur6.pdf</t>
        </is>
      </c>
      <c r="L26" s="11" t="n"/>
      <c r="M26" s="11" t="inlineStr">
        <is>
          <t>不明</t>
        </is>
      </c>
      <c r="N26" s="13" t="n"/>
      <c r="O26" s="13" t="inlineStr">
        <is>
          <t>不明</t>
        </is>
      </c>
      <c r="P26" s="13" t="inlineStr">
        <is>
          <t>未確認</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t>
        </is>
      </c>
      <c r="S26" s="18" t="inlineStr">
        <is>
          <t>交通のみ調査</t>
        </is>
      </c>
      <c r="T26" s="11" t="inlineStr">
        <is>
          <t>掲載</t>
        </is>
      </c>
    </row>
    <row r="27">
      <c r="A27" s="11" t="n">
        <v>24</v>
      </c>
      <c r="B27" s="11" t="inlineStr">
        <is>
          <t>野辺地町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t>
        </is>
      </c>
      <c r="S27" s="18" t="inlineStr">
        <is>
          <t>未調査</t>
        </is>
      </c>
      <c r="T27" s="11" t="inlineStr">
        <is>
          <t>未掲載</t>
        </is>
      </c>
    </row>
    <row r="28">
      <c r="A28" s="11" t="n">
        <v>25</v>
      </c>
      <c r="B28" s="11" t="inlineStr">
        <is>
          <t>七戸町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t>
        </is>
      </c>
      <c r="S28" s="18" t="inlineStr">
        <is>
          <t>交通のみ調査</t>
        </is>
      </c>
      <c r="T28" s="17" t="inlineStr">
        <is>
          <t>掲載／期間満了</t>
        </is>
      </c>
    </row>
    <row r="29">
      <c r="A29" s="11" t="n">
        <v>26</v>
      </c>
      <c r="B29" s="11" t="inlineStr">
        <is>
          <t>六戸町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t>
        </is>
      </c>
      <c r="S29" s="18" t="inlineStr">
        <is>
          <t>未調査</t>
        </is>
      </c>
      <c r="T29" s="11" t="inlineStr">
        <is>
          <t>未掲載</t>
        </is>
      </c>
    </row>
    <row r="30">
      <c r="A30" s="11" t="n">
        <v>27</v>
      </c>
      <c r="B30" s="11" t="inlineStr">
        <is>
          <t>横浜町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t>
        </is>
      </c>
      <c r="S30" s="18" t="inlineStr">
        <is>
          <t>未調査</t>
        </is>
      </c>
      <c r="T30" s="11" t="inlineStr">
        <is>
          <t>未掲載</t>
        </is>
      </c>
    </row>
    <row r="31">
      <c r="A31" s="11" t="n">
        <v>28</v>
      </c>
      <c r="B31" s="11" t="inlineStr">
        <is>
          <t>東北町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t>
        </is>
      </c>
      <c r="S31" s="18" t="inlineStr">
        <is>
          <t>未調査</t>
        </is>
      </c>
      <c r="T31" s="11" t="inlineStr">
        <is>
          <t>未掲載</t>
        </is>
      </c>
    </row>
    <row r="32">
      <c r="A32" s="11" t="n">
        <v>29</v>
      </c>
      <c r="B32" s="11" t="inlineStr">
        <is>
          <t>六ヶ所村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t>
        </is>
      </c>
      <c r="S32" s="18" t="inlineStr">
        <is>
          <t>交通のみ調査</t>
        </is>
      </c>
      <c r="T32" s="11" t="inlineStr">
        <is>
          <t>掲載</t>
        </is>
      </c>
    </row>
    <row r="33">
      <c r="A33" s="11" t="n">
        <v>30</v>
      </c>
      <c r="B33" s="11" t="inlineStr">
        <is>
          <t>おいらせ町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t>
        </is>
      </c>
      <c r="S33" s="18" t="inlineStr">
        <is>
          <t>交通のみ調査</t>
        </is>
      </c>
      <c r="T33" s="11" t="inlineStr">
        <is>
          <t>掲載（広域：八戸圏域）</t>
        </is>
      </c>
    </row>
    <row r="34">
      <c r="A34" s="11" t="n">
        <v>31</v>
      </c>
      <c r="B34" s="11" t="inlineStr">
        <is>
          <t>大間町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t>
        </is>
      </c>
      <c r="S34" s="18" t="inlineStr">
        <is>
          <t>交通のみ調査</t>
        </is>
      </c>
      <c r="T34" s="11" t="inlineStr">
        <is>
          <t>掲載（広域：下北地域）</t>
        </is>
      </c>
    </row>
    <row r="35">
      <c r="A35" s="11" t="n">
        <v>32</v>
      </c>
      <c r="B35" s="11" t="inlineStr">
        <is>
          <t>東通村</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t>
        </is>
      </c>
      <c r="S35" s="18" t="inlineStr">
        <is>
          <t>交通のみ調査</t>
        </is>
      </c>
      <c r="T35" s="11" t="inlineStr">
        <is>
          <t>掲載（広域：下北地域）</t>
        </is>
      </c>
    </row>
    <row r="36">
      <c r="A36" s="11" t="n">
        <v>33</v>
      </c>
      <c r="B36" s="11" t="inlineStr">
        <is>
          <t>風間浦村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t>
        </is>
      </c>
      <c r="S36" s="18" t="inlineStr">
        <is>
          <t>交通のみ調査</t>
        </is>
      </c>
      <c r="T36" s="11" t="inlineStr">
        <is>
          <t>掲載（広域：下北地域）</t>
        </is>
      </c>
    </row>
    <row r="37">
      <c r="A37" s="11" t="n">
        <v>34</v>
      </c>
      <c r="B37" s="11" t="inlineStr">
        <is>
          <t>佐井村</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t>
        </is>
      </c>
      <c r="S37" s="18" t="inlineStr">
        <is>
          <t>交通のみ調査</t>
        </is>
      </c>
      <c r="T37" s="11" t="inlineStr">
        <is>
          <t>掲載（広域：下北地域）</t>
        </is>
      </c>
    </row>
    <row r="38">
      <c r="A38" s="11" t="n">
        <v>35</v>
      </c>
      <c r="B38" s="11" t="inlineStr">
        <is>
          <t>三戸町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未確認</t>
        </is>
      </c>
      <c r="Q38" s="11" t="n"/>
      <c r="R38" s="11" t="inlineStr">
        <is>
          <t>交通計画は八戸圏域8市町村の圏域共同計画（R5〜R10）。環境基本計画・地球温暖化対策実行計画とも検索でヒットせず（地域再生計画・風力アセスのみ）。</t>
        </is>
      </c>
      <c r="S38" s="18" t="inlineStr">
        <is>
          <t>交通のみ調査</t>
        </is>
      </c>
      <c r="T38" s="11" t="inlineStr">
        <is>
          <t>掲載（広域：八戸圏域）</t>
        </is>
      </c>
    </row>
    <row r="39">
      <c r="A39" s="11" t="n">
        <v>36</v>
      </c>
      <c r="B39" s="11" t="inlineStr">
        <is>
          <t>五戸町</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未確認</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t>
        </is>
      </c>
      <c r="S39" s="18" t="inlineStr">
        <is>
          <t>交通のみ調査</t>
        </is>
      </c>
      <c r="T39" s="11" t="inlineStr">
        <is>
          <t>掲載（広域：八戸圏域）</t>
        </is>
      </c>
    </row>
    <row r="40">
      <c r="A40" s="11" t="n">
        <v>37</v>
      </c>
      <c r="B40" s="11" t="inlineStr">
        <is>
          <t>田子町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t>
        </is>
      </c>
      <c r="S40" s="18" t="inlineStr">
        <is>
          <t>交通のみ調査</t>
        </is>
      </c>
      <c r="T40" s="11" t="inlineStr">
        <is>
          <t>掲載（広域：八戸圏域）</t>
        </is>
      </c>
    </row>
    <row r="41">
      <c r="A41" s="11" t="n">
        <v>38</v>
      </c>
      <c r="B41" s="11" t="inlineStr">
        <is>
          <t>南部町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t>
        </is>
      </c>
      <c r="S41" s="18" t="inlineStr">
        <is>
          <t>交通のみ調査</t>
        </is>
      </c>
      <c r="T41" s="11" t="inlineStr">
        <is>
          <t>掲載（広域：八戸圏域）</t>
        </is>
      </c>
    </row>
    <row r="42">
      <c r="A42" s="11" t="n">
        <v>39</v>
      </c>
      <c r="B42" s="11" t="inlineStr">
        <is>
          <t>階上町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t>
        </is>
      </c>
      <c r="S42" s="18" t="inlineStr">
        <is>
          <t>交通のみ調査</t>
        </is>
      </c>
      <c r="T42" s="11" t="inlineStr">
        <is>
          <t>掲載（広域：八戸圏域）</t>
        </is>
      </c>
    </row>
    <row r="43">
      <c r="A43" s="11" t="n">
        <v>40</v>
      </c>
      <c r="B43" s="11" t="inlineStr">
        <is>
          <t>新郷村</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未確認</t>
        </is>
      </c>
      <c r="Q43" s="11" t="n"/>
      <c r="R43" s="11" t="inlineStr">
        <is>
          <t>交通計画は八戸圏域8市町村の圏域共同計画（R5〜R10）。環境基本計画・温暖化対策実行計画とも検索でヒットせず。</t>
        </is>
      </c>
      <c r="S43" s="18" t="inlineStr">
        <is>
          <t>交通のみ調査</t>
        </is>
      </c>
      <c r="T43" s="11" t="inlineStr">
        <is>
          <t>掲載（広域：八戸圏域）</t>
        </is>
      </c>
    </row>
  </sheetData>
  <autoFilter ref="A3:T43"/>
  <conditionalFormatting sqref="A4:T43">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岩手県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盛岡市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c r="T4" s="11" t="inlineStr">
        <is>
          <t>掲載（広域：盛岡市・滝沢市・矢巾町）</t>
        </is>
      </c>
    </row>
    <row r="5">
      <c r="A5" s="11" t="n">
        <v>2</v>
      </c>
      <c r="B5" s="11" t="inlineStr">
        <is>
          <t>宮古市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c r="T5" s="11" t="inlineStr">
        <is>
          <t>掲載（広域：三陸鉄道沿線地域等）</t>
        </is>
      </c>
    </row>
    <row r="6">
      <c r="A6" s="11" t="n">
        <v>3</v>
      </c>
      <c r="B6" s="11" t="inlineStr">
        <is>
          <t>大船渡市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c r="T6" s="11" t="inlineStr">
        <is>
          <t>掲載（広域：三陸鉄道沿線地域等）</t>
        </is>
      </c>
    </row>
    <row r="7">
      <c r="A7" s="11" t="n">
        <v>4</v>
      </c>
      <c r="B7" s="11" t="inlineStr">
        <is>
          <t>花巻市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c r="T7" s="11" t="inlineStr">
        <is>
          <t>掲載</t>
        </is>
      </c>
    </row>
    <row r="8">
      <c r="A8" s="11" t="n">
        <v>5</v>
      </c>
      <c r="B8" s="11" t="inlineStr">
        <is>
          <t>北上市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c r="T8" s="11" t="inlineStr">
        <is>
          <t>掲載</t>
        </is>
      </c>
    </row>
    <row r="9">
      <c r="A9" s="11" t="n">
        <v>6</v>
      </c>
      <c r="B9" s="11" t="inlineStr">
        <is>
          <t>久慈市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久慈市地域公共交通計画（R6.3策定）</t>
        </is>
      </c>
      <c r="G9" s="11" t="inlineStr">
        <is>
          <t>H30〜R9</t>
        </is>
      </c>
      <c r="H9" s="16" t="n">
        <v>9</v>
      </c>
      <c r="I9" s="13" t="inlineStr">
        <is>
          <t>推定</t>
        </is>
      </c>
      <c r="J9" s="13" t="inlineStr">
        <is>
          <t>未確認</t>
        </is>
      </c>
      <c r="K9" s="14" t="inlineStr">
        <is>
          <t>https://www.city.kuji.lg.jp/material/files/group/19/keikaku.pdf</t>
        </is>
      </c>
      <c r="L9" s="11" t="inlineStr">
        <is>
          <t>第2次久慈市環境基本計画</t>
        </is>
      </c>
      <c r="M9" s="11" t="inlineStr">
        <is>
          <t>10年計画（R3頃〜、終期未確認）</t>
        </is>
      </c>
      <c r="N9" s="13" t="n"/>
      <c r="O9" s="13" t="inlineStr">
        <is>
          <t>不明</t>
        </is>
      </c>
      <c r="P9" s="13" t="inlineStr">
        <is>
          <t>未確認</t>
        </is>
      </c>
      <c r="Q9" s="14" t="inlineStr">
        <is>
          <t>https://www.city.kuji.lg.jp/material/files/group/19/2021_kuji_kankyou_1.pdf</t>
        </is>
      </c>
      <c r="R9" s="11"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t>
        </is>
      </c>
      <c r="S9" s="15" t="inlineStr">
        <is>
          <t>調査済</t>
        </is>
      </c>
      <c r="T9" s="11" t="inlineStr">
        <is>
          <t>掲載（広域：三陸鉄道沿線地域等）</t>
        </is>
      </c>
    </row>
    <row r="10">
      <c r="A10" s="11" t="n">
        <v>7</v>
      </c>
      <c r="B10" s="11" t="inlineStr">
        <is>
          <t>遠野市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不明</t>
        </is>
      </c>
      <c r="N10" s="13" t="n"/>
      <c r="O10" s="13" t="inlineStr">
        <is>
          <t>不明</t>
        </is>
      </c>
      <c r="P10" s="13" t="inlineStr">
        <is>
          <t>未確認</t>
        </is>
      </c>
      <c r="Q10" s="14" t="inlineStr">
        <is>
          <t>https://www.city.tono.iwate.jp/index.cfm/45,34797,247,html</t>
        </is>
      </c>
      <c r="R10" s="11" t="inlineStr">
        <is>
          <t>交通：R7〜R12（R7年度開始の新計画）。環境：第5次計画を公開、期間は検索結果で未確認。</t>
        </is>
      </c>
      <c r="S10" s="15" t="inlineStr">
        <is>
          <t>調査済</t>
        </is>
      </c>
      <c r="T10" s="11" t="inlineStr">
        <is>
          <t>掲載</t>
        </is>
      </c>
    </row>
    <row r="11">
      <c r="A11" s="11" t="n">
        <v>8</v>
      </c>
      <c r="B11" s="11" t="inlineStr">
        <is>
          <t>一関市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c r="T11" s="11" t="inlineStr">
        <is>
          <t>掲載</t>
        </is>
      </c>
    </row>
    <row r="12">
      <c r="A12" s="11" t="n">
        <v>9</v>
      </c>
      <c r="B12" s="11" t="inlineStr">
        <is>
          <t>陸前高田市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c r="T12" s="11" t="inlineStr">
        <is>
          <t>掲載（広域：三陸鉄道沿線地域等）</t>
        </is>
      </c>
    </row>
    <row r="13">
      <c r="A13" s="11" t="n">
        <v>10</v>
      </c>
      <c r="B13" s="11" t="inlineStr">
        <is>
          <t>釜石市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c r="T13" s="11" t="inlineStr">
        <is>
          <t>掲載（広域：三陸鉄道沿線地域等）</t>
        </is>
      </c>
    </row>
    <row r="14">
      <c r="A14" s="11" t="n">
        <v>11</v>
      </c>
      <c r="B14" s="11" t="inlineStr">
        <is>
          <t>二戸市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c r="T14" s="11" t="inlineStr">
        <is>
          <t>掲載</t>
        </is>
      </c>
    </row>
    <row r="15">
      <c r="A15" s="11" t="n">
        <v>12</v>
      </c>
      <c r="B15" s="11" t="inlineStr">
        <is>
          <t>八幡平市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c r="T15" s="11" t="inlineStr">
        <is>
          <t>掲載</t>
        </is>
      </c>
    </row>
    <row r="16">
      <c r="A16" s="11" t="n">
        <v>13</v>
      </c>
      <c r="B16" s="11" t="inlineStr">
        <is>
          <t>奥州市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c r="T16" s="11" t="inlineStr">
        <is>
          <t>掲載</t>
        </is>
      </c>
    </row>
    <row r="17">
      <c r="A17" s="11" t="n">
        <v>14</v>
      </c>
      <c r="B17" s="11" t="inlineStr">
        <is>
          <t>滝沢市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c r="T17" s="11" t="inlineStr">
        <is>
          <t>掲載（広域：盛岡市・滝沢市・矢巾町）</t>
        </is>
      </c>
    </row>
    <row r="18">
      <c r="A18" s="11" t="n">
        <v>15</v>
      </c>
      <c r="B18" s="11" t="inlineStr">
        <is>
          <t>雫石町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R3〜（終期不明）</t>
        </is>
      </c>
      <c r="N18" s="13" t="n"/>
      <c r="O18" s="13" t="inlineStr">
        <is>
          <t>不明</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t>
        </is>
      </c>
      <c r="S18" s="15" t="inlineStr">
        <is>
          <t>調査済</t>
        </is>
      </c>
      <c r="T18" s="11" t="inlineStr">
        <is>
          <t>掲載</t>
        </is>
      </c>
    </row>
    <row r="19">
      <c r="A19" s="11" t="n">
        <v>16</v>
      </c>
      <c r="B19" s="11" t="inlineStr">
        <is>
          <t>葛巻町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8" t="inlineStr">
        <is>
          <t>環境のみ調査</t>
        </is>
      </c>
      <c r="T19" s="11" t="inlineStr">
        <is>
          <t>未掲載</t>
        </is>
      </c>
    </row>
    <row r="20">
      <c r="A20" s="11" t="n">
        <v>17</v>
      </c>
      <c r="B20" s="11" t="inlineStr">
        <is>
          <t>岩手町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c r="T20" s="11" t="inlineStr">
        <is>
          <t>掲載</t>
        </is>
      </c>
    </row>
    <row r="21">
      <c r="A21" s="11" t="n">
        <v>18</v>
      </c>
      <c r="B21" s="11" t="inlineStr">
        <is>
          <t>紫波町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紫波町環境・循環基本計画</t>
        </is>
      </c>
      <c r="M21" s="11" t="inlineStr">
        <is>
          <t>不明</t>
        </is>
      </c>
      <c r="N21" s="13" t="n"/>
      <c r="O21" s="13" t="inlineStr">
        <is>
          <t>不明</t>
        </is>
      </c>
      <c r="P21" s="13" t="inlineStr">
        <is>
          <t>未確認</t>
        </is>
      </c>
      <c r="Q21" s="11" t="n"/>
      <c r="R21" s="11" t="inlineStr">
        <is>
          <t>交通：R6.3策定、R6〜R10。環境：環境・循環基本計画（2021年関連）の存在は示唆されるが期間・URLは確認できず。</t>
        </is>
      </c>
      <c r="S21" s="15" t="inlineStr">
        <is>
          <t>調査済</t>
        </is>
      </c>
      <c r="T21" s="11" t="inlineStr">
        <is>
          <t>掲載</t>
        </is>
      </c>
    </row>
    <row r="22">
      <c r="A22" s="11" t="n">
        <v>19</v>
      </c>
      <c r="B22" s="11" t="inlineStr">
        <is>
          <t>矢巾町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c r="T22" s="11" t="inlineStr">
        <is>
          <t>掲載（広域：盛岡市・滝沢市・矢巾町）</t>
        </is>
      </c>
    </row>
    <row r="23">
      <c r="A23" s="11" t="n">
        <v>20</v>
      </c>
      <c r="B23" s="11" t="inlineStr">
        <is>
          <t>西和賀町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c r="T23" s="11" t="inlineStr">
        <is>
          <t>掲載</t>
        </is>
      </c>
    </row>
    <row r="24">
      <c r="A24" s="11" t="n">
        <v>21</v>
      </c>
      <c r="B24" s="11" t="inlineStr">
        <is>
          <t>金ケ崎町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c r="T24" s="11" t="inlineStr">
        <is>
          <t>掲載</t>
        </is>
      </c>
    </row>
    <row r="25">
      <c r="A25" s="11" t="n">
        <v>22</v>
      </c>
      <c r="B25" s="11" t="inlineStr">
        <is>
          <t>平泉町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c r="T25" s="11" t="inlineStr">
        <is>
          <t>掲載</t>
        </is>
      </c>
    </row>
    <row r="26">
      <c r="A26" s="11" t="n">
        <v>23</v>
      </c>
      <c r="B26" s="11" t="inlineStr">
        <is>
          <t>住田町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R5〜（終期不明）</t>
        </is>
      </c>
      <c r="N26" s="13" t="n"/>
      <c r="O26" s="13" t="inlineStr">
        <is>
          <t>不明</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t>
        </is>
      </c>
      <c r="S26" s="15" t="inlineStr">
        <is>
          <t>調査済</t>
        </is>
      </c>
      <c r="T26" s="11" t="inlineStr">
        <is>
          <t>掲載</t>
        </is>
      </c>
    </row>
    <row r="27">
      <c r="A27" s="11" t="n">
        <v>24</v>
      </c>
      <c r="B27" s="11" t="inlineStr">
        <is>
          <t>大槌町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c r="T27" s="11" t="inlineStr">
        <is>
          <t>掲載（広域：三陸鉄道沿線地域等）</t>
        </is>
      </c>
    </row>
    <row r="28">
      <c r="A28" s="11" t="n">
        <v>25</v>
      </c>
      <c r="B28" s="11" t="inlineStr">
        <is>
          <t>山田町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c r="T28" s="11" t="inlineStr">
        <is>
          <t>掲載（広域：三陸鉄道沿線地域等）</t>
        </is>
      </c>
    </row>
    <row r="29">
      <c r="A29" s="11" t="n">
        <v>26</v>
      </c>
      <c r="B29" s="11" t="inlineStr">
        <is>
          <t>岩泉町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c r="T29" s="11" t="inlineStr">
        <is>
          <t>掲載（広域：三陸鉄道沿線地域等）</t>
        </is>
      </c>
    </row>
    <row r="30">
      <c r="A30" s="11" t="n">
        <v>27</v>
      </c>
      <c r="B30" s="11" t="inlineStr">
        <is>
          <t>田野畑村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田野畑村環境基本計画（H16.11策定）</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t>
        </is>
      </c>
      <c r="S30" s="15" t="inlineStr">
        <is>
          <t>調査済</t>
        </is>
      </c>
      <c r="T30" s="11" t="inlineStr">
        <is>
          <t>掲載（広域：三陸鉄道沿線地域等）</t>
        </is>
      </c>
    </row>
    <row r="31">
      <c r="A31" s="11" t="n">
        <v>28</v>
      </c>
      <c r="B31" s="11" t="inlineStr">
        <is>
          <t>普代村</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計画なし</t>
        </is>
      </c>
      <c r="K31" s="11" t="n"/>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t>
        </is>
      </c>
      <c r="S31" s="18" t="inlineStr">
        <is>
          <t>環境のみ調査</t>
        </is>
      </c>
      <c r="T31" s="17" t="inlineStr">
        <is>
          <t>掲載（広域：三陸鉄道沿線地域等）【当方未把握】</t>
        </is>
      </c>
    </row>
    <row r="32">
      <c r="A32" s="11" t="n">
        <v>29</v>
      </c>
      <c r="B32" s="11" t="inlineStr">
        <is>
          <t>軽米町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8" t="inlineStr">
        <is>
          <t>環境のみ調査</t>
        </is>
      </c>
      <c r="T32" s="11" t="inlineStr">
        <is>
          <t>未掲載</t>
        </is>
      </c>
    </row>
    <row r="33">
      <c r="A33" s="11" t="n">
        <v>30</v>
      </c>
      <c r="B33" s="11" t="inlineStr">
        <is>
          <t>野田村</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計画なし</t>
        </is>
      </c>
      <c r="K33" s="11" t="n"/>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t>
        </is>
      </c>
      <c r="S33" s="18" t="inlineStr">
        <is>
          <t>環境のみ調査</t>
        </is>
      </c>
      <c r="T33" s="17" t="inlineStr">
        <is>
          <t>掲載（広域：三陸鉄道沿線地域等）【当方未把握】</t>
        </is>
      </c>
    </row>
    <row r="34">
      <c r="A34" s="11" t="n">
        <v>31</v>
      </c>
      <c r="B34" s="11" t="inlineStr">
        <is>
          <t>九戸村</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c r="T34" s="11" t="inlineStr">
        <is>
          <t>掲載</t>
        </is>
      </c>
    </row>
    <row r="35">
      <c r="A35" s="11" t="n">
        <v>32</v>
      </c>
      <c r="B35" s="11" t="inlineStr">
        <is>
          <t>洋野町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c r="T35" s="11" t="inlineStr">
        <is>
          <t>掲載（広域：三陸鉄道沿線地域等）</t>
        </is>
      </c>
    </row>
    <row r="36">
      <c r="A36" s="11" t="n">
        <v>33</v>
      </c>
      <c r="B36" s="11" t="inlineStr">
        <is>
          <t>一戸町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8" t="inlineStr">
        <is>
          <t>環境のみ調査</t>
        </is>
      </c>
      <c r="T36" s="11" t="inlineStr">
        <is>
          <t>未掲載</t>
        </is>
      </c>
    </row>
  </sheetData>
  <autoFilter ref="A3:T36"/>
  <conditionalFormatting sqref="A4:T36">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K22" r:id="rId31"/>
    <hyperlink xmlns:r="http://schemas.openxmlformats.org/officeDocument/2006/relationships" ref="K23" r:id="rId32"/>
    <hyperlink xmlns:r="http://schemas.openxmlformats.org/officeDocument/2006/relationships" ref="K24" r:id="rId33"/>
    <hyperlink xmlns:r="http://schemas.openxmlformats.org/officeDocument/2006/relationships" ref="K25" r:id="rId34"/>
    <hyperlink xmlns:r="http://schemas.openxmlformats.org/officeDocument/2006/relationships" ref="K26" r:id="rId35"/>
    <hyperlink xmlns:r="http://schemas.openxmlformats.org/officeDocument/2006/relationships" ref="Q26" r:id="rId36"/>
    <hyperlink xmlns:r="http://schemas.openxmlformats.org/officeDocument/2006/relationships" ref="K27" r:id="rId37"/>
    <hyperlink xmlns:r="http://schemas.openxmlformats.org/officeDocument/2006/relationships" ref="K28" r:id="rId38"/>
    <hyperlink xmlns:r="http://schemas.openxmlformats.org/officeDocument/2006/relationships" ref="K29" r:id="rId39"/>
    <hyperlink xmlns:r="http://schemas.openxmlformats.org/officeDocument/2006/relationships" ref="K30" r:id="rId40"/>
    <hyperlink xmlns:r="http://schemas.openxmlformats.org/officeDocument/2006/relationships" ref="Q30" r:id="rId41"/>
    <hyperlink xmlns:r="http://schemas.openxmlformats.org/officeDocument/2006/relationships" ref="K34" r:id="rId42"/>
    <hyperlink xmlns:r="http://schemas.openxmlformats.org/officeDocument/2006/relationships" ref="K35"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宮城県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仙台市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c r="T4" s="11" t="inlineStr">
        <is>
          <t>掲載</t>
        </is>
      </c>
    </row>
    <row r="5">
      <c r="A5" s="11" t="n">
        <v>2</v>
      </c>
      <c r="B5" s="11" t="inlineStr">
        <is>
          <t>石巻市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c r="T5" s="11" t="inlineStr">
        <is>
          <t>掲載</t>
        </is>
      </c>
    </row>
    <row r="6">
      <c r="A6" s="11" t="n">
        <v>3</v>
      </c>
      <c r="B6" s="11" t="inlineStr">
        <is>
          <t>塩竈市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8" t="inlineStr">
        <is>
          <t>環境のみ調査</t>
        </is>
      </c>
      <c r="T6" s="11" t="inlineStr">
        <is>
          <t>未掲載</t>
        </is>
      </c>
    </row>
    <row r="7">
      <c r="A7" s="11" t="n">
        <v>4</v>
      </c>
      <c r="B7" s="11" t="inlineStr">
        <is>
          <t>気仙沼市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t>
        </is>
      </c>
      <c r="S7" s="18" t="inlineStr">
        <is>
          <t>交通のみ調査</t>
        </is>
      </c>
      <c r="T7" s="11" t="inlineStr">
        <is>
          <t>掲載</t>
        </is>
      </c>
    </row>
    <row r="8">
      <c r="A8" s="11" t="n">
        <v>5</v>
      </c>
      <c r="B8" s="11" t="inlineStr">
        <is>
          <t>白石市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白石市地域公共交通計画</t>
        </is>
      </c>
      <c r="G8" s="11" t="inlineStr">
        <is>
          <t>R5〜R9（推定）</t>
        </is>
      </c>
      <c r="H8" s="13" t="n">
        <v>9</v>
      </c>
      <c r="I8" s="13" t="inlineStr">
        <is>
          <t>確認済</t>
        </is>
      </c>
      <c r="J8" s="13" t="inlineStr">
        <is>
          <t>着手済</t>
        </is>
      </c>
      <c r="K8" s="14" t="inlineStr">
        <is>
          <t>https://www.city.shiroishi.miyagi.jp/uploaded/attachment/22013.pdf</t>
        </is>
      </c>
      <c r="L8" s="11" t="inlineStr">
        <is>
          <t>第3次白石市環境基本計画</t>
        </is>
      </c>
      <c r="M8" s="11" t="inlineStr">
        <is>
          <t>不明（H31.4公表）</t>
        </is>
      </c>
      <c r="N8" s="13" t="n"/>
      <c r="O8" s="13" t="inlineStr">
        <is>
          <t>不明</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t>
        </is>
      </c>
      <c r="S8" s="15" t="inlineStr">
        <is>
          <t>調査済</t>
        </is>
      </c>
      <c r="T8" s="11" t="inlineStr">
        <is>
          <t>掲載</t>
        </is>
      </c>
    </row>
    <row r="9">
      <c r="A9" s="11" t="n">
        <v>6</v>
      </c>
      <c r="B9" s="11" t="inlineStr">
        <is>
          <t>名取市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不明（H30〜R1の2か年で策定）</t>
        </is>
      </c>
      <c r="N9" s="13" t="n"/>
      <c r="O9" s="13" t="inlineStr">
        <is>
          <t>不明</t>
        </is>
      </c>
      <c r="P9" s="13" t="inlineStr">
        <is>
          <t>未確認</t>
        </is>
      </c>
      <c r="Q9" s="14" t="inlineStr">
        <is>
          <t>https://www.city.natori.miyagi.jp/uploaded/attachment/10172.pdf</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t>
        </is>
      </c>
      <c r="S9" s="15" t="inlineStr">
        <is>
          <t>調査済</t>
        </is>
      </c>
      <c r="T9" s="11" t="inlineStr">
        <is>
          <t>掲載</t>
        </is>
      </c>
    </row>
    <row r="10">
      <c r="A10" s="11" t="n">
        <v>7</v>
      </c>
      <c r="B10" s="11" t="inlineStr">
        <is>
          <t>角田市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不明（R5策定）</t>
        </is>
      </c>
      <c r="N10" s="13" t="n"/>
      <c r="O10" s="13" t="inlineStr">
        <is>
          <t>不明</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t>
        </is>
      </c>
      <c r="S10" s="15" t="inlineStr">
        <is>
          <t>調査済</t>
        </is>
      </c>
      <c r="T10" s="11" t="inlineStr">
        <is>
          <t>掲載（広域：阿武隈急行線地域）</t>
        </is>
      </c>
    </row>
    <row r="11">
      <c r="A11" s="11" t="n">
        <v>8</v>
      </c>
      <c r="B11" s="11" t="inlineStr">
        <is>
          <t>多賀城市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c r="T11" s="11" t="inlineStr">
        <is>
          <t>掲載</t>
        </is>
      </c>
    </row>
    <row r="12">
      <c r="A12" s="11" t="n">
        <v>9</v>
      </c>
      <c r="B12" s="11" t="inlineStr">
        <is>
          <t>岩沼市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c r="T12" s="17" t="inlineStr">
        <is>
          <t>未掲載【当方は計画あり】</t>
        </is>
      </c>
    </row>
    <row r="13">
      <c r="A13" s="11" t="n">
        <v>10</v>
      </c>
      <c r="B13" s="11" t="inlineStr">
        <is>
          <t>登米市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c r="T13" s="11" t="inlineStr">
        <is>
          <t>掲載</t>
        </is>
      </c>
    </row>
    <row r="14">
      <c r="A14" s="11" t="n">
        <v>11</v>
      </c>
      <c r="B14" s="11" t="inlineStr">
        <is>
          <t>栗原市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不明</t>
        </is>
      </c>
      <c r="N14" s="13" t="n"/>
      <c r="O14" s="13" t="inlineStr">
        <is>
          <t>不明</t>
        </is>
      </c>
      <c r="P14" s="13" t="inlineStr">
        <is>
          <t>未確認</t>
        </is>
      </c>
      <c r="Q14" s="14" t="inlineStr">
        <is>
          <t>https://www.kuriharacity.jp/li/010/020/080/index.html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t>
        </is>
      </c>
      <c r="S14" s="15" t="inlineStr">
        <is>
          <t>調査済</t>
        </is>
      </c>
      <c r="T14" s="11" t="inlineStr">
        <is>
          <t>掲載</t>
        </is>
      </c>
    </row>
    <row r="15">
      <c r="A15" s="11" t="n">
        <v>12</v>
      </c>
      <c r="B15" s="11" t="inlineStr">
        <is>
          <t>東松島市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c r="T15" s="17" t="inlineStr">
        <is>
          <t>掲載／期間満了</t>
        </is>
      </c>
    </row>
    <row r="16">
      <c r="A16" s="11" t="n">
        <v>13</v>
      </c>
      <c r="B16" s="11" t="inlineStr">
        <is>
          <t>大崎市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c r="T16" s="11" t="inlineStr">
        <is>
          <t>掲載</t>
        </is>
      </c>
    </row>
    <row r="17">
      <c r="A17" s="11" t="n">
        <v>14</v>
      </c>
      <c r="B17" s="11" t="inlineStr">
        <is>
          <t>富谷市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t>
        </is>
      </c>
      <c r="S17" s="18" t="inlineStr">
        <is>
          <t>交通のみ調査</t>
        </is>
      </c>
      <c r="T17" s="11" t="inlineStr">
        <is>
          <t>掲載</t>
        </is>
      </c>
    </row>
    <row r="18">
      <c r="A18" s="11" t="n">
        <v>15</v>
      </c>
      <c r="B18" s="11" t="inlineStr">
        <is>
          <t>蔵王町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c r="T18" s="11" t="inlineStr">
        <is>
          <t>掲載</t>
        </is>
      </c>
    </row>
    <row r="19">
      <c r="A19" s="11" t="n">
        <v>16</v>
      </c>
      <c r="B19" s="11" t="inlineStr">
        <is>
          <t>七ヶ宿町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8" t="inlineStr">
        <is>
          <t>環境のみ調査</t>
        </is>
      </c>
      <c r="T19" s="11" t="inlineStr">
        <is>
          <t>未掲載</t>
        </is>
      </c>
    </row>
    <row r="20">
      <c r="A20" s="11" t="n">
        <v>17</v>
      </c>
      <c r="B20" s="11" t="inlineStr">
        <is>
          <t>大河原町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c r="T20" s="17" t="inlineStr">
        <is>
          <t>未掲載【当方は計画あり】</t>
        </is>
      </c>
    </row>
    <row r="21">
      <c r="A21" s="11" t="n">
        <v>18</v>
      </c>
      <c r="B21" s="11" t="inlineStr">
        <is>
          <t>村田町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8" t="inlineStr">
        <is>
          <t>環境のみ調査</t>
        </is>
      </c>
      <c r="T21" s="11" t="inlineStr">
        <is>
          <t>未掲載</t>
        </is>
      </c>
    </row>
    <row r="22">
      <c r="A22" s="11" t="n">
        <v>19</v>
      </c>
      <c r="B22" s="11" t="inlineStr">
        <is>
          <t>柴田町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c r="T22" s="11" t="inlineStr">
        <is>
          <t>掲載（広域：阿武隈急行線地域）</t>
        </is>
      </c>
    </row>
    <row r="23">
      <c r="A23" s="11" t="n">
        <v>20</v>
      </c>
      <c r="B23" s="11" t="inlineStr">
        <is>
          <t>川崎町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c r="T23" s="17" t="inlineStr">
        <is>
          <t>未掲載【当方は計画あり】</t>
        </is>
      </c>
    </row>
    <row r="24">
      <c r="A24" s="11" t="n">
        <v>21</v>
      </c>
      <c r="B24" s="11" t="inlineStr">
        <is>
          <t>丸森町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c r="T24" s="11" t="inlineStr">
        <is>
          <t>掲載（広域：阿武隈急行線地域）</t>
        </is>
      </c>
    </row>
    <row r="25">
      <c r="A25" s="11" t="n">
        <v>22</v>
      </c>
      <c r="B25" s="11" t="inlineStr">
        <is>
          <t>亘理町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t>
        </is>
      </c>
      <c r="S25" s="15" t="inlineStr">
        <is>
          <t>調査済</t>
        </is>
      </c>
      <c r="T25" s="11" t="inlineStr">
        <is>
          <t>掲載</t>
        </is>
      </c>
    </row>
    <row r="26">
      <c r="A26" s="11" t="n">
        <v>23</v>
      </c>
      <c r="B26" s="11" t="inlineStr">
        <is>
          <t>山元町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c r="T26" s="11" t="inlineStr">
        <is>
          <t>掲載</t>
        </is>
      </c>
    </row>
    <row r="27">
      <c r="A27" s="11" t="n">
        <v>24</v>
      </c>
      <c r="B27" s="11" t="inlineStr">
        <is>
          <t>松島町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計画なし</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t>
        </is>
      </c>
      <c r="S27" s="18" t="inlineStr">
        <is>
          <t>環境のみ調査</t>
        </is>
      </c>
      <c r="T27" s="17" t="inlineStr">
        <is>
          <t>掲載／期間満了【当方未把握】</t>
        </is>
      </c>
    </row>
    <row r="28">
      <c r="A28" s="11" t="n">
        <v>25</v>
      </c>
      <c r="B28" s="11" t="inlineStr">
        <is>
          <t>七ヶ浜町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8" t="inlineStr">
        <is>
          <t>環境のみ調査</t>
        </is>
      </c>
      <c r="T28" s="11" t="inlineStr">
        <is>
          <t>未掲載</t>
        </is>
      </c>
    </row>
    <row r="29">
      <c r="A29" s="11" t="n">
        <v>26</v>
      </c>
      <c r="B29" s="11" t="inlineStr">
        <is>
          <t>利府町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c r="T29" s="11" t="inlineStr">
        <is>
          <t>掲載</t>
        </is>
      </c>
    </row>
    <row r="30">
      <c r="A30" s="11" t="n">
        <v>27</v>
      </c>
      <c r="B30" s="11" t="inlineStr">
        <is>
          <t>大和町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c r="T30" s="11" t="inlineStr">
        <is>
          <t>掲載</t>
        </is>
      </c>
    </row>
    <row r="31">
      <c r="A31" s="11" t="n">
        <v>28</v>
      </c>
      <c r="B31" s="11" t="inlineStr">
        <is>
          <t>大郷町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t>
        </is>
      </c>
      <c r="S31" s="18" t="inlineStr">
        <is>
          <t>未調査</t>
        </is>
      </c>
      <c r="T31" s="11" t="inlineStr">
        <is>
          <t>未掲載</t>
        </is>
      </c>
    </row>
    <row r="32">
      <c r="A32" s="11" t="n">
        <v>29</v>
      </c>
      <c r="B32" s="11" t="inlineStr">
        <is>
          <t>大衡村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8" t="inlineStr">
        <is>
          <t>環境のみ調査</t>
        </is>
      </c>
      <c r="T32" s="11" t="inlineStr">
        <is>
          <t>未掲載</t>
        </is>
      </c>
    </row>
    <row r="33">
      <c r="A33" s="11" t="n">
        <v>30</v>
      </c>
      <c r="B33" s="11" t="inlineStr">
        <is>
          <t>色麻町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t>
        </is>
      </c>
      <c r="S33" s="18" t="inlineStr">
        <is>
          <t>未調査</t>
        </is>
      </c>
      <c r="T33" s="11" t="inlineStr">
        <is>
          <t>未掲載</t>
        </is>
      </c>
    </row>
    <row r="34">
      <c r="A34" s="11" t="n">
        <v>31</v>
      </c>
      <c r="B34" s="11" t="inlineStr">
        <is>
          <t>加美町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8" t="inlineStr">
        <is>
          <t>環境のみ調査</t>
        </is>
      </c>
      <c r="T34" s="11" t="inlineStr">
        <is>
          <t>未掲載</t>
        </is>
      </c>
    </row>
    <row r="35">
      <c r="A35" s="11" t="n">
        <v>32</v>
      </c>
      <c r="B35" s="11" t="inlineStr">
        <is>
          <t>涌谷町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c r="T35" s="11" t="inlineStr">
        <is>
          <t>掲載</t>
        </is>
      </c>
    </row>
    <row r="36">
      <c r="A36" s="11" t="n">
        <v>33</v>
      </c>
      <c r="B36" s="11" t="inlineStr">
        <is>
          <t>美里町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8" t="inlineStr">
        <is>
          <t>環境のみ調査</t>
        </is>
      </c>
      <c r="T36" s="11" t="inlineStr">
        <is>
          <t>未掲載</t>
        </is>
      </c>
    </row>
    <row r="37">
      <c r="A37" s="11" t="n">
        <v>34</v>
      </c>
      <c r="B37" s="11" t="inlineStr">
        <is>
          <t>女川町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c r="T37" s="11" t="inlineStr">
        <is>
          <t>掲載</t>
        </is>
      </c>
    </row>
    <row r="38">
      <c r="A38" s="11" t="n">
        <v>35</v>
      </c>
      <c r="B38" s="11" t="inlineStr">
        <is>
          <t>南三陸町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c r="T38" s="11" t="inlineStr">
        <is>
          <t>掲載</t>
        </is>
      </c>
    </row>
  </sheetData>
  <autoFilter ref="A3:T38"/>
  <conditionalFormatting sqref="A4:T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秋田県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秋田市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着手済</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5" t="inlineStr">
        <is>
          <t>調査済</t>
        </is>
      </c>
      <c r="T4" s="11" t="inlineStr">
        <is>
          <t>掲載</t>
        </is>
      </c>
    </row>
    <row r="5">
      <c r="A5" s="11" t="n">
        <v>2</v>
      </c>
      <c r="B5" s="11" t="inlineStr">
        <is>
          <t>能代市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5" t="inlineStr">
        <is>
          <t>調査済</t>
        </is>
      </c>
      <c r="T5" s="11" t="inlineStr">
        <is>
          <t>掲載</t>
        </is>
      </c>
    </row>
    <row r="6">
      <c r="A6" s="11" t="n">
        <v>3</v>
      </c>
      <c r="B6" s="11" t="inlineStr">
        <is>
          <t>横手市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c r="T6" s="11" t="inlineStr">
        <is>
          <t>掲載</t>
        </is>
      </c>
    </row>
    <row r="7">
      <c r="A7" s="11" t="n">
        <v>4</v>
      </c>
      <c r="B7" s="11" t="inlineStr">
        <is>
          <t>大館市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5" t="inlineStr">
        <is>
          <t>調査済</t>
        </is>
      </c>
      <c r="T7" s="11" t="inlineStr">
        <is>
          <t>掲載</t>
        </is>
      </c>
    </row>
    <row r="8">
      <c r="A8" s="11" t="n">
        <v>5</v>
      </c>
      <c r="B8" s="11" t="inlineStr">
        <is>
          <t>男鹿市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c r="T8" s="11" t="inlineStr">
        <is>
          <t>掲載</t>
        </is>
      </c>
    </row>
    <row r="9">
      <c r="A9" s="11" t="n">
        <v>6</v>
      </c>
      <c r="B9" s="11" t="inlineStr">
        <is>
          <t>湯沢市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c r="T9" s="11" t="inlineStr">
        <is>
          <t>掲載</t>
        </is>
      </c>
    </row>
    <row r="10">
      <c r="A10" s="11" t="n">
        <v>7</v>
      </c>
      <c r="B10" s="11" t="inlineStr">
        <is>
          <t>鹿角市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t>
        </is>
      </c>
      <c r="S10" s="15" t="inlineStr">
        <is>
          <t>調査済</t>
        </is>
      </c>
      <c r="T10" s="11" t="inlineStr">
        <is>
          <t>掲載</t>
        </is>
      </c>
    </row>
    <row r="11">
      <c r="A11" s="11" t="n">
        <v>8</v>
      </c>
      <c r="B11" s="11" t="inlineStr">
        <is>
          <t>由利本荘市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c r="T11" s="11" t="inlineStr">
        <is>
          <t>掲載</t>
        </is>
      </c>
    </row>
    <row r="12">
      <c r="A12" s="11" t="n">
        <v>9</v>
      </c>
      <c r="B12" s="11" t="inlineStr">
        <is>
          <t>潟上市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c r="T12" s="11" t="inlineStr">
        <is>
          <t>掲載</t>
        </is>
      </c>
    </row>
    <row r="13">
      <c r="A13" s="11" t="n">
        <v>10</v>
      </c>
      <c r="B13" s="11" t="inlineStr">
        <is>
          <t>大仙市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c r="T13" s="11" t="inlineStr">
        <is>
          <t>掲載</t>
        </is>
      </c>
    </row>
    <row r="14">
      <c r="A14" s="11" t="n">
        <v>11</v>
      </c>
      <c r="B14" s="11" t="inlineStr">
        <is>
          <t>北秋田市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〜R8（H28またはH29〜R8の10年間）</t>
        </is>
      </c>
      <c r="N14" s="13" t="n">
        <v>8</v>
      </c>
      <c r="O14" s="13" t="inlineStr">
        <is>
          <t>確認済</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5" t="inlineStr">
        <is>
          <t>調査済</t>
        </is>
      </c>
      <c r="T14" s="11" t="inlineStr">
        <is>
          <t>掲載</t>
        </is>
      </c>
    </row>
    <row r="15">
      <c r="A15" s="11" t="n">
        <v>12</v>
      </c>
      <c r="B15" s="11" t="inlineStr">
        <is>
          <t>にかほ市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c r="T15" s="11" t="inlineStr">
        <is>
          <t>掲載</t>
        </is>
      </c>
    </row>
    <row r="16">
      <c r="A16" s="11" t="n">
        <v>13</v>
      </c>
      <c r="B16" s="11" t="inlineStr">
        <is>
          <t>仙北市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c r="T16" s="11" t="inlineStr">
        <is>
          <t>掲載</t>
        </is>
      </c>
    </row>
    <row r="17">
      <c r="A17" s="11" t="n">
        <v>14</v>
      </c>
      <c r="B17" s="11" t="inlineStr">
        <is>
          <t>小坂町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c r="T17" s="11" t="inlineStr">
        <is>
          <t>掲載</t>
        </is>
      </c>
    </row>
    <row r="18">
      <c r="A18" s="11" t="n">
        <v>15</v>
      </c>
      <c r="B18" s="11" t="inlineStr">
        <is>
          <t>上小阿仁村</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8" s="18" t="inlineStr">
        <is>
          <t>未調査</t>
        </is>
      </c>
      <c r="T18" s="11" t="inlineStr">
        <is>
          <t>未掲載</t>
        </is>
      </c>
    </row>
    <row r="19">
      <c r="A19" s="11" t="n">
        <v>16</v>
      </c>
      <c r="B19" s="11" t="inlineStr">
        <is>
          <t>藤里町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9" s="15" t="inlineStr">
        <is>
          <t>調査済</t>
        </is>
      </c>
      <c r="T19" s="11" t="inlineStr">
        <is>
          <t>掲載</t>
        </is>
      </c>
    </row>
    <row r="20">
      <c r="A20" s="11" t="n">
        <v>17</v>
      </c>
      <c r="B20" s="11" t="inlineStr">
        <is>
          <t>三種町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c r="T20" s="11" t="inlineStr">
        <is>
          <t>掲載</t>
        </is>
      </c>
    </row>
    <row r="21">
      <c r="A21" s="11" t="n">
        <v>18</v>
      </c>
      <c r="B21" s="11" t="inlineStr">
        <is>
          <t>八峰町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8" t="inlineStr">
        <is>
          <t>環境のみ調査</t>
        </is>
      </c>
      <c r="T21" s="11" t="inlineStr">
        <is>
          <t>未掲載</t>
        </is>
      </c>
    </row>
    <row r="22">
      <c r="A22" s="11" t="n">
        <v>19</v>
      </c>
      <c r="B22" s="11" t="inlineStr">
        <is>
          <t>五城目町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5" t="inlineStr">
        <is>
          <t>調査済</t>
        </is>
      </c>
      <c r="T22" s="11" t="inlineStr">
        <is>
          <t>掲載（広域：南秋）</t>
        </is>
      </c>
    </row>
    <row r="23">
      <c r="A23" s="11" t="n">
        <v>20</v>
      </c>
      <c r="B23" s="11" t="inlineStr">
        <is>
          <t>八郎潟町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5" t="inlineStr">
        <is>
          <t>調査済</t>
        </is>
      </c>
      <c r="T23" s="11" t="inlineStr">
        <is>
          <t>掲載（広域：南秋）</t>
        </is>
      </c>
    </row>
    <row r="24">
      <c r="A24" s="11" t="n">
        <v>21</v>
      </c>
      <c r="B24" s="11" t="inlineStr">
        <is>
          <t>井川町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c r="T24" s="17" t="inlineStr">
        <is>
          <t>未掲載【当方は計画あり】</t>
        </is>
      </c>
    </row>
    <row r="25">
      <c r="A25" s="11" t="n">
        <v>22</v>
      </c>
      <c r="B25" s="11" t="inlineStr">
        <is>
          <t>大潟村</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5" t="inlineStr">
        <is>
          <t>調査済</t>
        </is>
      </c>
      <c r="T25" s="11" t="inlineStr">
        <is>
          <t>掲載（広域：南秋）</t>
        </is>
      </c>
    </row>
    <row r="26">
      <c r="A26" s="11" t="n">
        <v>23</v>
      </c>
      <c r="B26" s="11" t="inlineStr">
        <is>
          <t>美郷町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c r="T26" s="11" t="inlineStr">
        <is>
          <t>掲載</t>
        </is>
      </c>
    </row>
    <row r="27">
      <c r="A27" s="11" t="n">
        <v>24</v>
      </c>
      <c r="B27" s="11" t="inlineStr">
        <is>
          <t>羽後町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c r="T27" s="17" t="inlineStr">
        <is>
          <t>未掲載【当方は計画あり】</t>
        </is>
      </c>
    </row>
    <row r="28">
      <c r="A28" s="11" t="n">
        <v>25</v>
      </c>
      <c r="B28" s="11" t="inlineStr">
        <is>
          <t>東成瀬村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秋田県地域公共交通計画（県計画、村独自計画は見当たらず）</t>
        </is>
      </c>
      <c r="G28" s="11" t="inlineStr">
        <is>
          <t>R4〜R8</t>
        </is>
      </c>
      <c r="H28" s="13" t="n">
        <v>8</v>
      </c>
      <c r="I28" s="13" t="inlineStr">
        <is>
          <t>確認済</t>
        </is>
      </c>
      <c r="J28" s="13" t="inlineStr">
        <is>
          <t>未確認</t>
        </is>
      </c>
      <c r="K28" s="14" t="inlineStr">
        <is>
          <t>https://www.pref.akita.lg.jp/uploads/public/archive_0000062825_00/観スポ_所管事項関連　別冊２（秋田県地域公共交通計画（案）について）.pdf</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8" s="15" t="inlineStr">
        <is>
          <t>調査済</t>
        </is>
      </c>
      <c r="T28" s="11" t="inlineStr">
        <is>
          <t>掲載</t>
        </is>
      </c>
    </row>
  </sheetData>
  <autoFilter ref="A3:T28"/>
  <conditionalFormatting sqref="A4:T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山形県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山形市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c r="T4" s="11" t="inlineStr">
        <is>
          <t>掲載</t>
        </is>
      </c>
    </row>
    <row r="5">
      <c r="A5" s="11" t="n">
        <v>2</v>
      </c>
      <c r="B5" s="11" t="inlineStr">
        <is>
          <t>米沢市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c r="T5" s="11" t="inlineStr">
        <is>
          <t>掲載</t>
        </is>
      </c>
    </row>
    <row r="6">
      <c r="A6" s="11" t="n">
        <v>3</v>
      </c>
      <c r="B6" s="11" t="inlineStr">
        <is>
          <t>鶴岡市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c r="T6" s="11" t="inlineStr">
        <is>
          <t>掲載</t>
        </is>
      </c>
    </row>
    <row r="7">
      <c r="A7" s="11" t="n">
        <v>4</v>
      </c>
      <c r="B7" s="11" t="inlineStr">
        <is>
          <t>酒田市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c r="T7" s="11" t="inlineStr">
        <is>
          <t>掲載</t>
        </is>
      </c>
    </row>
    <row r="8">
      <c r="A8" s="11" t="n">
        <v>5</v>
      </c>
      <c r="B8" s="11" t="inlineStr">
        <is>
          <t>新庄市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山形県地域公共交通計画（県・市町村共同、次期計画R8.3.27策定）</t>
        </is>
      </c>
      <c r="G8" s="11" t="inlineStr">
        <is>
          <t>R8〜不明</t>
        </is>
      </c>
      <c r="H8" s="16" t="n"/>
      <c r="I8" s="13" t="inlineStr">
        <is>
          <t>推定</t>
        </is>
      </c>
      <c r="J8" s="13" t="inlineStr">
        <is>
          <t>策定済</t>
        </is>
      </c>
      <c r="K8" s="14" t="inlineStr">
        <is>
          <t>https://www.pref.yamagata.jp/020057/kurashi/kendo/kotsuseisaku/ykotsu_kasseikakyougikai.html</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t>
        </is>
      </c>
      <c r="S8" s="15" t="inlineStr">
        <is>
          <t>調査済</t>
        </is>
      </c>
      <c r="T8" s="17" t="inlineStr">
        <is>
          <t>掲載／期間満了</t>
        </is>
      </c>
    </row>
    <row r="9">
      <c r="A9" s="11" t="n">
        <v>6</v>
      </c>
      <c r="B9" s="11" t="inlineStr">
        <is>
          <t>寒河江市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不明</t>
        </is>
      </c>
      <c r="N9" s="13" t="n"/>
      <c r="O9" s="13" t="inlineStr">
        <is>
          <t>不明</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t>
        </is>
      </c>
      <c r="S9" s="15" t="inlineStr">
        <is>
          <t>調査済</t>
        </is>
      </c>
      <c r="T9" s="17" t="inlineStr">
        <is>
          <t>未掲載【当方は計画あり】</t>
        </is>
      </c>
    </row>
    <row r="10">
      <c r="A10" s="11" t="n">
        <v>7</v>
      </c>
      <c r="B10" s="11" t="inlineStr">
        <is>
          <t>上山市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c r="T10" s="17" t="inlineStr">
        <is>
          <t>未掲載【当方は計画あり】</t>
        </is>
      </c>
    </row>
    <row r="11">
      <c r="A11" s="11" t="n">
        <v>8</v>
      </c>
      <c r="B11" s="11" t="inlineStr">
        <is>
          <t>村山市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5" t="inlineStr">
        <is>
          <t>調査済</t>
        </is>
      </c>
      <c r="T11" s="17" t="inlineStr">
        <is>
          <t>未掲載【当方は計画あり】</t>
        </is>
      </c>
    </row>
    <row r="12">
      <c r="A12" s="11" t="n">
        <v>9</v>
      </c>
      <c r="B12" s="11" t="inlineStr">
        <is>
          <t>長井市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c r="T12" s="11" t="inlineStr">
        <is>
          <t>掲載（広域：フラワー長井線沿線）</t>
        </is>
      </c>
    </row>
    <row r="13">
      <c r="A13" s="11" t="n">
        <v>10</v>
      </c>
      <c r="B13" s="11" t="inlineStr">
        <is>
          <t>天童市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c r="T13" s="17" t="inlineStr">
        <is>
          <t>未掲載【当方は計画あり】</t>
        </is>
      </c>
    </row>
    <row r="14">
      <c r="A14" s="11" t="n">
        <v>11</v>
      </c>
      <c r="B14" s="11" t="inlineStr">
        <is>
          <t>東根市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R5〜不明</t>
        </is>
      </c>
      <c r="N14" s="16" t="n"/>
      <c r="O14" s="13" t="inlineStr">
        <is>
          <t>推定</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t>
        </is>
      </c>
      <c r="S14" s="15" t="inlineStr">
        <is>
          <t>調査済</t>
        </is>
      </c>
      <c r="T14" s="17" t="inlineStr">
        <is>
          <t>未掲載【当方は計画あり】</t>
        </is>
      </c>
    </row>
    <row r="15">
      <c r="A15" s="11" t="n">
        <v>12</v>
      </c>
      <c r="B15" s="11" t="inlineStr">
        <is>
          <t>尾花沢市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c r="T15" s="17" t="inlineStr">
        <is>
          <t>未掲載【当方は計画あり】</t>
        </is>
      </c>
    </row>
    <row r="16">
      <c r="A16" s="11" t="n">
        <v>13</v>
      </c>
      <c r="B16" s="11" t="inlineStr">
        <is>
          <t>南陽市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c r="T16" s="11" t="inlineStr">
        <is>
          <t>掲載（広域：フラワー長井線沿線）</t>
        </is>
      </c>
    </row>
    <row r="17">
      <c r="A17" s="11" t="n">
        <v>14</v>
      </c>
      <c r="B17" s="11" t="inlineStr">
        <is>
          <t>山辺町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c r="T17" s="17" t="inlineStr">
        <is>
          <t>未掲載【当方は計画あり】</t>
        </is>
      </c>
    </row>
    <row r="18">
      <c r="A18" s="11" t="n">
        <v>15</v>
      </c>
      <c r="B18" s="11" t="inlineStr">
        <is>
          <t>中山町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c r="T18" s="17" t="inlineStr">
        <is>
          <t>未掲載【当方は計画あり】</t>
        </is>
      </c>
    </row>
    <row r="19">
      <c r="A19" s="11" t="n">
        <v>16</v>
      </c>
      <c r="B19" s="11" t="inlineStr">
        <is>
          <t>河北町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c r="T19" s="11" t="inlineStr">
        <is>
          <t>掲載</t>
        </is>
      </c>
    </row>
    <row r="20">
      <c r="A20" s="11" t="n">
        <v>17</v>
      </c>
      <c r="B20" s="11" t="inlineStr">
        <is>
          <t>西川町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c r="T20" s="11" t="inlineStr">
        <is>
          <t>掲載</t>
        </is>
      </c>
    </row>
    <row r="21">
      <c r="A21" s="11" t="n">
        <v>18</v>
      </c>
      <c r="B21" s="11" t="inlineStr">
        <is>
          <t>朝日町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6" t="n">
        <v>9</v>
      </c>
      <c r="O21" s="13" t="inlineStr">
        <is>
          <t>推定</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5" t="inlineStr">
        <is>
          <t>調査済</t>
        </is>
      </c>
      <c r="T21" s="17" t="inlineStr">
        <is>
          <t>未掲載【当方は計画あり】</t>
        </is>
      </c>
    </row>
    <row r="22">
      <c r="A22" s="11" t="n">
        <v>19</v>
      </c>
      <c r="B22" s="11" t="inlineStr">
        <is>
          <t>大江町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c r="T22" s="17" t="inlineStr">
        <is>
          <t>未掲載【当方は計画あり】</t>
        </is>
      </c>
    </row>
    <row r="23">
      <c r="A23" s="11" t="n">
        <v>20</v>
      </c>
      <c r="B23" s="11" t="inlineStr">
        <is>
          <t>大石田町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c r="T23" s="17" t="inlineStr">
        <is>
          <t>未掲載【当方は計画あり】</t>
        </is>
      </c>
    </row>
    <row r="24">
      <c r="A24" s="11" t="n">
        <v>21</v>
      </c>
      <c r="B24" s="11" t="inlineStr">
        <is>
          <t>金山町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c r="T24" s="17" t="inlineStr">
        <is>
          <t>未掲載【当方は計画あり】</t>
        </is>
      </c>
    </row>
    <row r="25">
      <c r="A25" s="11" t="n">
        <v>22</v>
      </c>
      <c r="B25" s="11" t="inlineStr">
        <is>
          <t>最上町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c r="T25" s="17" t="inlineStr">
        <is>
          <t>未掲載【当方は計画あり】</t>
        </is>
      </c>
    </row>
    <row r="26">
      <c r="A26" s="11" t="n">
        <v>23</v>
      </c>
      <c r="B26" s="11" t="inlineStr">
        <is>
          <t>舟形町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c r="T26" s="17" t="inlineStr">
        <is>
          <t>未掲載【当方は計画あり】</t>
        </is>
      </c>
    </row>
    <row r="27">
      <c r="A27" s="11" t="n">
        <v>24</v>
      </c>
      <c r="B27" s="11" t="inlineStr">
        <is>
          <t>真室川町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c r="T27" s="17" t="inlineStr">
        <is>
          <t>未掲載【当方は計画あり】</t>
        </is>
      </c>
    </row>
    <row r="28">
      <c r="A28" s="11" t="n">
        <v>25</v>
      </c>
      <c r="B28" s="11" t="inlineStr">
        <is>
          <t>大蔵村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c r="T28" s="17" t="inlineStr">
        <is>
          <t>未掲載【当方は計画あり】</t>
        </is>
      </c>
    </row>
    <row r="29">
      <c r="A29" s="11" t="n">
        <v>26</v>
      </c>
      <c r="B29" s="11" t="inlineStr">
        <is>
          <t>鮭川村</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c r="T29" s="17" t="inlineStr">
        <is>
          <t>未掲載【当方は計画あり】</t>
        </is>
      </c>
    </row>
    <row r="30">
      <c r="A30" s="11" t="n">
        <v>27</v>
      </c>
      <c r="B30" s="11" t="inlineStr">
        <is>
          <t>戸沢村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c r="T30" s="17" t="inlineStr">
        <is>
          <t>未掲載【当方は計画あり】</t>
        </is>
      </c>
    </row>
    <row r="31">
      <c r="A31" s="11" t="n">
        <v>28</v>
      </c>
      <c r="B31" s="11" t="inlineStr">
        <is>
          <t>高畠町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山形県地域公共交通計画（県・市町村共同、次期計画R8.3.27策定）</t>
        </is>
      </c>
      <c r="G31" s="11" t="inlineStr">
        <is>
          <t>R8〜不明</t>
        </is>
      </c>
      <c r="H31" s="16" t="n"/>
      <c r="I31" s="13" t="inlineStr">
        <is>
          <t>推定</t>
        </is>
      </c>
      <c r="J31" s="13" t="inlineStr">
        <is>
          <t>策定済</t>
        </is>
      </c>
      <c r="K31" s="14" t="inlineStr">
        <is>
          <t>https://www.pref.yamagata.jp/020057/kurashi/kendo/kotsuseisaku/ykotsu_kasseikakyougikai.html</t>
        </is>
      </c>
      <c r="L31" s="11" t="inlineStr">
        <is>
          <t>第3次高畠町環境基本計画</t>
        </is>
      </c>
      <c r="M31" s="11" t="inlineStr">
        <is>
          <t>R5〜不明</t>
        </is>
      </c>
      <c r="N31" s="16" t="n"/>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t>
        </is>
      </c>
      <c r="S31" s="15" t="inlineStr">
        <is>
          <t>調査済</t>
        </is>
      </c>
      <c r="T31" s="11" t="inlineStr">
        <is>
          <t>掲載</t>
        </is>
      </c>
    </row>
    <row r="32">
      <c r="A32" s="11" t="n">
        <v>29</v>
      </c>
      <c r="B32" s="11" t="inlineStr">
        <is>
          <t>川西町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山形県地域公共交通計画（県・市町村共同、次期計画R8.3.27策定）</t>
        </is>
      </c>
      <c r="G32" s="11" t="inlineStr">
        <is>
          <t>R8〜不明</t>
        </is>
      </c>
      <c r="H32" s="16" t="n"/>
      <c r="I32" s="13" t="inlineStr">
        <is>
          <t>推定</t>
        </is>
      </c>
      <c r="J32" s="13" t="inlineStr">
        <is>
          <t>策定済</t>
        </is>
      </c>
      <c r="K32" s="14" t="inlineStr">
        <is>
          <t>https://www.pref.yamagata.jp/020057/kurashi/kendo/kotsuseisaku/ykotsu_kasseikakyougikai.html</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t>
        </is>
      </c>
      <c r="S32" s="15" t="inlineStr">
        <is>
          <t>調査済</t>
        </is>
      </c>
      <c r="T32" s="11" t="inlineStr">
        <is>
          <t>掲載（広域：フラワー長井線沿線）</t>
        </is>
      </c>
    </row>
    <row r="33">
      <c r="A33" s="11" t="n">
        <v>30</v>
      </c>
      <c r="B33" s="11" t="inlineStr">
        <is>
          <t>小国町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c r="T33" s="17" t="inlineStr">
        <is>
          <t>掲載／期間満了</t>
        </is>
      </c>
    </row>
    <row r="34">
      <c r="A34" s="11" t="n">
        <v>31</v>
      </c>
      <c r="B34" s="11" t="inlineStr">
        <is>
          <t>白鷹町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4" s="15" t="inlineStr">
        <is>
          <t>調査済</t>
        </is>
      </c>
      <c r="T34" s="17" t="inlineStr">
        <is>
          <t>掲載（広域：フラワー長井線沿線）／期間満了</t>
        </is>
      </c>
    </row>
    <row r="35">
      <c r="A35" s="11" t="n">
        <v>32</v>
      </c>
      <c r="B35" s="11" t="inlineStr">
        <is>
          <t>飯豊町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c r="T35" s="17" t="inlineStr">
        <is>
          <t>未掲載【当方は計画あり】</t>
        </is>
      </c>
    </row>
    <row r="36">
      <c r="A36" s="11" t="n">
        <v>33</v>
      </c>
      <c r="B36" s="11" t="inlineStr">
        <is>
          <t>三川町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c r="T36" s="17" t="inlineStr">
        <is>
          <t>未掲載【当方は計画あり】</t>
        </is>
      </c>
    </row>
    <row r="37">
      <c r="A37" s="11" t="n">
        <v>34</v>
      </c>
      <c r="B37" s="11" t="inlineStr">
        <is>
          <t>庄内町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山形県地域公共交通計画（県・市町村共同、次期計画R8.3.27策定）</t>
        </is>
      </c>
      <c r="G37" s="11" t="inlineStr">
        <is>
          <t>R8〜不明</t>
        </is>
      </c>
      <c r="H37" s="16" t="n"/>
      <c r="I37" s="13" t="inlineStr">
        <is>
          <t>推定</t>
        </is>
      </c>
      <c r="J37" s="13" t="inlineStr">
        <is>
          <t>策定済</t>
        </is>
      </c>
      <c r="K37" s="14" t="inlineStr">
        <is>
          <t>https://www.pref.yamagata.jp/020057/kurashi/kendo/kotsuseisaku/ykotsu_kasseikakyougikai.html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t>
        </is>
      </c>
      <c r="S37" s="15" t="inlineStr">
        <is>
          <t>調査済</t>
        </is>
      </c>
      <c r="T37" s="11" t="inlineStr">
        <is>
          <t>掲載</t>
        </is>
      </c>
    </row>
    <row r="38">
      <c r="A38" s="11" t="n">
        <v>35</v>
      </c>
      <c r="B38" s="11" t="inlineStr">
        <is>
          <t>遊佐町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不明</t>
        </is>
      </c>
      <c r="N38" s="13" t="n"/>
      <c r="O38" s="13" t="inlineStr">
        <is>
          <t>不明</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t>
        </is>
      </c>
      <c r="S38" s="15" t="inlineStr">
        <is>
          <t>調査済</t>
        </is>
      </c>
      <c r="T38" s="17" t="inlineStr">
        <is>
          <t>未掲載【当方は計画あり】</t>
        </is>
      </c>
    </row>
  </sheetData>
  <autoFilter ref="A3:T38"/>
  <conditionalFormatting sqref="A4:T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福島県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福島市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福島市地域公共交通計画</t>
        </is>
      </c>
      <c r="G4" s="11" t="inlineStr">
        <is>
          <t>R5〜R12（県計画に準拠）</t>
        </is>
      </c>
      <c r="H4" s="13" t="n">
        <v>12</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5" t="inlineStr">
        <is>
          <t>調査済</t>
        </is>
      </c>
      <c r="T4" s="11" t="inlineStr">
        <is>
          <t>掲載（広域：福島県避難地域・阿武隈急行線地域）</t>
        </is>
      </c>
    </row>
    <row r="5">
      <c r="A5" s="11" t="n">
        <v>2</v>
      </c>
      <c r="B5" s="11" t="inlineStr">
        <is>
          <t>会津若松市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c r="T5" s="11" t="inlineStr">
        <is>
          <t>掲載（広域：会津圏域）</t>
        </is>
      </c>
    </row>
    <row r="6">
      <c r="A6" s="11" t="n">
        <v>3</v>
      </c>
      <c r="B6" s="11" t="inlineStr">
        <is>
          <t>郡山市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c r="T6" s="11" t="inlineStr">
        <is>
          <t>掲載</t>
        </is>
      </c>
    </row>
    <row r="7">
      <c r="A7" s="11" t="n">
        <v>4</v>
      </c>
      <c r="B7" s="11" t="inlineStr">
        <is>
          <t>いわき市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いわき市地域公共交通計画</t>
        </is>
      </c>
      <c r="G7" s="11" t="inlineStr">
        <is>
          <t>R5〜R9</t>
        </is>
      </c>
      <c r="H7" s="16" t="n">
        <v>9</v>
      </c>
      <c r="I7" s="13" t="inlineStr">
        <is>
          <t>推定</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5" t="inlineStr">
        <is>
          <t>調査済</t>
        </is>
      </c>
      <c r="T7" s="11" t="inlineStr">
        <is>
          <t>掲載（広域：福島県避難地域）</t>
        </is>
      </c>
    </row>
    <row r="8">
      <c r="A8" s="11" t="n">
        <v>5</v>
      </c>
      <c r="B8" s="11" t="inlineStr">
        <is>
          <t>白河市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c r="T8" s="11" t="inlineStr">
        <is>
          <t>掲載</t>
        </is>
      </c>
    </row>
    <row r="9">
      <c r="A9" s="11" t="n">
        <v>6</v>
      </c>
      <c r="B9" s="11" t="inlineStr">
        <is>
          <t>須賀川市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不明</t>
        </is>
      </c>
      <c r="N9" s="13" t="n"/>
      <c r="O9" s="13" t="inlineStr">
        <is>
          <t>不明</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t>
        </is>
      </c>
      <c r="S9" s="15" t="inlineStr">
        <is>
          <t>調査済</t>
        </is>
      </c>
      <c r="T9" s="11" t="inlineStr">
        <is>
          <t>掲載</t>
        </is>
      </c>
    </row>
    <row r="10">
      <c r="A10" s="11" t="n">
        <v>7</v>
      </c>
      <c r="B10" s="11" t="inlineStr">
        <is>
          <t>喜多方市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喜多方市環境基本計画（中間見直し版）</t>
        </is>
      </c>
      <c r="M10" s="11" t="inlineStr">
        <is>
          <t>不明</t>
        </is>
      </c>
      <c r="N10" s="13" t="n"/>
      <c r="O10" s="13" t="inlineStr">
        <is>
          <t>不明</t>
        </is>
      </c>
      <c r="P10" s="13" t="inlineStr">
        <is>
          <t>未確認</t>
        </is>
      </c>
      <c r="Q10" s="11" t="n"/>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t>
        </is>
      </c>
      <c r="S10" s="15" t="inlineStr">
        <is>
          <t>調査済</t>
        </is>
      </c>
      <c r="T10" s="11" t="inlineStr">
        <is>
          <t>掲載（広域：会津圏域）</t>
        </is>
      </c>
    </row>
    <row r="11">
      <c r="A11" s="11" t="n">
        <v>8</v>
      </c>
      <c r="B11" s="11" t="inlineStr">
        <is>
          <t>相馬市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t>
        </is>
      </c>
      <c r="S11" s="18" t="inlineStr">
        <is>
          <t>未調査</t>
        </is>
      </c>
      <c r="T11" s="11" t="inlineStr">
        <is>
          <t>未掲載</t>
        </is>
      </c>
    </row>
    <row r="12">
      <c r="A12" s="11" t="n">
        <v>9</v>
      </c>
      <c r="B12" s="11" t="inlineStr">
        <is>
          <t>二本松市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c r="T12" s="11" t="inlineStr">
        <is>
          <t>掲載</t>
        </is>
      </c>
    </row>
    <row r="13">
      <c r="A13" s="11" t="n">
        <v>10</v>
      </c>
      <c r="B13" s="11" t="inlineStr">
        <is>
          <t>田村市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未確認</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t>
        </is>
      </c>
      <c r="S13" s="18" t="inlineStr">
        <is>
          <t>交通のみ調査</t>
        </is>
      </c>
      <c r="T13" s="11" t="inlineStr">
        <is>
          <t>掲載（広域：福島県避難地域）</t>
        </is>
      </c>
    </row>
    <row r="14">
      <c r="A14" s="11" t="n">
        <v>11</v>
      </c>
      <c r="B14" s="11" t="inlineStr">
        <is>
          <t>南相馬市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不明</t>
        </is>
      </c>
      <c r="N14" s="13" t="n"/>
      <c r="O14" s="13" t="inlineStr">
        <is>
          <t>不明</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t>
        </is>
      </c>
      <c r="S14" s="15" t="inlineStr">
        <is>
          <t>調査済</t>
        </is>
      </c>
      <c r="T14" s="17" t="inlineStr">
        <is>
          <t>掲載（広域：福島県避難地域）／期間満了</t>
        </is>
      </c>
    </row>
    <row r="15">
      <c r="A15" s="11" t="n">
        <v>12</v>
      </c>
      <c r="B15" s="11" t="inlineStr">
        <is>
          <t>伊達市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c r="T15" s="11" t="inlineStr">
        <is>
          <t>掲載（広域：阿武隈急行線地域）</t>
        </is>
      </c>
    </row>
    <row r="16">
      <c r="A16" s="11" t="n">
        <v>13</v>
      </c>
      <c r="B16" s="11" t="inlineStr">
        <is>
          <t>本宮市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c r="T16" s="11" t="inlineStr">
        <is>
          <t>掲載</t>
        </is>
      </c>
    </row>
    <row r="17">
      <c r="A17" s="11" t="n">
        <v>14</v>
      </c>
      <c r="B17" s="11" t="inlineStr">
        <is>
          <t>桑折町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8" t="inlineStr">
        <is>
          <t>環境のみ調査</t>
        </is>
      </c>
      <c r="T17" s="11" t="inlineStr">
        <is>
          <t>未掲載</t>
        </is>
      </c>
    </row>
    <row r="18">
      <c r="A18" s="11" t="n">
        <v>15</v>
      </c>
      <c r="B18" s="11" t="inlineStr">
        <is>
          <t>国見町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8" t="inlineStr">
        <is>
          <t>未調査</t>
        </is>
      </c>
      <c r="T18" s="11" t="inlineStr">
        <is>
          <t>未掲載</t>
        </is>
      </c>
    </row>
    <row r="19">
      <c r="A19" s="11" t="n">
        <v>16</v>
      </c>
      <c r="B19" s="11" t="inlineStr">
        <is>
          <t>川俣町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8" t="inlineStr">
        <is>
          <t>未調査</t>
        </is>
      </c>
      <c r="T19" s="17" t="inlineStr">
        <is>
          <t>掲載（広域：福島県避難地域）【当方未把握】</t>
        </is>
      </c>
    </row>
    <row r="20">
      <c r="A20" s="11" t="n">
        <v>17</v>
      </c>
      <c r="B20" s="11" t="inlineStr">
        <is>
          <t>大玉村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8" t="inlineStr">
        <is>
          <t>交通のみ調査</t>
        </is>
      </c>
      <c r="T20" s="11" t="inlineStr">
        <is>
          <t>掲載</t>
        </is>
      </c>
    </row>
    <row r="21">
      <c r="A21" s="11" t="n">
        <v>18</v>
      </c>
      <c r="B21" s="11" t="inlineStr">
        <is>
          <t>鏡石町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8" t="inlineStr">
        <is>
          <t>未調査</t>
        </is>
      </c>
      <c r="T21" s="11" t="inlineStr">
        <is>
          <t>未掲載</t>
        </is>
      </c>
    </row>
    <row r="22">
      <c r="A22" s="11" t="n">
        <v>19</v>
      </c>
      <c r="B22" s="11" t="inlineStr">
        <is>
          <t>天栄村</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8" t="inlineStr">
        <is>
          <t>未調査</t>
        </is>
      </c>
      <c r="T22" s="11" t="inlineStr">
        <is>
          <t>未掲載</t>
        </is>
      </c>
    </row>
    <row r="23">
      <c r="A23" s="11" t="n">
        <v>20</v>
      </c>
      <c r="B23" s="11" t="inlineStr">
        <is>
          <t>下郷町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8" t="inlineStr">
        <is>
          <t>未調査</t>
        </is>
      </c>
      <c r="T23" s="11" t="inlineStr">
        <is>
          <t>未掲載</t>
        </is>
      </c>
    </row>
    <row r="24">
      <c r="A24" s="11" t="n">
        <v>21</v>
      </c>
      <c r="B24" s="11" t="inlineStr">
        <is>
          <t>檜枝岐村</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8" t="inlineStr">
        <is>
          <t>未調査</t>
        </is>
      </c>
      <c r="T24" s="11" t="inlineStr">
        <is>
          <t>未掲載</t>
        </is>
      </c>
    </row>
    <row r="25">
      <c r="A25" s="11" t="n">
        <v>22</v>
      </c>
      <c r="B25" s="11" t="inlineStr">
        <is>
          <t>只見町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8" t="inlineStr">
        <is>
          <t>未調査</t>
        </is>
      </c>
      <c r="T25" s="11" t="inlineStr">
        <is>
          <t>未掲載</t>
        </is>
      </c>
    </row>
    <row r="26">
      <c r="A26" s="11" t="n">
        <v>23</v>
      </c>
      <c r="B26" s="11" t="inlineStr">
        <is>
          <t>南会津町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c r="T26" s="11" t="inlineStr">
        <is>
          <t>掲載</t>
        </is>
      </c>
    </row>
    <row r="27">
      <c r="A27" s="11" t="n">
        <v>24</v>
      </c>
      <c r="B27" s="11" t="inlineStr">
        <is>
          <t>北塩原村</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8" t="inlineStr">
        <is>
          <t>環境のみ調査</t>
        </is>
      </c>
      <c r="T27" s="17" t="inlineStr">
        <is>
          <t>掲載【当方未把握】</t>
        </is>
      </c>
    </row>
    <row r="28">
      <c r="A28" s="11" t="n">
        <v>25</v>
      </c>
      <c r="B28" s="11" t="inlineStr">
        <is>
          <t>西会津町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8" t="inlineStr">
        <is>
          <t>環境のみ調査</t>
        </is>
      </c>
      <c r="T28" s="11" t="inlineStr">
        <is>
          <t>未掲載</t>
        </is>
      </c>
    </row>
    <row r="29">
      <c r="A29" s="11" t="n">
        <v>26</v>
      </c>
      <c r="B29" s="11" t="inlineStr">
        <is>
          <t>磐梯町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8" t="inlineStr">
        <is>
          <t>環境のみ調査</t>
        </is>
      </c>
      <c r="T29" s="11" t="inlineStr">
        <is>
          <t>未掲載</t>
        </is>
      </c>
    </row>
    <row r="30">
      <c r="A30" s="11" t="n">
        <v>27</v>
      </c>
      <c r="B30" s="11" t="inlineStr">
        <is>
          <t>猪苗代町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8" t="inlineStr">
        <is>
          <t>環境のみ調査</t>
        </is>
      </c>
      <c r="T30" s="11" t="inlineStr">
        <is>
          <t>未掲載</t>
        </is>
      </c>
    </row>
    <row r="31">
      <c r="A31" s="11" t="n">
        <v>28</v>
      </c>
      <c r="B31" s="11" t="inlineStr">
        <is>
          <t>会津坂下町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c r="T31" s="11" t="inlineStr">
        <is>
          <t>掲載（広域：会津圏域）</t>
        </is>
      </c>
    </row>
    <row r="32">
      <c r="A32" s="11" t="n">
        <v>29</v>
      </c>
      <c r="B32" s="11" t="inlineStr">
        <is>
          <t>湯川村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8" t="inlineStr">
        <is>
          <t>交通のみ調査</t>
        </is>
      </c>
      <c r="T32" s="11" t="inlineStr">
        <is>
          <t>掲載（広域：会津圏域）</t>
        </is>
      </c>
    </row>
    <row r="33">
      <c r="A33" s="11" t="n">
        <v>30</v>
      </c>
      <c r="B33" s="11" t="inlineStr">
        <is>
          <t>柳津町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8" t="inlineStr">
        <is>
          <t>交通のみ調査</t>
        </is>
      </c>
      <c r="T33" s="11" t="inlineStr">
        <is>
          <t>掲載（広域：会津圏域）</t>
        </is>
      </c>
    </row>
    <row r="34">
      <c r="A34" s="11" t="n">
        <v>31</v>
      </c>
      <c r="B34" s="11" t="inlineStr">
        <is>
          <t>三島町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8" t="inlineStr">
        <is>
          <t>未調査</t>
        </is>
      </c>
      <c r="T34" s="11" t="inlineStr">
        <is>
          <t>未掲載</t>
        </is>
      </c>
    </row>
    <row r="35">
      <c r="A35" s="11" t="n">
        <v>32</v>
      </c>
      <c r="B35" s="11" t="inlineStr">
        <is>
          <t>金山町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8" t="inlineStr">
        <is>
          <t>未調査</t>
        </is>
      </c>
      <c r="T35" s="11" t="inlineStr">
        <is>
          <t>未掲載</t>
        </is>
      </c>
    </row>
    <row r="36">
      <c r="A36" s="11" t="n">
        <v>33</v>
      </c>
      <c r="B36" s="11" t="inlineStr">
        <is>
          <t>昭和村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8" t="inlineStr">
        <is>
          <t>未調査</t>
        </is>
      </c>
      <c r="T36" s="11" t="inlineStr">
        <is>
          <t>未掲載</t>
        </is>
      </c>
    </row>
    <row r="37">
      <c r="A37" s="11" t="n">
        <v>34</v>
      </c>
      <c r="B37" s="11" t="inlineStr">
        <is>
          <t>会津美里町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8" t="inlineStr">
        <is>
          <t>交通のみ調査</t>
        </is>
      </c>
      <c r="T37" s="11" t="inlineStr">
        <is>
          <t>掲載（広域：会津圏域）</t>
        </is>
      </c>
    </row>
    <row r="38">
      <c r="A38" s="11" t="n">
        <v>35</v>
      </c>
      <c r="B38" s="11" t="inlineStr">
        <is>
          <t>西郷村</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c r="T38" s="17" t="inlineStr">
        <is>
          <t>掲載／期間満了</t>
        </is>
      </c>
    </row>
    <row r="39">
      <c r="A39" s="11" t="n">
        <v>36</v>
      </c>
      <c r="B39" s="11" t="inlineStr">
        <is>
          <t>泉崎村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8" t="inlineStr">
        <is>
          <t>交通のみ調査</t>
        </is>
      </c>
      <c r="T39" s="17" t="inlineStr">
        <is>
          <t>未掲載【当方は計画あり】</t>
        </is>
      </c>
    </row>
    <row r="40">
      <c r="A40" s="11" t="n">
        <v>37</v>
      </c>
      <c r="B40" s="11" t="inlineStr">
        <is>
          <t>中島村</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8" t="inlineStr">
        <is>
          <t>交通のみ調査</t>
        </is>
      </c>
      <c r="T40" s="17" t="inlineStr">
        <is>
          <t>未掲載【当方は計画あり】</t>
        </is>
      </c>
    </row>
    <row r="41">
      <c r="A41" s="11" t="n">
        <v>38</v>
      </c>
      <c r="B41" s="11" t="inlineStr">
        <is>
          <t>矢吹町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c r="T41" s="11" t="inlineStr">
        <is>
          <t>掲載</t>
        </is>
      </c>
    </row>
    <row r="42">
      <c r="A42" s="11" t="n">
        <v>39</v>
      </c>
      <c r="B42" s="11" t="inlineStr">
        <is>
          <t>棚倉町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c r="T42" s="17" t="inlineStr">
        <is>
          <t>掲載／期間満了</t>
        </is>
      </c>
    </row>
    <row r="43">
      <c r="A43" s="11" t="n">
        <v>40</v>
      </c>
      <c r="B43" s="11" t="inlineStr">
        <is>
          <t>矢祭町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8" t="inlineStr">
        <is>
          <t>交通のみ調査</t>
        </is>
      </c>
      <c r="T43" s="17" t="inlineStr">
        <is>
          <t>未掲載【当方は計画あり】</t>
        </is>
      </c>
    </row>
    <row r="44">
      <c r="A44" s="11" t="n">
        <v>41</v>
      </c>
      <c r="B44" s="11" t="inlineStr">
        <is>
          <t>塙町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c r="T44" s="11" t="inlineStr">
        <is>
          <t>掲載</t>
        </is>
      </c>
    </row>
    <row r="45">
      <c r="A45" s="11" t="n">
        <v>42</v>
      </c>
      <c r="B45" s="11" t="inlineStr">
        <is>
          <t>鮫川村</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t>
        </is>
      </c>
      <c r="S45" s="18" t="inlineStr">
        <is>
          <t>交通のみ調査</t>
        </is>
      </c>
      <c r="T45" s="11" t="inlineStr">
        <is>
          <t>掲載</t>
        </is>
      </c>
    </row>
    <row r="46">
      <c r="A46" s="11" t="n">
        <v>43</v>
      </c>
      <c r="B46" s="11" t="inlineStr">
        <is>
          <t>石川町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8" t="inlineStr">
        <is>
          <t>交通のみ調査</t>
        </is>
      </c>
      <c r="T46" s="11" t="inlineStr">
        <is>
          <t>掲載</t>
        </is>
      </c>
    </row>
    <row r="47">
      <c r="A47" s="11" t="n">
        <v>44</v>
      </c>
      <c r="B47" s="11" t="inlineStr">
        <is>
          <t>玉川村</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8" t="inlineStr">
        <is>
          <t>交通のみ調査</t>
        </is>
      </c>
      <c r="T47" s="17" t="inlineStr">
        <is>
          <t>掲載／期間満了</t>
        </is>
      </c>
    </row>
    <row r="48">
      <c r="A48" s="11" t="n">
        <v>45</v>
      </c>
      <c r="B48" s="11" t="inlineStr">
        <is>
          <t>平田村</t>
        </is>
      </c>
      <c r="C48" s="12">
        <f>IF(OR(D48="◎",E48="◎"),"◎ 営業",IF(OR(D48="△",E48="△"),"△ 着手済・要確認",IF(OR(D48="？",E48="？"),"？ 期間要確認","✕ 対象外")))</f>
        <v/>
      </c>
      <c r="D48" s="13">
        <f>IF(J48="計画なし","－",IF(J48="策定済","✕",IF(H48="","？",IF(AND(H48&gt;='集計・設定'!$C$4,H48&lt;='集計・設定'!$C$5),IF(J48="着手済","△","◎"),"✕"))))</f>
        <v/>
      </c>
      <c r="E48" s="13">
        <f>IF(P48="計画なし","－",IF(P48="策定済","✕",IF(N48="","？",IF(AND(N48&gt;='集計・設定'!$C$4,N48&lt;='集計・設定'!$C$5),IF(P48="着手済","△","◎"),"✕"))))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8" t="inlineStr">
        <is>
          <t>交通のみ調査</t>
        </is>
      </c>
      <c r="T48" s="17" t="inlineStr">
        <is>
          <t>未掲載【当方は計画あり】</t>
        </is>
      </c>
    </row>
    <row r="49">
      <c r="A49" s="11" t="n">
        <v>46</v>
      </c>
      <c r="B49" s="11" t="inlineStr">
        <is>
          <t>浅川町</t>
        </is>
      </c>
      <c r="C49" s="12">
        <f>IF(OR(D49="◎",E49="◎"),"◎ 営業",IF(OR(D49="△",E49="△"),"△ 着手済・要確認",IF(OR(D49="？",E49="？"),"？ 期間要確認","✕ 対象外")))</f>
        <v/>
      </c>
      <c r="D49" s="13">
        <f>IF(J49="計画なし","－",IF(J49="策定済","✕",IF(H49="","？",IF(AND(H49&gt;='集計・設定'!$C$4,H49&lt;='集計・設定'!$C$5),IF(J49="着手済","△","◎"),"✕"))))</f>
        <v/>
      </c>
      <c r="E49" s="13">
        <f>IF(P49="計画なし","－",IF(P49="策定済","✕",IF(N49="","？",IF(AND(N49&gt;='集計・設定'!$C$4,N49&lt;='集計・設定'!$C$5),IF(P49="着手済","△","◎"),"✕"))))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c r="T49" s="17" t="inlineStr">
        <is>
          <t>未掲載【当方は計画あり】</t>
        </is>
      </c>
    </row>
    <row r="50">
      <c r="A50" s="11" t="n">
        <v>47</v>
      </c>
      <c r="B50" s="11" t="inlineStr">
        <is>
          <t>古殿町</t>
        </is>
      </c>
      <c r="C50" s="12">
        <f>IF(OR(D50="◎",E50="◎"),"◎ 営業",IF(OR(D50="△",E50="△"),"△ 着手済・要確認",IF(OR(D50="？",E50="？"),"？ 期間要確認","✕ 対象外")))</f>
        <v/>
      </c>
      <c r="D50" s="13">
        <f>IF(J50="計画なし","－",IF(J50="策定済","✕",IF(H50="","？",IF(AND(H50&gt;='集計・設定'!$C$4,H50&lt;='集計・設定'!$C$5),IF(J50="着手済","△","◎"),"✕"))))</f>
        <v/>
      </c>
      <c r="E50" s="13">
        <f>IF(P50="計画なし","－",IF(P50="策定済","✕",IF(N50="","？",IF(AND(N50&gt;='集計・設定'!$C$4,N50&lt;='集計・設定'!$C$5),IF(P50="着手済","△","◎"),"✕"))))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8" t="inlineStr">
        <is>
          <t>交通のみ調査</t>
        </is>
      </c>
      <c r="T50" s="17" t="inlineStr">
        <is>
          <t>未掲載【当方は計画あり】</t>
        </is>
      </c>
    </row>
    <row r="51">
      <c r="A51" s="11" t="n">
        <v>48</v>
      </c>
      <c r="B51" s="11" t="inlineStr">
        <is>
          <t>三春町</t>
        </is>
      </c>
      <c r="C51" s="12">
        <f>IF(OR(D51="◎",E51="◎"),"◎ 営業",IF(OR(D51="△",E51="△"),"△ 着手済・要確認",IF(OR(D51="？",E51="？"),"？ 期間要確認","✕ 対象外")))</f>
        <v/>
      </c>
      <c r="D51" s="13">
        <f>IF(J51="計画なし","－",IF(J51="策定済","✕",IF(H51="","？",IF(AND(H51&gt;='集計・設定'!$C$4,H51&lt;='集計・設定'!$C$5),IF(J51="着手済","△","◎"),"✕"))))</f>
        <v/>
      </c>
      <c r="E51" s="13">
        <f>IF(P51="計画なし","－",IF(P51="策定済","✕",IF(N51="","？",IF(AND(N51&gt;='集計・設定'!$C$4,N51&lt;='集計・設定'!$C$5),IF(P51="着手済","△","◎"),"✕"))))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c r="T51" s="11" t="inlineStr">
        <is>
          <t>掲載</t>
        </is>
      </c>
    </row>
    <row r="52">
      <c r="A52" s="11" t="n">
        <v>49</v>
      </c>
      <c r="B52" s="11" t="inlineStr">
        <is>
          <t>小野町</t>
        </is>
      </c>
      <c r="C52" s="12">
        <f>IF(OR(D52="◎",E52="◎"),"◎ 営業",IF(OR(D52="△",E52="△"),"△ 着手済・要確認",IF(OR(D52="？",E52="？"),"？ 期間要確認","✕ 対象外")))</f>
        <v/>
      </c>
      <c r="D52" s="13">
        <f>IF(J52="計画なし","－",IF(J52="策定済","✕",IF(H52="","？",IF(AND(H52&gt;='集計・設定'!$C$4,H52&lt;='集計・設定'!$C$5),IF(J52="着手済","△","◎"),"✕"))))</f>
        <v/>
      </c>
      <c r="E52" s="13">
        <f>IF(P52="計画なし","－",IF(P52="策定済","✕",IF(N52="","？",IF(AND(N52&gt;='集計・設定'!$C$4,N52&lt;='集計・設定'!$C$5),IF(P52="着手済","△","◎"),"✕"))))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c r="T52" s="11" t="inlineStr">
        <is>
          <t>掲載</t>
        </is>
      </c>
    </row>
    <row r="53">
      <c r="A53" s="11" t="n">
        <v>50</v>
      </c>
      <c r="B53" s="11" t="inlineStr">
        <is>
          <t>広野町</t>
        </is>
      </c>
      <c r="C53" s="12">
        <f>IF(OR(D53="◎",E53="◎"),"◎ 営業",IF(OR(D53="△",E53="△"),"△ 着手済・要確認",IF(OR(D53="？",E53="？"),"？ 期間要確認","✕ 対象外")))</f>
        <v/>
      </c>
      <c r="D53" s="13">
        <f>IF(J53="計画なし","－",IF(J53="策定済","✕",IF(H53="","？",IF(AND(H53&gt;='集計・設定'!$C$4,H53&lt;='集計・設定'!$C$5),IF(J53="着手済","△","◎"),"✕"))))</f>
        <v/>
      </c>
      <c r="E53" s="13">
        <f>IF(P53="計画なし","－",IF(P53="策定済","✕",IF(N53="","？",IF(AND(N53&gt;='集計・設定'!$C$4,N53&lt;='集計・設定'!$C$5),IF(P53="着手済","△","◎"),"✕"))))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5" t="inlineStr">
        <is>
          <t>調査済</t>
        </is>
      </c>
      <c r="T53" s="11" t="inlineStr">
        <is>
          <t>掲載（広域：福島県避難地域）</t>
        </is>
      </c>
    </row>
    <row r="54">
      <c r="A54" s="11" t="n">
        <v>51</v>
      </c>
      <c r="B54" s="11" t="inlineStr">
        <is>
          <t>楢葉町</t>
        </is>
      </c>
      <c r="C54" s="12">
        <f>IF(OR(D54="◎",E54="◎"),"◎ 営業",IF(OR(D54="△",E54="△"),"△ 着手済・要確認",IF(OR(D54="？",E54="？"),"？ 期間要確認","✕ 対象外")))</f>
        <v/>
      </c>
      <c r="D54" s="13">
        <f>IF(J54="計画なし","－",IF(J54="策定済","✕",IF(H54="","？",IF(AND(H54&gt;='集計・設定'!$C$4,H54&lt;='集計・設定'!$C$5),IF(J54="着手済","△","◎"),"✕"))))</f>
        <v/>
      </c>
      <c r="E54" s="13">
        <f>IF(P54="計画なし","－",IF(P54="策定済","✕",IF(N54="","？",IF(AND(N54&gt;='集計・設定'!$C$4,N54&lt;='集計・設定'!$C$5),IF(P54="着手済","△","◎"),"✕"))))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5" t="inlineStr">
        <is>
          <t>調査済</t>
        </is>
      </c>
      <c r="T54" s="11" t="inlineStr">
        <is>
          <t>掲載（広域：福島県避難地域）</t>
        </is>
      </c>
    </row>
    <row r="55">
      <c r="A55" s="11" t="n">
        <v>52</v>
      </c>
      <c r="B55" s="11" t="inlineStr">
        <is>
          <t>富岡町</t>
        </is>
      </c>
      <c r="C55" s="12">
        <f>IF(OR(D55="◎",E55="◎"),"◎ 営業",IF(OR(D55="△",E55="△"),"△ 着手済・要確認",IF(OR(D55="？",E55="？"),"？ 期間要確認","✕ 対象外")))</f>
        <v/>
      </c>
      <c r="D55" s="13">
        <f>IF(J55="計画なし","－",IF(J55="策定済","✕",IF(H55="","？",IF(AND(H55&gt;='集計・設定'!$C$4,H55&lt;='集計・設定'!$C$5),IF(J55="着手済","△","◎"),"✕"))))</f>
        <v/>
      </c>
      <c r="E55" s="13">
        <f>IF(P55="計画なし","－",IF(P55="策定済","✕",IF(N55="","？",IF(AND(N55&gt;='集計・設定'!$C$4,N55&lt;='集計・設定'!$C$5),IF(P55="着手済","△","◎"),"✕"))))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5" t="inlineStr">
        <is>
          <t>調査済</t>
        </is>
      </c>
      <c r="T55" s="11" t="inlineStr">
        <is>
          <t>掲載（広域：福島県避難地域）</t>
        </is>
      </c>
    </row>
    <row r="56">
      <c r="A56" s="11" t="n">
        <v>53</v>
      </c>
      <c r="B56" s="11" t="inlineStr">
        <is>
          <t>川内村</t>
        </is>
      </c>
      <c r="C56" s="12">
        <f>IF(OR(D56="◎",E56="◎"),"◎ 営業",IF(OR(D56="△",E56="△"),"△ 着手済・要確認",IF(OR(D56="？",E56="？"),"？ 期間要確認","✕ 対象外")))</f>
        <v/>
      </c>
      <c r="D56" s="13">
        <f>IF(J56="計画なし","－",IF(J56="策定済","✕",IF(H56="","？",IF(AND(H56&gt;='集計・設定'!$C$4,H56&lt;='集計・設定'!$C$5),IF(J56="着手済","△","◎"),"✕"))))</f>
        <v/>
      </c>
      <c r="E56" s="13">
        <f>IF(P56="計画なし","－",IF(P56="策定済","✕",IF(N56="","？",IF(AND(N56&gt;='集計・設定'!$C$4,N56&lt;='集計・設定'!$C$5),IF(P56="着手済","△","◎"),"✕"))))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6" s="18" t="inlineStr">
        <is>
          <t>交通のみ調査</t>
        </is>
      </c>
      <c r="T56" s="11" t="inlineStr">
        <is>
          <t>掲載（広域：福島県避難地域）</t>
        </is>
      </c>
    </row>
    <row r="57">
      <c r="A57" s="11" t="n">
        <v>54</v>
      </c>
      <c r="B57" s="11" t="inlineStr">
        <is>
          <t>大熊町</t>
        </is>
      </c>
      <c r="C57" s="12">
        <f>IF(OR(D57="◎",E57="◎"),"◎ 営業",IF(OR(D57="△",E57="△"),"△ 着手済・要確認",IF(OR(D57="？",E57="？"),"？ 期間要確認","✕ 対象外")))</f>
        <v/>
      </c>
      <c r="D57" s="13">
        <f>IF(J57="計画なし","－",IF(J57="策定済","✕",IF(H57="","？",IF(AND(H57&gt;='集計・設定'!$C$4,H57&lt;='集計・設定'!$C$5),IF(J57="着手済","△","◎"),"✕"))))</f>
        <v/>
      </c>
      <c r="E57" s="13">
        <f>IF(P57="計画なし","－",IF(P57="策定済","✕",IF(N57="","？",IF(AND(N57&gt;='集計・設定'!$C$4,N57&lt;='集計・設定'!$C$5),IF(P57="着手済","△","◎"),"✕"))))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5" t="inlineStr">
        <is>
          <t>調査済</t>
        </is>
      </c>
      <c r="T57" s="11" t="inlineStr">
        <is>
          <t>掲載（広域：福島県避難地域）</t>
        </is>
      </c>
    </row>
    <row r="58">
      <c r="A58" s="11" t="n">
        <v>55</v>
      </c>
      <c r="B58" s="11" t="inlineStr">
        <is>
          <t>双葉町</t>
        </is>
      </c>
      <c r="C58" s="12">
        <f>IF(OR(D58="◎",E58="◎"),"◎ 営業",IF(OR(D58="△",E58="△"),"△ 着手済・要確認",IF(OR(D58="？",E58="？"),"？ 期間要確認","✕ 対象外")))</f>
        <v/>
      </c>
      <c r="D58" s="13">
        <f>IF(J58="計画なし","－",IF(J58="策定済","✕",IF(H58="","？",IF(AND(H58&gt;='集計・設定'!$C$4,H58&lt;='集計・設定'!$C$5),IF(J58="着手済","△","◎"),"✕"))))</f>
        <v/>
      </c>
      <c r="E58" s="13">
        <f>IF(P58="計画なし","－",IF(P58="策定済","✕",IF(N58="","？",IF(AND(N58&gt;='集計・設定'!$C$4,N58&lt;='集計・設定'!$C$5),IF(P58="着手済","△","◎"),"✕"))))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8" s="18" t="inlineStr">
        <is>
          <t>交通のみ調査</t>
        </is>
      </c>
      <c r="T58" s="11" t="inlineStr">
        <is>
          <t>掲載（広域：福島県避難地域）</t>
        </is>
      </c>
    </row>
    <row r="59">
      <c r="A59" s="11" t="n">
        <v>56</v>
      </c>
      <c r="B59" s="11" t="inlineStr">
        <is>
          <t>浪江町</t>
        </is>
      </c>
      <c r="C59" s="12">
        <f>IF(OR(D59="◎",E59="◎"),"◎ 営業",IF(OR(D59="△",E59="△"),"△ 着手済・要確認",IF(OR(D59="？",E59="？"),"？ 期間要確認","✕ 対象外")))</f>
        <v/>
      </c>
      <c r="D59" s="13">
        <f>IF(J59="計画なし","－",IF(J59="策定済","✕",IF(H59="","？",IF(AND(H59&gt;='集計・設定'!$C$4,H59&lt;='集計・設定'!$C$5),IF(J59="着手済","△","◎"),"✕"))))</f>
        <v/>
      </c>
      <c r="E59" s="13">
        <f>IF(P59="計画なし","－",IF(P59="策定済","✕",IF(N59="","？",IF(AND(N59&gt;='集計・設定'!$C$4,N59&lt;='集計・設定'!$C$5),IF(P59="着手済","△","◎"),"✕"))))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5" t="inlineStr">
        <is>
          <t>調査済</t>
        </is>
      </c>
      <c r="T59" s="11" t="inlineStr">
        <is>
          <t>掲載（広域：福島県避難地域）</t>
        </is>
      </c>
    </row>
    <row r="60">
      <c r="A60" s="11" t="n">
        <v>57</v>
      </c>
      <c r="B60" s="11" t="inlineStr">
        <is>
          <t>葛尾村</t>
        </is>
      </c>
      <c r="C60" s="12">
        <f>IF(OR(D60="◎",E60="◎"),"◎ 営業",IF(OR(D60="△",E60="△"),"△ 着手済・要確認",IF(OR(D60="？",E60="？"),"？ 期間要確認","✕ 対象外")))</f>
        <v/>
      </c>
      <c r="D60" s="13">
        <f>IF(J60="計画なし","－",IF(J60="策定済","✕",IF(H60="","？",IF(AND(H60&gt;='集計・設定'!$C$4,H60&lt;='集計・設定'!$C$5),IF(J60="着手済","△","◎"),"✕"))))</f>
        <v/>
      </c>
      <c r="E60" s="13">
        <f>IF(P60="計画なし","－",IF(P60="策定済","✕",IF(N60="","？",IF(AND(N60&gt;='集計・設定'!$C$4,N60&lt;='集計・設定'!$C$5),IF(P60="着手済","△","◎"),"✕"))))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0" s="18" t="inlineStr">
        <is>
          <t>交通のみ調査</t>
        </is>
      </c>
      <c r="T60" s="11" t="inlineStr">
        <is>
          <t>掲載（広域：福島県避難地域）</t>
        </is>
      </c>
    </row>
    <row r="61">
      <c r="A61" s="11" t="n">
        <v>58</v>
      </c>
      <c r="B61" s="11" t="inlineStr">
        <is>
          <t>新地町</t>
        </is>
      </c>
      <c r="C61" s="12">
        <f>IF(OR(D61="◎",E61="◎"),"◎ 営業",IF(OR(D61="△",E61="△"),"△ 着手済・要確認",IF(OR(D61="？",E61="？"),"？ 期間要確認","✕ 対象外")))</f>
        <v/>
      </c>
      <c r="D61" s="13">
        <f>IF(J61="計画なし","－",IF(J61="策定済","✕",IF(H61="","？",IF(AND(H61&gt;='集計・設定'!$C$4,H61&lt;='集計・設定'!$C$5),IF(J61="着手済","△","◎"),"✕"))))</f>
        <v/>
      </c>
      <c r="E61" s="13">
        <f>IF(P61="計画なし","－",IF(P61="策定済","✕",IF(N61="","？",IF(AND(N61&gt;='集計・設定'!$C$4,N61&lt;='集計・設定'!$C$5),IF(P61="着手済","△","◎"),"✕"))))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8" t="inlineStr">
        <is>
          <t>交通のみ調査</t>
        </is>
      </c>
      <c r="T61" s="17" t="inlineStr">
        <is>
          <t>未掲載【当方は計画あり】</t>
        </is>
      </c>
    </row>
    <row r="62">
      <c r="A62" s="11" t="n">
        <v>59</v>
      </c>
      <c r="B62" s="11" t="inlineStr">
        <is>
          <t>飯舘村</t>
        </is>
      </c>
      <c r="C62" s="12">
        <f>IF(OR(D62="◎",E62="◎"),"◎ 営業",IF(OR(D62="△",E62="△"),"△ 着手済・要確認",IF(OR(D62="？",E62="？"),"？ 期間要確認","✕ 対象外")))</f>
        <v/>
      </c>
      <c r="D62" s="13">
        <f>IF(J62="計画なし","－",IF(J62="策定済","✕",IF(H62="","？",IF(AND(H62&gt;='集計・設定'!$C$4,H62&lt;='集計・設定'!$C$5),IF(J62="着手済","△","◎"),"✕"))))</f>
        <v/>
      </c>
      <c r="E62" s="13">
        <f>IF(P62="計画なし","－",IF(P62="策定済","✕",IF(N62="","？",IF(AND(N62&gt;='集計・設定'!$C$4,N62&lt;='集計・設定'!$C$5),IF(P62="着手済","△","◎"),"✕"))))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5" t="inlineStr">
        <is>
          <t>調査済</t>
        </is>
      </c>
      <c r="T62" s="11" t="inlineStr">
        <is>
          <t>掲載（広域：福島県避難地域）</t>
        </is>
      </c>
    </row>
  </sheetData>
  <autoFilter ref="A3:T62"/>
  <conditionalFormatting sqref="A4:T62">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K12" r:id="rId14"/>
    <hyperlink xmlns:r="http://schemas.openxmlformats.org/officeDocument/2006/relationships" ref="Q12" r:id="rId15"/>
    <hyperlink xmlns:r="http://schemas.openxmlformats.org/officeDocument/2006/relationships" ref="K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K20" r:id="rId22"/>
    <hyperlink xmlns:r="http://schemas.openxmlformats.org/officeDocument/2006/relationships" ref="K26" r:id="rId23"/>
    <hyperlink xmlns:r="http://schemas.openxmlformats.org/officeDocument/2006/relationships" ref="Q26" r:id="rId24"/>
    <hyperlink xmlns:r="http://schemas.openxmlformats.org/officeDocument/2006/relationships" ref="K31" r:id="rId25"/>
    <hyperlink xmlns:r="http://schemas.openxmlformats.org/officeDocument/2006/relationships" ref="K32" r:id="rId26"/>
    <hyperlink xmlns:r="http://schemas.openxmlformats.org/officeDocument/2006/relationships" ref="K33" r:id="rId27"/>
    <hyperlink xmlns:r="http://schemas.openxmlformats.org/officeDocument/2006/relationships" ref="K37" r:id="rId28"/>
    <hyperlink xmlns:r="http://schemas.openxmlformats.org/officeDocument/2006/relationships" ref="K38" r:id="rId29"/>
    <hyperlink xmlns:r="http://schemas.openxmlformats.org/officeDocument/2006/relationships" ref="Q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Q42" r:id="rId35"/>
    <hyperlink xmlns:r="http://schemas.openxmlformats.org/officeDocument/2006/relationships" ref="K43" r:id="rId36"/>
    <hyperlink xmlns:r="http://schemas.openxmlformats.org/officeDocument/2006/relationships" ref="K44" r:id="rId37"/>
    <hyperlink xmlns:r="http://schemas.openxmlformats.org/officeDocument/2006/relationships" ref="K45" r:id="rId38"/>
    <hyperlink xmlns:r="http://schemas.openxmlformats.org/officeDocument/2006/relationships" ref="K46" r:id="rId39"/>
    <hyperlink xmlns:r="http://schemas.openxmlformats.org/officeDocument/2006/relationships" ref="K47" r:id="rId40"/>
    <hyperlink xmlns:r="http://schemas.openxmlformats.org/officeDocument/2006/relationships" ref="K48" r:id="rId41"/>
    <hyperlink xmlns:r="http://schemas.openxmlformats.org/officeDocument/2006/relationships" ref="K49" r:id="rId42"/>
    <hyperlink xmlns:r="http://schemas.openxmlformats.org/officeDocument/2006/relationships" ref="K50" r:id="rId43"/>
    <hyperlink xmlns:r="http://schemas.openxmlformats.org/officeDocument/2006/relationships" ref="K51" r:id="rId44"/>
    <hyperlink xmlns:r="http://schemas.openxmlformats.org/officeDocument/2006/relationships" ref="K52" r:id="rId45"/>
    <hyperlink xmlns:r="http://schemas.openxmlformats.org/officeDocument/2006/relationships" ref="K53" r:id="rId46"/>
    <hyperlink xmlns:r="http://schemas.openxmlformats.org/officeDocument/2006/relationships" ref="Q53" r:id="rId47"/>
    <hyperlink xmlns:r="http://schemas.openxmlformats.org/officeDocument/2006/relationships" ref="K54" r:id="rId48"/>
    <hyperlink xmlns:r="http://schemas.openxmlformats.org/officeDocument/2006/relationships" ref="K55" r:id="rId49"/>
    <hyperlink xmlns:r="http://schemas.openxmlformats.org/officeDocument/2006/relationships" ref="K56" r:id="rId50"/>
    <hyperlink xmlns:r="http://schemas.openxmlformats.org/officeDocument/2006/relationships" ref="K57" r:id="rId51"/>
    <hyperlink xmlns:r="http://schemas.openxmlformats.org/officeDocument/2006/relationships" ref="K58" r:id="rId52"/>
    <hyperlink xmlns:r="http://schemas.openxmlformats.org/officeDocument/2006/relationships" ref="K59" r:id="rId53"/>
    <hyperlink xmlns:r="http://schemas.openxmlformats.org/officeDocument/2006/relationships" ref="K60" r:id="rId54"/>
    <hyperlink xmlns:r="http://schemas.openxmlformats.org/officeDocument/2006/relationships" ref="K61" r:id="rId55"/>
    <hyperlink xmlns:r="http://schemas.openxmlformats.org/officeDocument/2006/relationships" ref="K62" r:id="rId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2026-09-30T23:28:56Z</dcterms:created>
  <dcterms:modified xsi:type="dcterms:W3CDTF">2026-09-30T23:28:56Z</dcterms:modified>
</cp:coreProperties>
</file>