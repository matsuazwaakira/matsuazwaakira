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sheet1.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東北6県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2" t="inlineStr">
        <is>
          <t>合計</t>
        </is>
      </c>
      <c r="C15" s="2">
        <f>SUM(C9:C14)</f>
        <v/>
      </c>
      <c r="D15" s="2">
        <f>SUM(D9:D14)</f>
        <v/>
      </c>
      <c r="E15" s="2">
        <f>SUM(E9:E14)</f>
        <v/>
      </c>
      <c r="F15" s="2">
        <f>SUM(F9:F14)</f>
        <v/>
      </c>
      <c r="G15" s="2">
        <f>SUM(G9:G14)</f>
        <v/>
      </c>
      <c r="H15" s="2">
        <f>SUM(H9:H14)</f>
        <v/>
      </c>
      <c r="I15" s="2">
        <f>SUM(I9:I14)</f>
        <v/>
      </c>
    </row>
    <row r="17">
      <c r="A17" s="7" t="inlineStr">
        <is>
          <t>■ 判定の見方</t>
        </is>
      </c>
    </row>
    <row r="18">
      <c r="A18" s="8" t="inlineStr">
        <is>
          <t>◎ 営業：どちらかの計画の終期が対象年度（初期値R9）で、次の計画の作業は見つかっていない</t>
        </is>
      </c>
    </row>
    <row r="19">
      <c r="A19" s="8" t="inlineStr">
        <is>
          <t>△ 着手済・要確認：終期は対象年度だが、次期計画の策定業務委託やパブコメをすでに確認済。委託先が決まっている可能性が高い</t>
        </is>
      </c>
    </row>
    <row r="20">
      <c r="A20" s="8" t="inlineStr">
        <is>
          <t>？ 期間要確認：終期がわからないため判定できない</t>
        </is>
      </c>
    </row>
    <row r="21">
      <c r="A21" s="8" t="inlineStr">
        <is>
          <t>✕ 対象外：終期が対象年度の外（R8以前は作成中または終了、R10以降は先）、または新計画を策定済</t>
        </is>
      </c>
    </row>
    <row r="22">
      <c r="A22" s="8" t="inlineStr">
        <is>
          <t>－：その計画がない（環境基本計画を作っていない町村など）</t>
        </is>
      </c>
    </row>
    <row r="23">
      <c r="A23" s="8" t="inlineStr"/>
    </row>
    <row r="24">
      <c r="A24" s="7" t="inlineStr">
        <is>
          <t>■ 入力する列</t>
        </is>
      </c>
    </row>
    <row r="25">
      <c r="A25" s="8" t="inlineStr">
        <is>
          <t>各県シートの「終期(令和年度)」と「改定状況」（未確認／着手済／策定済／計画なし）を直すと、判定が自動で変わります。</t>
        </is>
      </c>
    </row>
    <row r="26">
      <c r="A26" s="8" t="inlineStr">
        <is>
          <t>「未確認」は、改定の動きが検索で見つからなかったという意味です。動きがないと確かめたわけではありません。</t>
        </is>
      </c>
    </row>
    <row r="27">
      <c r="A27" s="8" t="inlineStr">
        <is>
          <t>確度：確認済＝検索結果の本文に期間が書かれていた／推定＝策定時期などから推測（終期のセルは茶色の斜体）／不明＝確認できなかった</t>
        </is>
      </c>
    </row>
    <row r="28">
      <c r="A28" s="8" t="inlineStr"/>
    </row>
    <row r="29">
      <c r="A29" s="7" t="inlineStr">
        <is>
          <t>■ 国交省一覧との照合（T列）</t>
        </is>
      </c>
    </row>
    <row r="30">
      <c r="A30" s="8" t="inlineStr">
        <is>
          <t>国土交通省「地域公共交通計画の作成状況一覧」（令和8年5月末時点）と照合。掲載＝計画作成済み、期間満了＝一覧で灰色（計画期間が満了）。一覧には計画期間の記載がないため、終期は各計画書で確認。</t>
        </is>
      </c>
    </row>
    <row r="31">
      <c r="A31" s="8" t="inlineStr">
        <is>
          <t>【当方未把握】＝一覧には計画があるが本調査で計画書を特定できていない／【当方は計画あり】＝本調査では計画を把握したが一覧に未掲載（旧法計画・最近の策定・名称違いの可能性）。</t>
        </is>
      </c>
    </row>
    <row r="32">
      <c r="A32" s="8" t="inlineStr"/>
    </row>
    <row r="33">
      <c r="A33" s="7" t="inlineStr">
        <is>
          <t>■ 調査の方法と限界</t>
        </is>
      </c>
    </row>
    <row r="34">
      <c r="A34"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5">
      <c r="A35" s="8" t="inlineStr">
        <is>
          <t>2026年9月30日時点でWeb検索して調べました。自治体サイトやPDFを直接開けない環境だったため、期間は検索結果の本文・要約から取っています。</t>
        </is>
      </c>
    </row>
    <row r="36">
      <c r="A36" s="8" t="inlineStr">
        <is>
          <t>計画リンクはエビデンスとして検索結果に出たURLを載せています。営業に行く前に、リンク先の計画書で計画期間を確かめてください。特に「推定」「不明」の行は必ず確認してください。</t>
        </is>
      </c>
    </row>
  </sheetData>
  <dataValidations count="1">
    <dataValidation sqref="C4 C5" showDropDown="0" showInputMessage="0" showErrorMessage="0" allowBlank="0" type="list">
      <formula1>"7,8,9,10,11,12,13,14,15"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五所川原市地域公共交通計画</t>
        </is>
      </c>
      <c r="G8" s="11" t="inlineStr">
        <is>
          <t>R5〜R10</t>
        </is>
      </c>
      <c r="H8" s="13" t="n">
        <v>10</v>
      </c>
      <c r="I8" s="13" t="inlineStr">
        <is>
          <t>確認済</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今別町地域公共交通計画</t>
        </is>
      </c>
      <c r="G15" s="11" t="inlineStr">
        <is>
          <t>R5〜R9</t>
        </is>
      </c>
      <c r="H15" s="13" t="n">
        <v>9</v>
      </c>
      <c r="I15" s="13" t="inlineStr">
        <is>
          <t>確認済</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中泊町地域公共交通計画</t>
        </is>
      </c>
      <c r="G26" s="11" t="inlineStr">
        <is>
          <t>R5〜R9</t>
        </is>
      </c>
      <c r="H26" s="13" t="n">
        <v>9</v>
      </c>
      <c r="I26" s="13" t="inlineStr">
        <is>
          <t>確認済</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久慈市地域公共交通計画（R6.3策定）</t>
        </is>
      </c>
      <c r="G9" s="11" t="inlineStr">
        <is>
          <t>H30〜R9</t>
        </is>
      </c>
      <c r="H9" s="16" t="n">
        <v>9</v>
      </c>
      <c r="I9" s="13" t="inlineStr">
        <is>
          <t>推定</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白石市地域公共交通計画</t>
        </is>
      </c>
      <c r="G8" s="11" t="inlineStr">
        <is>
          <t>R5〜R9（推定）</t>
        </is>
      </c>
      <c r="H8" s="13" t="n">
        <v>9</v>
      </c>
      <c r="I8" s="13" t="inlineStr">
        <is>
          <t>確認済</t>
        </is>
      </c>
      <c r="J8" s="13" t="inlineStr">
        <is>
          <t>着手済</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着手済</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〜R8（H28またはH29〜R8の10年間）</t>
        </is>
      </c>
      <c r="N14" s="13" t="n">
        <v>8</v>
      </c>
      <c r="O14" s="13" t="inlineStr">
        <is>
          <t>確認済</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3" t="n">
        <v>9</v>
      </c>
      <c r="O21" s="13" t="inlineStr">
        <is>
          <t>確認済</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f>"営業判定の対象：終期 R"&amp;TGT_MIN&amp;"〜R"&amp;TGT_MAX&amp;"年度 →◎（着手済は△、期間不明は？）。終期セルの色：緑＝対象年度／橙＝その翌年度（次の候補）。対象年度は「集計・設定」シートのC4・C5のプルダウンで切替。"</f>
        <v/>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IF(J4="計画なし","－",IF(J4="策定済","✕",IF(H4="","？",IF(AND(H4&gt;=TGT_MIN,H4&lt;=TGT_MAX),IF(J4="着手済","△","◎"),"✕"))))</f>
        <v/>
      </c>
      <c r="E4" s="13">
        <f>IF(P4="計画なし","－",IF(P4="策定済","✕",IF(N4="","？",IF(AND(N4&gt;=TGT_MIN,N4&lt;=TGT_MAX),IF(P4="着手済","△","◎"),"✕"))))</f>
        <v/>
      </c>
      <c r="F4" s="11" t="inlineStr">
        <is>
          <t>福島市地域公共交通計画</t>
        </is>
      </c>
      <c r="G4" s="11" t="inlineStr">
        <is>
          <t>R5〜R12（県計画に準拠）</t>
        </is>
      </c>
      <c r="H4" s="13" t="n">
        <v>12</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IF(J5="計画なし","－",IF(J5="策定済","✕",IF(H5="","？",IF(AND(H5&gt;=TGT_MIN,H5&lt;=TGT_MAX),IF(J5="着手済","△","◎"),"✕"))))</f>
        <v/>
      </c>
      <c r="E5" s="13">
        <f>IF(P5="計画なし","－",IF(P5="策定済","✕",IF(N5="","？",IF(AND(N5&gt;=TGT_MIN,N5&lt;=TGT_MAX),IF(P5="着手済","△","◎"),"✕"))))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IF(J6="計画なし","－",IF(J6="策定済","✕",IF(H6="","？",IF(AND(H6&gt;=TGT_MIN,H6&lt;=TGT_MAX),IF(J6="着手済","△","◎"),"✕"))))</f>
        <v/>
      </c>
      <c r="E6" s="13">
        <f>IF(P6="計画なし","－",IF(P6="策定済","✕",IF(N6="","？",IF(AND(N6&gt;=TGT_MIN,N6&lt;=TGT_MAX),IF(P6="着手済","△","◎"),"✕"))))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IF(J7="計画なし","－",IF(J7="策定済","✕",IF(H7="","？",IF(AND(H7&gt;=TGT_MIN,H7&lt;=TGT_MAX),IF(J7="着手済","△","◎"),"✕"))))</f>
        <v/>
      </c>
      <c r="E7" s="13">
        <f>IF(P7="計画なし","－",IF(P7="策定済","✕",IF(N7="","？",IF(AND(N7&gt;=TGT_MIN,N7&lt;=TGT_MAX),IF(P7="着手済","△","◎"),"✕"))))</f>
        <v/>
      </c>
      <c r="F7" s="11" t="inlineStr">
        <is>
          <t>いわき市地域公共交通計画</t>
        </is>
      </c>
      <c r="G7" s="11" t="inlineStr">
        <is>
          <t>R5〜R9</t>
        </is>
      </c>
      <c r="H7" s="13" t="n">
        <v>9</v>
      </c>
      <c r="I7" s="13" t="inlineStr">
        <is>
          <t>確認済</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IF(J8="計画なし","－",IF(J8="策定済","✕",IF(H8="","？",IF(AND(H8&gt;=TGT_MIN,H8&lt;=TGT_MAX),IF(J8="着手済","△","◎"),"✕"))))</f>
        <v/>
      </c>
      <c r="E8" s="13">
        <f>IF(P8="計画なし","－",IF(P8="策定済","✕",IF(N8="","？",IF(AND(N8&gt;=TGT_MIN,N8&lt;=TGT_MAX),IF(P8="着手済","△","◎"),"✕"))))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IF(J9="計画なし","－",IF(J9="策定済","✕",IF(H9="","？",IF(AND(H9&gt;=TGT_MIN,H9&lt;=TGT_MAX),IF(J9="着手済","△","◎"),"✕"))))</f>
        <v/>
      </c>
      <c r="E9" s="13">
        <f>IF(P9="計画なし","－",IF(P9="策定済","✕",IF(N9="","？",IF(AND(N9&gt;=TGT_MIN,N9&lt;=TGT_MAX),IF(P9="着手済","△","◎"),"✕"))))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IF(J10="計画なし","－",IF(J10="策定済","✕",IF(H10="","？",IF(AND(H10&gt;=TGT_MIN,H10&lt;=TGT_MAX),IF(J10="着手済","△","◎"),"✕"))))</f>
        <v/>
      </c>
      <c r="E10" s="13">
        <f>IF(P10="計画なし","－",IF(P10="策定済","✕",IF(N10="","？",IF(AND(N10&gt;=TGT_MIN,N10&lt;=TGT_MAX),IF(P10="着手済","△","◎"),"✕"))))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IF(J11="計画なし","－",IF(J11="策定済","✕",IF(H11="","？",IF(AND(H11&gt;=TGT_MIN,H11&lt;=TGT_MAX),IF(J11="着手済","△","◎"),"✕"))))</f>
        <v/>
      </c>
      <c r="E11" s="13">
        <f>IF(P11="計画なし","－",IF(P11="策定済","✕",IF(N11="","？",IF(AND(N11&gt;=TGT_MIN,N11&lt;=TGT_MAX),IF(P11="着手済","△","◎"),"✕"))))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IF(J12="計画なし","－",IF(J12="策定済","✕",IF(H12="","？",IF(AND(H12&gt;=TGT_MIN,H12&lt;=TGT_MAX),IF(J12="着手済","△","◎"),"✕"))))</f>
        <v/>
      </c>
      <c r="E12" s="13">
        <f>IF(P12="計画なし","－",IF(P12="策定済","✕",IF(N12="","？",IF(AND(N12&gt;=TGT_MIN,N12&lt;=TGT_MAX),IF(P12="着手済","△","◎"),"✕"))))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IF(J13="計画なし","－",IF(J13="策定済","✕",IF(H13="","？",IF(AND(H13&gt;=TGT_MIN,H13&lt;=TGT_MAX),IF(J13="着手済","△","◎"),"✕"))))</f>
        <v/>
      </c>
      <c r="E13" s="13">
        <f>IF(P13="計画なし","－",IF(P13="策定済","✕",IF(N13="","？",IF(AND(N13&gt;=TGT_MIN,N13&lt;=TGT_MAX),IF(P13="着手済","△","◎"),"✕"))))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IF(J14="計画なし","－",IF(J14="策定済","✕",IF(H14="","？",IF(AND(H14&gt;=TGT_MIN,H14&lt;=TGT_MAX),IF(J14="着手済","△","◎"),"✕"))))</f>
        <v/>
      </c>
      <c r="E14" s="13">
        <f>IF(P14="計画なし","－",IF(P14="策定済","✕",IF(N14="","？",IF(AND(N14&gt;=TGT_MIN,N14&lt;=TGT_MAX),IF(P14="着手済","△","◎"),"✕"))))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IF(J15="計画なし","－",IF(J15="策定済","✕",IF(H15="","？",IF(AND(H15&gt;=TGT_MIN,H15&lt;=TGT_MAX),IF(J15="着手済","△","◎"),"✕"))))</f>
        <v/>
      </c>
      <c r="E15" s="13">
        <f>IF(P15="計画なし","－",IF(P15="策定済","✕",IF(N15="","？",IF(AND(N15&gt;=TGT_MIN,N15&lt;=TGT_MAX),IF(P15="着手済","△","◎"),"✕"))))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IF(J16="計画なし","－",IF(J16="策定済","✕",IF(H16="","？",IF(AND(H16&gt;=TGT_MIN,H16&lt;=TGT_MAX),IF(J16="着手済","△","◎"),"✕"))))</f>
        <v/>
      </c>
      <c r="E16" s="13">
        <f>IF(P16="計画なし","－",IF(P16="策定済","✕",IF(N16="","？",IF(AND(N16&gt;=TGT_MIN,N16&lt;=TGT_MAX),IF(P16="着手済","△","◎"),"✕"))))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IF(J17="計画なし","－",IF(J17="策定済","✕",IF(H17="","？",IF(AND(H17&gt;=TGT_MIN,H17&lt;=TGT_MAX),IF(J17="着手済","△","◎"),"✕"))))</f>
        <v/>
      </c>
      <c r="E17" s="13">
        <f>IF(P17="計画なし","－",IF(P17="策定済","✕",IF(N17="","？",IF(AND(N17&gt;=TGT_MIN,N17&lt;=TGT_MAX),IF(P17="着手済","△","◎"),"✕"))))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IF(J18="計画なし","－",IF(J18="策定済","✕",IF(H18="","？",IF(AND(H18&gt;=TGT_MIN,H18&lt;=TGT_MAX),IF(J18="着手済","△","◎"),"✕"))))</f>
        <v/>
      </c>
      <c r="E18" s="13">
        <f>IF(P18="計画なし","－",IF(P18="策定済","✕",IF(N18="","？",IF(AND(N18&gt;=TGT_MIN,N18&lt;=TGT_MAX),IF(P18="着手済","△","◎"),"✕"))))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IF(J19="計画なし","－",IF(J19="策定済","✕",IF(H19="","？",IF(AND(H19&gt;=TGT_MIN,H19&lt;=TGT_MAX),IF(J19="着手済","△","◎"),"✕"))))</f>
        <v/>
      </c>
      <c r="E19" s="13">
        <f>IF(P19="計画なし","－",IF(P19="策定済","✕",IF(N19="","？",IF(AND(N19&gt;=TGT_MIN,N19&lt;=TGT_MAX),IF(P19="着手済","△","◎"),"✕"))))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IF(J20="計画なし","－",IF(J20="策定済","✕",IF(H20="","？",IF(AND(H20&gt;=TGT_MIN,H20&lt;=TGT_MAX),IF(J20="着手済","△","◎"),"✕"))))</f>
        <v/>
      </c>
      <c r="E20" s="13">
        <f>IF(P20="計画なし","－",IF(P20="策定済","✕",IF(N20="","？",IF(AND(N20&gt;=TGT_MIN,N20&lt;=TGT_MAX),IF(P20="着手済","△","◎"),"✕"))))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IF(J21="計画なし","－",IF(J21="策定済","✕",IF(H21="","？",IF(AND(H21&gt;=TGT_MIN,H21&lt;=TGT_MAX),IF(J21="着手済","△","◎"),"✕"))))</f>
        <v/>
      </c>
      <c r="E21" s="13">
        <f>IF(P21="計画なし","－",IF(P21="策定済","✕",IF(N21="","？",IF(AND(N21&gt;=TGT_MIN,N21&lt;=TGT_MAX),IF(P21="着手済","△","◎"),"✕"))))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IF(J22="計画なし","－",IF(J22="策定済","✕",IF(H22="","？",IF(AND(H22&gt;=TGT_MIN,H22&lt;=TGT_MAX),IF(J22="着手済","△","◎"),"✕"))))</f>
        <v/>
      </c>
      <c r="E22" s="13">
        <f>IF(P22="計画なし","－",IF(P22="策定済","✕",IF(N22="","？",IF(AND(N22&gt;=TGT_MIN,N22&lt;=TGT_MAX),IF(P22="着手済","△","◎"),"✕"))))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IF(J23="計画なし","－",IF(J23="策定済","✕",IF(H23="","？",IF(AND(H23&gt;=TGT_MIN,H23&lt;=TGT_MAX),IF(J23="着手済","△","◎"),"✕"))))</f>
        <v/>
      </c>
      <c r="E23" s="13">
        <f>IF(P23="計画なし","－",IF(P23="策定済","✕",IF(N23="","？",IF(AND(N23&gt;=TGT_MIN,N23&lt;=TGT_MAX),IF(P23="着手済","△","◎"),"✕"))))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IF(J24="計画なし","－",IF(J24="策定済","✕",IF(H24="","？",IF(AND(H24&gt;=TGT_MIN,H24&lt;=TGT_MAX),IF(J24="着手済","△","◎"),"✕"))))</f>
        <v/>
      </c>
      <c r="E24" s="13">
        <f>IF(P24="計画なし","－",IF(P24="策定済","✕",IF(N24="","？",IF(AND(N24&gt;=TGT_MIN,N24&lt;=TGT_MAX),IF(P24="着手済","△","◎"),"✕"))))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IF(J25="計画なし","－",IF(J25="策定済","✕",IF(H25="","？",IF(AND(H25&gt;=TGT_MIN,H25&lt;=TGT_MAX),IF(J25="着手済","△","◎"),"✕"))))</f>
        <v/>
      </c>
      <c r="E25" s="13">
        <f>IF(P25="計画なし","－",IF(P25="策定済","✕",IF(N25="","？",IF(AND(N25&gt;=TGT_MIN,N25&lt;=TGT_MAX),IF(P25="着手済","△","◎"),"✕"))))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IF(J26="計画なし","－",IF(J26="策定済","✕",IF(H26="","？",IF(AND(H26&gt;=TGT_MIN,H26&lt;=TGT_MAX),IF(J26="着手済","△","◎"),"✕"))))</f>
        <v/>
      </c>
      <c r="E26" s="13">
        <f>IF(P26="計画なし","－",IF(P26="策定済","✕",IF(N26="","？",IF(AND(N26&gt;=TGT_MIN,N26&lt;=TGT_MAX),IF(P26="着手済","△","◎"),"✕"))))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IF(J27="計画なし","－",IF(J27="策定済","✕",IF(H27="","？",IF(AND(H27&gt;=TGT_MIN,H27&lt;=TGT_MAX),IF(J27="着手済","△","◎"),"✕"))))</f>
        <v/>
      </c>
      <c r="E27" s="13">
        <f>IF(P27="計画なし","－",IF(P27="策定済","✕",IF(N27="","？",IF(AND(N27&gt;=TGT_MIN,N27&lt;=TGT_MAX),IF(P27="着手済","△","◎"),"✕"))))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IF(J28="計画なし","－",IF(J28="策定済","✕",IF(H28="","？",IF(AND(H28&gt;=TGT_MIN,H28&lt;=TGT_MAX),IF(J28="着手済","△","◎"),"✕"))))</f>
        <v/>
      </c>
      <c r="E28" s="13">
        <f>IF(P28="計画なし","－",IF(P28="策定済","✕",IF(N28="","？",IF(AND(N28&gt;=TGT_MIN,N28&lt;=TGT_MAX),IF(P28="着手済","△","◎"),"✕"))))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IF(J29="計画なし","－",IF(J29="策定済","✕",IF(H29="","？",IF(AND(H29&gt;=TGT_MIN,H29&lt;=TGT_MAX),IF(J29="着手済","△","◎"),"✕"))))</f>
        <v/>
      </c>
      <c r="E29" s="13">
        <f>IF(P29="計画なし","－",IF(P29="策定済","✕",IF(N29="","？",IF(AND(N29&gt;=TGT_MIN,N29&lt;=TGT_MAX),IF(P29="着手済","△","◎"),"✕"))))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IF(J30="計画なし","－",IF(J30="策定済","✕",IF(H30="","？",IF(AND(H30&gt;=TGT_MIN,H30&lt;=TGT_MAX),IF(J30="着手済","△","◎"),"✕"))))</f>
        <v/>
      </c>
      <c r="E30" s="13">
        <f>IF(P30="計画なし","－",IF(P30="策定済","✕",IF(N30="","？",IF(AND(N30&gt;=TGT_MIN,N30&lt;=TGT_MAX),IF(P30="着手済","△","◎"),"✕"))))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IF(J31="計画なし","－",IF(J31="策定済","✕",IF(H31="","？",IF(AND(H31&gt;=TGT_MIN,H31&lt;=TGT_MAX),IF(J31="着手済","△","◎"),"✕"))))</f>
        <v/>
      </c>
      <c r="E31" s="13">
        <f>IF(P31="計画なし","－",IF(P31="策定済","✕",IF(N31="","？",IF(AND(N31&gt;=TGT_MIN,N31&lt;=TGT_MAX),IF(P31="着手済","△","◎"),"✕"))))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IF(J32="計画なし","－",IF(J32="策定済","✕",IF(H32="","？",IF(AND(H32&gt;=TGT_MIN,H32&lt;=TGT_MAX),IF(J32="着手済","△","◎"),"✕"))))</f>
        <v/>
      </c>
      <c r="E32" s="13">
        <f>IF(P32="計画なし","－",IF(P32="策定済","✕",IF(N32="","？",IF(AND(N32&gt;=TGT_MIN,N32&lt;=TGT_MAX),IF(P32="着手済","△","◎"),"✕"))))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IF(J33="計画なし","－",IF(J33="策定済","✕",IF(H33="","？",IF(AND(H33&gt;=TGT_MIN,H33&lt;=TGT_MAX),IF(J33="着手済","△","◎"),"✕"))))</f>
        <v/>
      </c>
      <c r="E33" s="13">
        <f>IF(P33="計画なし","－",IF(P33="策定済","✕",IF(N33="","？",IF(AND(N33&gt;=TGT_MIN,N33&lt;=TGT_MAX),IF(P33="着手済","△","◎"),"✕"))))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IF(J34="計画なし","－",IF(J34="策定済","✕",IF(H34="","？",IF(AND(H34&gt;=TGT_MIN,H34&lt;=TGT_MAX),IF(J34="着手済","△","◎"),"✕"))))</f>
        <v/>
      </c>
      <c r="E34" s="13">
        <f>IF(P34="計画なし","－",IF(P34="策定済","✕",IF(N34="","？",IF(AND(N34&gt;=TGT_MIN,N34&lt;=TGT_MAX),IF(P34="着手済","△","◎"),"✕"))))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IF(J35="計画なし","－",IF(J35="策定済","✕",IF(H35="","？",IF(AND(H35&gt;=TGT_MIN,H35&lt;=TGT_MAX),IF(J35="着手済","△","◎"),"✕"))))</f>
        <v/>
      </c>
      <c r="E35" s="13">
        <f>IF(P35="計画なし","－",IF(P35="策定済","✕",IF(N35="","？",IF(AND(N35&gt;=TGT_MIN,N35&lt;=TGT_MAX),IF(P35="着手済","△","◎"),"✕"))))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IF(J36="計画なし","－",IF(J36="策定済","✕",IF(H36="","？",IF(AND(H36&gt;=TGT_MIN,H36&lt;=TGT_MAX),IF(J36="着手済","△","◎"),"✕"))))</f>
        <v/>
      </c>
      <c r="E36" s="13">
        <f>IF(P36="計画なし","－",IF(P36="策定済","✕",IF(N36="","？",IF(AND(N36&gt;=TGT_MIN,N36&lt;=TGT_MAX),IF(P36="着手済","△","◎"),"✕"))))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IF(J37="計画なし","－",IF(J37="策定済","✕",IF(H37="","？",IF(AND(H37&gt;=TGT_MIN,H37&lt;=TGT_MAX),IF(J37="着手済","△","◎"),"✕"))))</f>
        <v/>
      </c>
      <c r="E37" s="13">
        <f>IF(P37="計画なし","－",IF(P37="策定済","✕",IF(N37="","？",IF(AND(N37&gt;=TGT_MIN,N37&lt;=TGT_MAX),IF(P37="着手済","△","◎"),"✕"))))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IF(J38="計画なし","－",IF(J38="策定済","✕",IF(H38="","？",IF(AND(H38&gt;=TGT_MIN,H38&lt;=TGT_MAX),IF(J38="着手済","△","◎"),"✕"))))</f>
        <v/>
      </c>
      <c r="E38" s="13">
        <f>IF(P38="計画なし","－",IF(P38="策定済","✕",IF(N38="","？",IF(AND(N38&gt;=TGT_MIN,N38&lt;=TGT_MAX),IF(P38="着手済","△","◎"),"✕"))))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IF(J39="計画なし","－",IF(J39="策定済","✕",IF(H39="","？",IF(AND(H39&gt;=TGT_MIN,H39&lt;=TGT_MAX),IF(J39="着手済","△","◎"),"✕"))))</f>
        <v/>
      </c>
      <c r="E39" s="13">
        <f>IF(P39="計画なし","－",IF(P39="策定済","✕",IF(N39="","？",IF(AND(N39&gt;=TGT_MIN,N39&lt;=TGT_MAX),IF(P39="着手済","△","◎"),"✕"))))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IF(J40="計画なし","－",IF(J40="策定済","✕",IF(H40="","？",IF(AND(H40&gt;=TGT_MIN,H40&lt;=TGT_MAX),IF(J40="着手済","△","◎"),"✕"))))</f>
        <v/>
      </c>
      <c r="E40" s="13">
        <f>IF(P40="計画なし","－",IF(P40="策定済","✕",IF(N40="","？",IF(AND(N40&gt;=TGT_MIN,N40&lt;=TGT_MAX),IF(P40="着手済","△","◎"),"✕"))))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IF(J41="計画なし","－",IF(J41="策定済","✕",IF(H41="","？",IF(AND(H41&gt;=TGT_MIN,H41&lt;=TGT_MAX),IF(J41="着手済","△","◎"),"✕"))))</f>
        <v/>
      </c>
      <c r="E41" s="13">
        <f>IF(P41="計画なし","－",IF(P41="策定済","✕",IF(N41="","？",IF(AND(N41&gt;=TGT_MIN,N41&lt;=TGT_MAX),IF(P41="着手済","△","◎"),"✕"))))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IF(J42="計画なし","－",IF(J42="策定済","✕",IF(H42="","？",IF(AND(H42&gt;=TGT_MIN,H42&lt;=TGT_MAX),IF(J42="着手済","△","◎"),"✕"))))</f>
        <v/>
      </c>
      <c r="E42" s="13">
        <f>IF(P42="計画なし","－",IF(P42="策定済","✕",IF(N42="","？",IF(AND(N42&gt;=TGT_MIN,N42&lt;=TGT_MAX),IF(P42="着手済","△","◎"),"✕"))))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IF(J43="計画なし","－",IF(J43="策定済","✕",IF(H43="","？",IF(AND(H43&gt;=TGT_MIN,H43&lt;=TGT_MAX),IF(J43="着手済","△","◎"),"✕"))))</f>
        <v/>
      </c>
      <c r="E43" s="13">
        <f>IF(P43="計画なし","－",IF(P43="策定済","✕",IF(N43="","？",IF(AND(N43&gt;=TGT_MIN,N43&lt;=TGT_MAX),IF(P43="着手済","△","◎"),"✕"))))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IF(J44="計画なし","－",IF(J44="策定済","✕",IF(H44="","？",IF(AND(H44&gt;=TGT_MIN,H44&lt;=TGT_MAX),IF(J44="着手済","△","◎"),"✕"))))</f>
        <v/>
      </c>
      <c r="E44" s="13">
        <f>IF(P44="計画なし","－",IF(P44="策定済","✕",IF(N44="","？",IF(AND(N44&gt;=TGT_MIN,N44&lt;=TGT_MAX),IF(P44="着手済","△","◎"),"✕"))))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IF(J45="計画なし","－",IF(J45="策定済","✕",IF(H45="","？",IF(AND(H45&gt;=TGT_MIN,H45&lt;=TGT_MAX),IF(J45="着手済","△","◎"),"✕"))))</f>
        <v/>
      </c>
      <c r="E45" s="13">
        <f>IF(P45="計画なし","－",IF(P45="策定済","✕",IF(N45="","？",IF(AND(N45&gt;=TGT_MIN,N45&lt;=TGT_MAX),IF(P45="着手済","△","◎"),"✕"))))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IF(J46="計画なし","－",IF(J46="策定済","✕",IF(H46="","？",IF(AND(H46&gt;=TGT_MIN,H46&lt;=TGT_MAX),IF(J46="着手済","△","◎"),"✕"))))</f>
        <v/>
      </c>
      <c r="E46" s="13">
        <f>IF(P46="計画なし","－",IF(P46="策定済","✕",IF(N46="","？",IF(AND(N46&gt;=TGT_MIN,N46&lt;=TGT_MAX),IF(P46="着手済","△","◎"),"✕"))))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IF(J47="計画なし","－",IF(J47="策定済","✕",IF(H47="","？",IF(AND(H47&gt;=TGT_MIN,H47&lt;=TGT_MAX),IF(J47="着手済","△","◎"),"✕"))))</f>
        <v/>
      </c>
      <c r="E47" s="13">
        <f>IF(P47="計画なし","－",IF(P47="策定済","✕",IF(N47="","？",IF(AND(N47&gt;=TGT_MIN,N47&lt;=TGT_MAX),IF(P47="着手済","△","◎"),"✕"))))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IF(J48="計画なし","－",IF(J48="策定済","✕",IF(H48="","？",IF(AND(H48&gt;=TGT_MIN,H48&lt;=TGT_MAX),IF(J48="着手済","△","◎"),"✕"))))</f>
        <v/>
      </c>
      <c r="E48" s="13">
        <f>IF(P48="計画なし","－",IF(P48="策定済","✕",IF(N48="","？",IF(AND(N48&gt;=TGT_MIN,N48&lt;=TGT_MAX),IF(P48="着手済","△","◎"),"✕"))))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IF(J49="計画なし","－",IF(J49="策定済","✕",IF(H49="","？",IF(AND(H49&gt;=TGT_MIN,H49&lt;=TGT_MAX),IF(J49="着手済","△","◎"),"✕"))))</f>
        <v/>
      </c>
      <c r="E49" s="13">
        <f>IF(P49="計画なし","－",IF(P49="策定済","✕",IF(N49="","？",IF(AND(N49&gt;=TGT_MIN,N49&lt;=TGT_MAX),IF(P49="着手済","△","◎"),"✕"))))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IF(J50="計画なし","－",IF(J50="策定済","✕",IF(H50="","？",IF(AND(H50&gt;=TGT_MIN,H50&lt;=TGT_MAX),IF(J50="着手済","△","◎"),"✕"))))</f>
        <v/>
      </c>
      <c r="E50" s="13">
        <f>IF(P50="計画なし","－",IF(P50="策定済","✕",IF(N50="","？",IF(AND(N50&gt;=TGT_MIN,N50&lt;=TGT_MAX),IF(P50="着手済","△","◎"),"✕"))))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IF(J51="計画なし","－",IF(J51="策定済","✕",IF(H51="","？",IF(AND(H51&gt;=TGT_MIN,H51&lt;=TGT_MAX),IF(J51="着手済","△","◎"),"✕"))))</f>
        <v/>
      </c>
      <c r="E51" s="13">
        <f>IF(P51="計画なし","－",IF(P51="策定済","✕",IF(N51="","？",IF(AND(N51&gt;=TGT_MIN,N51&lt;=TGT_MAX),IF(P51="着手済","△","◎"),"✕"))))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IF(J52="計画なし","－",IF(J52="策定済","✕",IF(H52="","？",IF(AND(H52&gt;=TGT_MIN,H52&lt;=TGT_MAX),IF(J52="着手済","△","◎"),"✕"))))</f>
        <v/>
      </c>
      <c r="E52" s="13">
        <f>IF(P52="計画なし","－",IF(P52="策定済","✕",IF(N52="","？",IF(AND(N52&gt;=TGT_MIN,N52&lt;=TGT_MAX),IF(P52="着手済","△","◎"),"✕"))))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IF(J53="計画なし","－",IF(J53="策定済","✕",IF(H53="","？",IF(AND(H53&gt;=TGT_MIN,H53&lt;=TGT_MAX),IF(J53="着手済","△","◎"),"✕"))))</f>
        <v/>
      </c>
      <c r="E53" s="13">
        <f>IF(P53="計画なし","－",IF(P53="策定済","✕",IF(N53="","？",IF(AND(N53&gt;=TGT_MIN,N53&lt;=TGT_MAX),IF(P53="着手済","△","◎"),"✕"))))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IF(J54="計画なし","－",IF(J54="策定済","✕",IF(H54="","？",IF(AND(H54&gt;=TGT_MIN,H54&lt;=TGT_MAX),IF(J54="着手済","△","◎"),"✕"))))</f>
        <v/>
      </c>
      <c r="E54" s="13">
        <f>IF(P54="計画なし","－",IF(P54="策定済","✕",IF(N54="","？",IF(AND(N54&gt;=TGT_MIN,N54&lt;=TGT_MAX),IF(P54="着手済","△","◎"),"✕"))))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IF(J55="計画なし","－",IF(J55="策定済","✕",IF(H55="","？",IF(AND(H55&gt;=TGT_MIN,H55&lt;=TGT_MAX),IF(J55="着手済","△","◎"),"✕"))))</f>
        <v/>
      </c>
      <c r="E55" s="13">
        <f>IF(P55="計画なし","－",IF(P55="策定済","✕",IF(N55="","？",IF(AND(N55&gt;=TGT_MIN,N55&lt;=TGT_MAX),IF(P55="着手済","△","◎"),"✕"))))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IF(J56="計画なし","－",IF(J56="策定済","✕",IF(H56="","？",IF(AND(H56&gt;=TGT_MIN,H56&lt;=TGT_MAX),IF(J56="着手済","△","◎"),"✕"))))</f>
        <v/>
      </c>
      <c r="E56" s="13">
        <f>IF(P56="計画なし","－",IF(P56="策定済","✕",IF(N56="","？",IF(AND(N56&gt;=TGT_MIN,N56&lt;=TGT_MAX),IF(P56="着手済","△","◎"),"✕"))))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IF(J57="計画なし","－",IF(J57="策定済","✕",IF(H57="","？",IF(AND(H57&gt;=TGT_MIN,H57&lt;=TGT_MAX),IF(J57="着手済","△","◎"),"✕"))))</f>
        <v/>
      </c>
      <c r="E57" s="13">
        <f>IF(P57="計画なし","－",IF(P57="策定済","✕",IF(N57="","？",IF(AND(N57&gt;=TGT_MIN,N57&lt;=TGT_MAX),IF(P57="着手済","△","◎"),"✕"))))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IF(J58="計画なし","－",IF(J58="策定済","✕",IF(H58="","？",IF(AND(H58&gt;=TGT_MIN,H58&lt;=TGT_MAX),IF(J58="着手済","△","◎"),"✕"))))</f>
        <v/>
      </c>
      <c r="E58" s="13">
        <f>IF(P58="計画なし","－",IF(P58="策定済","✕",IF(N58="","？",IF(AND(N58&gt;=TGT_MIN,N58&lt;=TGT_MAX),IF(P58="着手済","△","◎"),"✕"))))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IF(J59="計画なし","－",IF(J59="策定済","✕",IF(H59="","？",IF(AND(H59&gt;=TGT_MIN,H59&lt;=TGT_MAX),IF(J59="着手済","△","◎"),"✕"))))</f>
        <v/>
      </c>
      <c r="E59" s="13">
        <f>IF(P59="計画なし","－",IF(P59="策定済","✕",IF(N59="","？",IF(AND(N59&gt;=TGT_MIN,N59&lt;=TGT_MAX),IF(P59="着手済","△","◎"),"✕"))))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IF(J60="計画なし","－",IF(J60="策定済","✕",IF(H60="","？",IF(AND(H60&gt;=TGT_MIN,H60&lt;=TGT_MAX),IF(J60="着手済","△","◎"),"✕"))))</f>
        <v/>
      </c>
      <c r="E60" s="13">
        <f>IF(P60="計画なし","－",IF(P60="策定済","✕",IF(N60="","？",IF(AND(N60&gt;=TGT_MIN,N60&lt;=TGT_MAX),IF(P60="着手済","△","◎"),"✕"))))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IF(J61="計画なし","－",IF(J61="策定済","✕",IF(H61="","？",IF(AND(H61&gt;=TGT_MIN,H61&lt;=TGT_MAX),IF(J61="着手済","△","◎"),"✕"))))</f>
        <v/>
      </c>
      <c r="E61" s="13">
        <f>IF(P61="計画なし","－",IF(P61="策定済","✕",IF(N61="","？",IF(AND(N61&gt;=TGT_MIN,N61&lt;=TGT_MAX),IF(P61="着手済","△","◎"),"✕"))))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IF(J62="計画なし","－",IF(J62="策定済","✕",IF(H62="","？",IF(AND(H62&gt;=TGT_MIN,H62&lt;=TGT_MAX),IF(J62="着手済","△","◎"),"✕"))))</f>
        <v/>
      </c>
      <c r="E62" s="13">
        <f>IF(P62="計画なし","－",IF(P62="策定済","✕",IF(N62="","？",IF(AND(N62&gt;=TGT_MIN,N62&lt;=TGT_MAX),IF(P62="着手済","△","◎"),"✕"))))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5" t="inlineStr">
        <is>
          <t>調査済</t>
        </is>
      </c>
      <c r="T62" s="11" t="inlineStr">
        <is>
          <t>掲載（広域：福島県避難地域）</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2026-10-02T01:37:10Z</dcterms:created>
  <dcterms:modified xsi:type="dcterms:W3CDTF">2026-10-02T01:37:11Z</dcterms:modified>
</cp:coreProperties>
</file>