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ァクトチェック結果" sheetId="1" state="visible" r:id="rId1"/>
  </sheets>
  <definedNames>
    <definedName name="_xlnm._FilterDatabase" localSheetId="0" hidden="1">'ファクトチェック結果'!$A$4:$L$50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9"/>
      <u val="single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ty.goshogawara.lg.jp/kurashi/machi/files/suishinnkeikaku-gaiyou.ver.pdf" TargetMode="External" Id="rId1" /><Relationship Type="http://schemas.openxmlformats.org/officeDocument/2006/relationships/hyperlink" Target="https://www.city.towada.lg.jp/kurashi/koutsuu/files/keikaku.pdf" TargetMode="External" Id="rId2" /><Relationship Type="http://schemas.openxmlformats.org/officeDocument/2006/relationships/hyperlink" Target="https://www.town.imabetsu.lg.jp/gyousei/koukai/2023-0828-1639-1.html" TargetMode="External" Id="rId3" /><Relationship Type="http://schemas.openxmlformats.org/officeDocument/2006/relationships/hyperlink" Target="http://www.town.owani.lg.jp/aboutowani/plan/kokyo-kotsu.html" TargetMode="External" Id="rId4" /><Relationship Type="http://schemas.openxmlformats.org/officeDocument/2006/relationships/hyperlink" Target="https://www.town.nakadomari.lg.jp/soshikikarasagasu/sogosenryakuka/gyomuannai/5/1/1/4311.html" TargetMode="External" Id="rId5" /><Relationship Type="http://schemas.openxmlformats.org/officeDocument/2006/relationships/hyperlink" Target="https://www.city.kuji.lg.jp/soshiki/chiikizukurishinko/1/6/1/1835.html" TargetMode="External" Id="rId6" /><Relationship Type="http://schemas.openxmlformats.org/officeDocument/2006/relationships/hyperlink" Target="https://www.city.shiroishi.miyagi.jp/soshiki/17/27078.html" TargetMode="External" Id="rId7" /><Relationship Type="http://schemas.openxmlformats.org/officeDocument/2006/relationships/hyperlink" Target="https://www.city.natori.miyagi.jp/page/4327.html" TargetMode="External" Id="rId8" /><Relationship Type="http://schemas.openxmlformats.org/officeDocument/2006/relationships/hyperlink" Target="https://www.city.akita.lg.jp/_res/projects/default_project/_page_/001/006/108/r2-1nenhoukoku.pdf" TargetMode="External" Id="rId9" /><Relationship Type="http://schemas.openxmlformats.org/officeDocument/2006/relationships/hyperlink" Target="https://www.city.noshiro.lg.jp/sangyo/kankyo/keikaku/22091" TargetMode="External" Id="rId10" /><Relationship Type="http://schemas.openxmlformats.org/officeDocument/2006/relationships/hyperlink" Target="https://www.city.odate.lg.jp/uploads/public/pages_0000011901_00/R07.8%E6%9C%88%E6%94%B9%E6%AD%A3.%E5%A4%A7%E9%A4%A8%E5%B8%82%E5%9C%B0%E5%9F%9F%E5%85%AC%E5%85%B1%E4%BA%A4%E8%A8%88%E7%94%BB_.pdf" TargetMode="External" Id="rId11" /><Relationship Type="http://schemas.openxmlformats.org/officeDocument/2006/relationships/hyperlink" Target="https://realtime-nippon.com/archives/052094230123001/" TargetMode="External" Id="rId12" /><Relationship Type="http://schemas.openxmlformats.org/officeDocument/2006/relationships/hyperlink" Target="https://www.city.kitaakita.akita.jp/news/p15700" TargetMode="External" Id="rId13" /><Relationship Type="http://schemas.openxmlformats.org/officeDocument/2006/relationships/hyperlink" Target="https://www.city.kitaakita.akita.jp/archive/p13109" TargetMode="External" Id="rId14" /><Relationship Type="http://schemas.openxmlformats.org/officeDocument/2006/relationships/hyperlink" Target="https://www.town.gojome.akita.jp/kurashi/koukyoukoutsu/2085" TargetMode="External" Id="rId15" /><Relationship Type="http://schemas.openxmlformats.org/officeDocument/2006/relationships/hyperlink" Target="https://www.town.gojome.akita.jp/kurashi/koukyoukoutsu/2085" TargetMode="External" Id="rId16" /><Relationship Type="http://schemas.openxmlformats.org/officeDocument/2006/relationships/hyperlink" Target="https://www.town.gojome.akita.jp/kurashi/koukyoukoutsu/2085" TargetMode="External" Id="rId17" /><Relationship Type="http://schemas.openxmlformats.org/officeDocument/2006/relationships/hyperlink" Target="https://www.city.murayama.lg.jp/kurashi/shizen/kankyohozen/kankyoukihon.files/kankyou-2.pdf" TargetMode="External" Id="rId18" /><Relationship Type="http://schemas.openxmlformats.org/officeDocument/2006/relationships/hyperlink" Target="https://www.town.asahi.yamagata.jp/portal/soshikinogoannai/somuka/bosaigakari/3_1/3/2438.html" TargetMode="External" Id="rId19" /><Relationship Type="http://schemas.openxmlformats.org/officeDocument/2006/relationships/hyperlink" Target="https://www.city.fukushima.fukushima.jp/material/files/group/62/40koutuukeikaku-honnpenn1.pdf" TargetMode="External" Id="rId20" /><Relationship Type="http://schemas.openxmlformats.org/officeDocument/2006/relationships/hyperlink" Target="https://www.city.iwaki.lg.jp/www/contents/1679296597893/index.html" TargetMode="External" Id="rId21" /><Relationship Type="http://schemas.openxmlformats.org/officeDocument/2006/relationships/hyperlink" Target="https://www.vill.samegawa.fukushima.jp/sp/page/page002592.html" TargetMode="External" Id="rId22" /><Relationship Type="http://schemas.openxmlformats.org/officeDocument/2006/relationships/hyperlink" Target="https://www.pref.fukushima.lg.jp/uploaded/attachment/738677.pdf" TargetMode="External" Id="rId23" /><Relationship Type="http://schemas.openxmlformats.org/officeDocument/2006/relationships/hyperlink" Target="https://www.pref.fukushima.lg.jp/uploaded/attachment/738677.pdf" TargetMode="External" Id="rId24" /><Relationship Type="http://schemas.openxmlformats.org/officeDocument/2006/relationships/hyperlink" Target="https://www.pref.fukushima.lg.jp/uploaded/attachment/738677.pdf" TargetMode="External" Id="rId25" /><Relationship Type="http://schemas.openxmlformats.org/officeDocument/2006/relationships/hyperlink" Target="https://www.pref.fukushima.lg.jp/uploaded/attachment/738677.pdf" TargetMode="External" Id="rId26" /><Relationship Type="http://schemas.openxmlformats.org/officeDocument/2006/relationships/hyperlink" Target="https://www.pref.fukushima.lg.jp/uploaded/attachment/738677.pdf" TargetMode="External" Id="rId27" /><Relationship Type="http://schemas.openxmlformats.org/officeDocument/2006/relationships/hyperlink" Target="https://www.pref.fukushima.lg.jp/uploaded/attachment/738677.pdf" TargetMode="External" Id="rId28" /><Relationship Type="http://schemas.openxmlformats.org/officeDocument/2006/relationships/hyperlink" Target="https://www.pref.fukushima.lg.jp/uploaded/attachment/738677.pdf" TargetMode="External" Id="rId29" /><Relationship Type="http://schemas.openxmlformats.org/officeDocument/2006/relationships/hyperlink" Target="https://www.pref.fukushima.lg.jp/uploaded/attachment/738677.pdf" TargetMode="External" Id="rId30" /><Relationship Type="http://schemas.openxmlformats.org/officeDocument/2006/relationships/hyperlink" Target="https://www.pref.fukushima.lg.jp/uploaded/attachment/738677.pdf" TargetMode="External" Id="rId31" /><Relationship Type="http://schemas.openxmlformats.org/officeDocument/2006/relationships/hyperlink" Target="https://www.city.hitachiomiya.lg.jp/kurashi_gyousei/gyousei/plan/r0/page003126.html" TargetMode="External" Id="rId32" /><Relationship Type="http://schemas.openxmlformats.org/officeDocument/2006/relationships/hyperlink" Target="https://www.city.hitachiomiya.lg.jp/data/doc/1673312876_doc_1_0.pdf" TargetMode="External" Id="rId33" /><Relationship Type="http://schemas.openxmlformats.org/officeDocument/2006/relationships/hyperlink" Target="https://www.town.ami.lg.jp/cmsfiles/contents/0000009/9640/gaiyo.pdf" TargetMode="External" Id="rId34" /><Relationship Type="http://schemas.openxmlformats.org/officeDocument/2006/relationships/hyperlink" Target="https://www.town.goka.lg.jp/kurashi-machi-shigoto/kurashi/kurashi-tetsuzuki/lifeline/koukyoukoutsuu/page005231.html" TargetMode="External" Id="rId35" /><Relationship Type="http://schemas.openxmlformats.org/officeDocument/2006/relationships/hyperlink" Target="https://www.city.tochigi.lg.jp/uploaded/attachment/63013.pdf" TargetMode="External" Id="rId36" /><Relationship Type="http://schemas.openxmlformats.org/officeDocument/2006/relationships/hyperlink" Target="https://www.city.kanuma.tochigi.jp/manage/contents/upload/6a3b627349ac7.pdf" TargetMode="External" Id="rId37" /><Relationship Type="http://schemas.openxmlformats.org/officeDocument/2006/relationships/hyperlink" Target="https://www.city.nikko.lg.jp/material/files/group/33/tiikikoukyoukoutuukeikaku.pdf" TargetMode="External" Id="rId38" /><Relationship Type="http://schemas.openxmlformats.org/officeDocument/2006/relationships/hyperlink" Target="https://www.city.tochigi-sakura.lg.jp/life/000014/000121/000403/p001957.html" TargetMode="External" Id="rId39" /><Relationship Type="http://schemas.openxmlformats.org/officeDocument/2006/relationships/hyperlink" Target="https://www.city.kanuma.tochigi.jp/manage/contents/upload/6976cd070c260.pdf" TargetMode="External" Id="rId40" /><Relationship Type="http://schemas.openxmlformats.org/officeDocument/2006/relationships/hyperlink" Target="https://www.city.ohtawara.tochigi.jp/docs/2022032900019/" TargetMode="External" Id="rId41" /><Relationship Type="http://schemas.openxmlformats.org/officeDocument/2006/relationships/hyperlink" Target="https://www.city.nasushiobara.tochigi.jp/soshikikarasagasu/kb/shinoseisakutokeikaku/1/5506.html" TargetMode="External" Id="rId42" /><Relationship Type="http://schemas.openxmlformats.org/officeDocument/2006/relationships/hyperlink" Target="https://www.town.nasu.lg.jp/0242/info-0000002729-1.html" TargetMode="External" Id="rId43" /><Relationship Type="http://schemas.openxmlformats.org/officeDocument/2006/relationships/hyperlink" Target="https://www.city.nasushiobara.tochigi.jp/soshikikarasagasu/kb/shinoseisakutokeikaku/1/5504.html" TargetMode="External" Id="rId44" /><Relationship Type="http://schemas.openxmlformats.org/officeDocument/2006/relationships/hyperlink" Target="https://www.city.nasushiobara.tochigi.jp/material/files/group/13/dai2ki_kankyokihonkeikaku_an.pdf" TargetMode="External" Id="rId45" /><Relationship Type="http://schemas.openxmlformats.org/officeDocument/2006/relationships/hyperlink" Target="https://www.city.ohtawara.tochigi.jp/docs/2026091600026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22" customWidth="1" min="4" max="4"/>
    <col width="16" customWidth="1" min="5" max="5"/>
    <col width="10" customWidth="1" min="6" max="6"/>
    <col width="26" customWidth="1" min="7" max="7"/>
    <col width="40" customWidth="1" min="8" max="8"/>
    <col width="45" customWidth="1" min="9" max="9"/>
    <col width="38" customWidth="1" min="10" max="10"/>
    <col width="26" customWidth="1" min="11" max="11"/>
    <col width="50" customWidth="1" min="12" max="12"/>
  </cols>
  <sheetData>
    <row r="1">
      <c r="A1" s="1" t="inlineStr">
        <is>
          <t>終期R9年度と判定した計画のファクトチェック結果（2026年10月1日実施）</t>
        </is>
      </c>
    </row>
    <row r="2">
      <c r="A2" s="2" t="inlineStr">
        <is>
          <t>当初調査とは別の検索経路で、計画書・計画ページ等の本文に「計画期間」の記述があるかを確認。検索要約1回のみの場合は「確認できず」とした。</t>
        </is>
      </c>
    </row>
    <row r="4">
      <c r="A4" s="3" t="inlineStr">
        <is>
          <t>No</t>
        </is>
      </c>
      <c r="B4" s="3" t="inlineStr">
        <is>
          <t>県</t>
        </is>
      </c>
      <c r="C4" s="3" t="inlineStr">
        <is>
          <t>市町村</t>
        </is>
      </c>
      <c r="D4" s="3" t="inlineStr">
        <is>
          <t>計画</t>
        </is>
      </c>
      <c r="E4" s="3" t="inlineStr">
        <is>
          <t>当初の主張</t>
        </is>
      </c>
      <c r="F4" s="3" t="inlineStr">
        <is>
          <t>判定</t>
        </is>
      </c>
      <c r="G4" s="3" t="inlineStr">
        <is>
          <t>確認できた期間</t>
        </is>
      </c>
      <c r="H4" s="3" t="inlineStr">
        <is>
          <t>次期計画の着手状況</t>
        </is>
      </c>
      <c r="I4" s="3" t="inlineStr">
        <is>
          <t>根拠（引用）</t>
        </is>
      </c>
      <c r="J4" s="3" t="inlineStr">
        <is>
          <t>根拠URL</t>
        </is>
      </c>
      <c r="K4" s="3" t="inlineStr">
        <is>
          <t>反映内容</t>
        </is>
      </c>
      <c r="L4" s="3" t="inlineStr">
        <is>
          <t>備考</t>
        </is>
      </c>
    </row>
    <row r="5">
      <c r="A5" s="4" t="n">
        <v>1</v>
      </c>
      <c r="B5" s="4" t="inlineStr">
        <is>
          <t>青森県</t>
        </is>
      </c>
      <c r="C5" s="4" t="inlineStr">
        <is>
          <t>五所川原市</t>
        </is>
      </c>
      <c r="D5" s="4" t="inlineStr">
        <is>
          <t>交通</t>
        </is>
      </c>
      <c r="E5" s="4" t="inlineStr">
        <is>
          <t>R5〜R9</t>
        </is>
      </c>
      <c r="F5" s="5" t="inlineStr">
        <is>
          <t>誤り</t>
        </is>
      </c>
      <c r="G5" s="4" t="inlineStr">
        <is>
          <t>R5〜R10（令和5年6月策定、令和10年度までの取組を定める）</t>
        </is>
      </c>
      <c r="H5" s="4" t="inlineStr">
        <is>
          <t>確認できず（次期計画の策定支援業務・パブコメは見当たらず。概要版が gaiyouR7.1/R7.6/R8.1 と更新されており、R8.1時点で計画の変更あり）</t>
        </is>
      </c>
      <c r="I5" s="4" t="inlineStr">
        <is>
          <t>「五所川原市地域公共交通計画」を令和５年６月に策定…令和10年度までに実施する事業を具体化した地域公共交通推進計画（R6〜R10）</t>
        </is>
      </c>
      <c r="J5" s="6" t="inlineStr">
        <is>
          <t>https://www.city.goshogawara.lg.jp/kurashi/machi/files/suishinnkeikaku-gaiyou.ver.pdf</t>
        </is>
      </c>
      <c r="K5" s="4" t="inlineStr">
        <is>
          <t>終期をR10に修正（◎→対象外）</t>
        </is>
      </c>
      <c r="L5" s="4" t="inlineStr">
        <is>
          <t>複数の検索で終期R10（2028年度）と一致: 検索要約「計画期間は令和5〜10年度」、推進計画R6〜R10、利便増進実施計画R7〜R10（ribenzoshin.pdf）。計画書本文の「計画期間」の一文そのものは未取得。概要版R8.1 https://www.city.goshogawara.lg.jp/kurashi/machi/files/gaiyouR8.1.pdf あり（変更版とみられる）。終期R10なら次期計画の着手はR9年度頃の見込み（メイン追加検索2回でも計画書本文の「計画期間」一文は得られず。R10終期は関連計画（推進計画R6〜R10・利便増進実施計画R7〜R10）と要約からの判断で、確度は中。営業利用前に計画書PDFで要確認）</t>
        </is>
      </c>
    </row>
    <row r="6">
      <c r="A6" s="4" t="n">
        <v>2</v>
      </c>
      <c r="B6" s="4" t="inlineStr">
        <is>
          <t>青森県</t>
        </is>
      </c>
      <c r="C6" s="4" t="inlineStr">
        <is>
          <t>十和田市</t>
        </is>
      </c>
      <c r="D6" s="4" t="inlineStr">
        <is>
          <t>交通</t>
        </is>
      </c>
      <c r="E6" s="4" t="inlineStr">
        <is>
          <t>R5〜R9</t>
        </is>
      </c>
      <c r="F6" s="7" t="inlineStr">
        <is>
          <t>正しい</t>
        </is>
      </c>
      <c r="G6" s="4" t="inlineStr">
        <is>
          <t>R5〜R9（2023〜2027年度）</t>
        </is>
      </c>
      <c r="H6" s="4" t="inlineStr">
        <is>
          <t>確認できず（市サイト内検索で次期計画の策定支援プロポーザル・協議会審議は見当たらず。前回はR4年度にプロポーザル https://www.city.towada.lg.jp/kurashi/koutsuu/koutsuukeikaku.html）</t>
        </is>
      </c>
      <c r="I6" s="4" t="inlineStr">
        <is>
          <t>計画期間 令和５（2023）年度～令和９（2027）年度</t>
        </is>
      </c>
      <c r="J6" s="6" t="inlineStr">
        <is>
          <t>https://www.city.towada.lg.jp/kurashi/koutsuu/files/keikaku.pdf</t>
        </is>
      </c>
      <c r="K6" s="4" t="inlineStr"/>
      <c r="L6" s="4" t="inlineStr">
        <is>
          <t>2回の検索で同じ期間表記を確認。前計画は網形成計画（H30〜R4）。前回実績から、次期計画のプロポはR9年度（2027年春〜夏）に出る可能性</t>
        </is>
      </c>
    </row>
    <row r="7">
      <c r="A7" s="4" t="n">
        <v>3</v>
      </c>
      <c r="B7" s="4" t="inlineStr">
        <is>
          <t>青森県</t>
        </is>
      </c>
      <c r="C7" s="4" t="inlineStr">
        <is>
          <t>今別町</t>
        </is>
      </c>
      <c r="D7" s="4" t="inlineStr">
        <is>
          <t>交通</t>
        </is>
      </c>
      <c r="E7" s="4" t="inlineStr">
        <is>
          <t>R5〜R9</t>
        </is>
      </c>
      <c r="F7" s="7" t="inlineStr">
        <is>
          <t>正しい</t>
        </is>
      </c>
      <c r="G7" s="4" t="inlineStr">
        <is>
          <t>R5〜R9（5年間）</t>
        </is>
      </c>
      <c r="H7" s="4" t="inlineStr">
        <is>
          <t>確認できず（次期計画の策定業務・アンケートは見当たらず。ただしJR津軽線蟹田以北について、代行バス・わんタク・町営バス等を統合した自動車交通を令和9年4月1日から運行予定（広報今別733号 https://www.town.imabetsu.lg.jp/gyousei/kouhou/files/733.pdf）で、計画の見直しに関わる動きがある）</t>
        </is>
      </c>
      <c r="I7" s="4" t="inlineStr">
        <is>
          <t>計画期間は令和５年度から令和９年度までの５年間</t>
        </is>
      </c>
      <c r="J7" s="6" t="inlineStr">
        <is>
          <t>https://www.town.imabetsu.lg.jp/gyousei/koukai/2023-0828-1639-1.html</t>
        </is>
      </c>
      <c r="K7" s="4" t="inlineStr"/>
      <c r="L7" s="4" t="inlineStr">
        <is>
          <t>最初の検索要約にあった「R7〜R16」は第6次総合計画との取り違え。概要版 https://www.town.imabetsu.lg.jp/gyousei/koukai/files/imabetumati_tiikikokyoukoutuuplan_gaiyo.pdf あり。当別町（北海道）と取り違える検索結果が多い</t>
        </is>
      </c>
    </row>
    <row r="8">
      <c r="A8" s="4" t="n">
        <v>4</v>
      </c>
      <c r="B8" s="4" t="inlineStr">
        <is>
          <t>青森県</t>
        </is>
      </c>
      <c r="C8" s="4" t="inlineStr">
        <is>
          <t>大鰐町</t>
        </is>
      </c>
      <c r="D8" s="4" t="inlineStr">
        <is>
          <t>交通</t>
        </is>
      </c>
      <c r="E8" s="4" t="inlineStr">
        <is>
          <t>R5〜R9</t>
        </is>
      </c>
      <c r="F8" s="8" t="inlineStr">
        <is>
          <t>確認できず</t>
        </is>
      </c>
      <c r="G8" s="4" t="n"/>
      <c r="H8" s="4" t="inlineStr">
        <is>
          <t>確認できず（関連: 弘南鉄道大鰐線は2028年3月末で運行休止と発表され、代替交通は県主催の検討会議で調整中 https://trafficnews.jp/post/592513）</t>
        </is>
      </c>
      <c r="I8" s="4" t="inlineStr">
        <is>
          <t>大鰐町地域公共交通計画 R5.5.pdf（令和5年5月策定。期間の記述は検索結果に出ず）</t>
        </is>
      </c>
      <c r="J8" s="6" t="inlineStr">
        <is>
          <t>http://www.town.owani.lg.jp/aboutowani/plan/kokyo-kotsu.html</t>
        </is>
      </c>
      <c r="K8" s="4" t="inlineStr">
        <is>
          <t>「推定」に格下げ</t>
        </is>
      </c>
      <c r="L8" s="4" t="inlineStr">
        <is>
          <t>R5.5策定で、R5〜R9はありうるが本文で未確認。WebFetchは町サイトでブロック。検索に大鰐町地域公共交通計画案策定支援業務のプロポーザルページ http://www.town.owani.lg.jp/news/index.cfm/detail.1.12187.html が出たが、現行計画策定時（R4頃）のものとみられ日付は未確認</t>
        </is>
      </c>
    </row>
    <row r="9">
      <c r="A9" s="4" t="n">
        <v>5</v>
      </c>
      <c r="B9" s="4" t="inlineStr">
        <is>
          <t>青森県</t>
        </is>
      </c>
      <c r="C9" s="4" t="inlineStr">
        <is>
          <t>中泊町</t>
        </is>
      </c>
      <c r="D9" s="4" t="inlineStr">
        <is>
          <t>交通</t>
        </is>
      </c>
      <c r="E9" s="4" t="inlineStr">
        <is>
          <t>R5〜R9</t>
        </is>
      </c>
      <c r="F9" s="7" t="inlineStr">
        <is>
          <t>正しい</t>
        </is>
      </c>
      <c r="G9" s="4" t="inlineStr">
        <is>
          <t>R5〜R9</t>
        </is>
      </c>
      <c r="H9" s="4" t="inlineStr">
        <is>
          <t>確認できず（町のプロポーザル一覧に交通計画関連は見当たらず）</t>
        </is>
      </c>
      <c r="I9" s="4" t="inlineStr">
        <is>
          <t>中泊町地域公共交通計画の計画期間は令和5年度から令和9年度まで（計画書 koutuukeikakur6.pdf「令和５年４月」）</t>
        </is>
      </c>
      <c r="J9" s="6" t="inlineStr">
        <is>
          <t>https://www.town.nakadomari.lg.jp/soshikikarasagasu/sogosenryakuka/gyomuannai/5/1/1/4311.html</t>
        </is>
      </c>
      <c r="K9" s="4" t="inlineStr"/>
      <c r="L9" s="4" t="inlineStr">
        <is>
          <t>町サイトに絞った検索3回で一貫してR5〜R9（5年間）。計画書PDFは https://www.town.nakadomari.lg.jp/material/files/group/3/koutuukeikakur6.pdf。WebFetchはブロック。根拠は検索結果の抜粋・要約で、PDF本文は直接取得していない</t>
        </is>
      </c>
    </row>
    <row r="10">
      <c r="A10" s="4" t="n">
        <v>6</v>
      </c>
      <c r="B10" s="4" t="inlineStr">
        <is>
          <t>岩手県</t>
        </is>
      </c>
      <c r="C10" s="4" t="inlineStr">
        <is>
          <t>久慈市</t>
        </is>
      </c>
      <c r="D10" s="4" t="inlineStr">
        <is>
          <t>交通</t>
        </is>
      </c>
      <c r="E10" s="4" t="inlineStr">
        <is>
          <t>H30〜R9</t>
        </is>
      </c>
      <c r="F10" s="8" t="inlineStr">
        <is>
          <t>確認できず</t>
        </is>
      </c>
      <c r="G10" s="4" t="n"/>
      <c r="H10" s="4" t="inlineStr">
        <is>
          <t>確認できず</t>
        </is>
      </c>
      <c r="I10" s="4" t="inlineStr">
        <is>
          <t>「久慈市地域公共交通計画」を策定しました（令和6年3月策定）— 計画期間の記述は検索結果本文に出ず</t>
        </is>
      </c>
      <c r="J10" s="6" t="inlineStr">
        <is>
          <t>https://www.city.kuji.lg.jp/soshiki/chiikizukurishinko/1/6/1/1835.html</t>
        </is>
      </c>
      <c r="K10" s="4" t="inlineStr">
        <is>
          <t>「推定」に格下げ</t>
        </is>
      </c>
      <c r="L10" s="4" t="inlineStr">
        <is>
          <t>R6.3策定の法定計画で始期H30は不自然（旧網形成計画H30〜との混同の疑い濃厚）。市サイト/PDFはWebFetch・curlとも egress 403で本文未確認。5回検索しても期間記述なし。R5.9.22岩手県地域公共交通活性化協議会県北部会で骨子案検討（https://www.pref.iwate.jp/_res/projects/default_project/_page_/001/070/460/050922kenpoku_gijiyoushi.pdf）の記載あり。要一次資料確認（R6〜R10等の可能性）。</t>
        </is>
      </c>
    </row>
    <row r="11">
      <c r="A11" s="4" t="n">
        <v>7</v>
      </c>
      <c r="B11" s="4" t="inlineStr">
        <is>
          <t>宮城県</t>
        </is>
      </c>
      <c r="C11" s="4" t="inlineStr">
        <is>
          <t>白石市</t>
        </is>
      </c>
      <c r="D11" s="4" t="inlineStr">
        <is>
          <t>交通</t>
        </is>
      </c>
      <c r="E11" s="4" t="inlineStr">
        <is>
          <t>R5〜R9（推定）</t>
        </is>
      </c>
      <c r="F11" s="7" t="inlineStr">
        <is>
          <t>正しい</t>
        </is>
      </c>
      <c r="G11" s="4" t="inlineStr">
        <is>
          <t>R5〜R9（令和5年度〜令和9年度の5年間、R5.3策定）</t>
        </is>
      </c>
      <c r="H11" s="4" t="inlineStr">
        <is>
          <t>着手済の可能性高：「白石市地域公共交通計画策定調査に係る公募型プロポーザル」（2026-07-14更新、募集終了）が市サイト まちづくり推進課/入札・契約情報に掲載（https://www.city.shiroishi.miyagi.jp/soshiki/17/ 、https://www.city.shiroishi.miyagi.jp/life/sub/12/13/74/）。個別ページURLは未取得</t>
        </is>
      </c>
      <c r="I11" s="4" t="inlineStr">
        <is>
          <t>令和5年3月に策定…令和5年度から令和9年度までの5年間</t>
        </is>
      </c>
      <c r="J11" s="6" t="inlineStr">
        <is>
          <t>https://www.city.shiroishi.miyagi.jp/soshiki/17/27078.html</t>
        </is>
      </c>
      <c r="K11" s="4" t="inlineStr">
        <is>
          <t>改定状況を「着手済」に更新（◎→△）</t>
        </is>
      </c>
      <c r="L11" s="4" t="inlineStr">
        <is>
          <t>市公式ページ（2回の検索）で期間を確認。旧網形成計画ページ（9137.html）とは別。</t>
        </is>
      </c>
    </row>
    <row r="12">
      <c r="A12" s="4" t="n">
        <v>8</v>
      </c>
      <c r="B12" s="4" t="inlineStr">
        <is>
          <t>宮城県</t>
        </is>
      </c>
      <c r="C12" s="4" t="inlineStr">
        <is>
          <t>名取市</t>
        </is>
      </c>
      <c r="D12" s="4" t="inlineStr">
        <is>
          <t>交通</t>
        </is>
      </c>
      <c r="E12" s="4" t="inlineStr">
        <is>
          <t>R5〜R9</t>
        </is>
      </c>
      <c r="F12" s="7" t="inlineStr">
        <is>
          <t>正しい</t>
        </is>
      </c>
      <c r="G12" s="4" t="inlineStr">
        <is>
          <t>R5〜R9（令和5年度～令和9年度の5ヶ年、R5.3.28策定）</t>
        </is>
      </c>
      <c r="H12" s="4" t="inlineStr">
        <is>
          <t>確認できず（令和8年度協議会 R8.8.25開催の議題は『計画の取組状況について』のみ／https://www.city.natori.miyagi.jp/page/45227.html）</t>
        </is>
      </c>
      <c r="I12" s="4" t="inlineStr">
        <is>
          <t>計画期間は令和5年度（2023年度）～令和9年度（2027年度）の5ヶ年</t>
        </is>
      </c>
      <c r="J12" s="6" t="inlineStr">
        <is>
          <t>https://www.city.natori.miyagi.jp/page/4327.html</t>
        </is>
      </c>
      <c r="K12" s="4" t="inlineStr"/>
      <c r="L12" s="4" t="inlineStr">
        <is>
          <t>市公式ページで複数回確認。</t>
        </is>
      </c>
    </row>
    <row r="13">
      <c r="A13" s="4" t="n">
        <v>9</v>
      </c>
      <c r="B13" s="4" t="inlineStr">
        <is>
          <t>秋田県</t>
        </is>
      </c>
      <c r="C13" s="4" t="inlineStr">
        <is>
          <t>秋田市</t>
        </is>
      </c>
      <c r="D13" s="4" t="inlineStr">
        <is>
          <t>環境</t>
        </is>
      </c>
      <c r="E13" s="4" t="inlineStr">
        <is>
          <t>H30〜R9</t>
        </is>
      </c>
      <c r="F13" s="7" t="inlineStr">
        <is>
          <t>正しい</t>
        </is>
      </c>
      <c r="G13" s="4" t="inlineStr">
        <is>
          <t>H30〜R9（平成30年度〜令和9年度の10年間、R5.3中間見直し）</t>
        </is>
      </c>
      <c r="H13" s="4" t="inlineStr">
        <is>
          <t>着手済：第45回秋田市環境審議会（令和8年3月24日）議題「秋田市環境基本計画の改定について」（資料1あり）https://www.city.akita.lg.jp/kurashi/recycle/1016631/1006116.html</t>
        </is>
      </c>
      <c r="I13" s="4" t="inlineStr">
        <is>
          <t>計画期間は平成30年度から令和9年度までの10年間</t>
        </is>
      </c>
      <c r="J13" s="6" t="inlineStr">
        <is>
          <t>https://www.city.akita.lg.jp/_res/projects/default_project/_page_/001/006/108/r2-1nenhoukoku.pdf</t>
        </is>
      </c>
      <c r="K13" s="4" t="inlineStr">
        <is>
          <t>改定状況を「着手済」に更新（◎→△）</t>
        </is>
      </c>
      <c r="L13" s="4" t="inlineStr">
        <is>
          <t>年次報告書・計画ページ（1006108.html）の検索結果で確認。中間見直しで終期変更なし。</t>
        </is>
      </c>
    </row>
    <row r="14">
      <c r="A14" s="4" t="n">
        <v>10</v>
      </c>
      <c r="B14" s="4" t="inlineStr">
        <is>
          <t>秋田県</t>
        </is>
      </c>
      <c r="C14" s="4" t="inlineStr">
        <is>
          <t>能代市</t>
        </is>
      </c>
      <c r="D14" s="4" t="inlineStr">
        <is>
          <t>環境</t>
        </is>
      </c>
      <c r="E14" s="4" t="inlineStr">
        <is>
          <t>H30〜R9</t>
        </is>
      </c>
      <c r="F14" s="7" t="inlineStr">
        <is>
          <t>正しい</t>
        </is>
      </c>
      <c r="G14" s="4" t="inlineStr">
        <is>
          <t>H30〜R9（平成30年度〜令和9年度の10年間、R5.3中間見直し）</t>
        </is>
      </c>
      <c r="H14" s="4" t="inlineStr">
        <is>
          <t>確認できず</t>
        </is>
      </c>
      <c r="I14" s="4" t="inlineStr">
        <is>
          <t>平成30年度を初年度とし、令和9年度を目標とする10年間</t>
        </is>
      </c>
      <c r="J14" s="6" t="inlineStr">
        <is>
          <t>https://www.city.noshiro.lg.jp/sangyo/kankyo/keikaku/22091</t>
        </is>
      </c>
      <c r="K14" s="4" t="inlineStr"/>
      <c r="L14" s="4" t="inlineStr">
        <is>
          <t>市サイト検索2回で同じ期間。R5.3の見直しは重点施策の指標目標のみで終期不変。次期（第3次）計画の着手情報は見つからず。</t>
        </is>
      </c>
    </row>
    <row r="15">
      <c r="A15" s="4" t="n">
        <v>11</v>
      </c>
      <c r="B15" s="4" t="inlineStr">
        <is>
          <t>秋田県</t>
        </is>
      </c>
      <c r="C15" s="4" t="inlineStr">
        <is>
          <t>大館市</t>
        </is>
      </c>
      <c r="D15" s="4" t="inlineStr">
        <is>
          <t>交通</t>
        </is>
      </c>
      <c r="E15" s="4" t="inlineStr">
        <is>
          <t>H30〜R9</t>
        </is>
      </c>
      <c r="F15" s="7" t="inlineStr">
        <is>
          <t>正しい</t>
        </is>
      </c>
      <c r="G15" s="4" t="inlineStr">
        <is>
          <t>H30〜R9（2018年度～2027年度）</t>
        </is>
      </c>
      <c r="H15" s="4" t="inlineStr">
        <is>
          <t>確認できず（R7に利便増進実施計画（2025～2027年度）を策定済。次期計画の策定業務・協議会審議は未確認）</t>
        </is>
      </c>
      <c r="I15" s="4" t="inlineStr">
        <is>
          <t>大館市地域公共交通計画 平成30(2018)年3月 (令和7(2025)年3月改定)／計画期間は2018年度～2027年度（令和9年度）</t>
        </is>
      </c>
      <c r="J15" s="6" t="inlineStr">
        <is>
          <t>https://www.city.odate.lg.jp/uploads/public/pages_0000011901_00/R07.8%E6%9C%88%E6%94%B9%E6%AD%A3.%E5%A4%A7%E9%A4%A8%E5%B8%82%E5%9C%B0%E5%9F%9F%E5%85%AC%E5%85%B1%E4%BA%A4%E8%A8%88%E7%94%BB_.pdf</t>
        </is>
      </c>
      <c r="K15" s="4" t="inlineStr"/>
      <c r="L15" s="4" t="inlineStr">
        <is>
          <t>PDF表紙は「令和7(2025)年3月改定」、ファイル名は「R07.8月改正」。同時に大館市地域公共交通利便増進実施計画（2025～2027年度）も策定。関連ページ https://www.city.odate.lg.jp/city/soshiki/koutsu/p11901</t>
        </is>
      </c>
    </row>
    <row r="16">
      <c r="A16" s="4" t="n">
        <v>12</v>
      </c>
      <c r="B16" s="4" t="inlineStr">
        <is>
          <t>秋田県</t>
        </is>
      </c>
      <c r="C16" s="4" t="inlineStr">
        <is>
          <t>鹿角市</t>
        </is>
      </c>
      <c r="D16" s="4" t="inlineStr">
        <is>
          <t>交通</t>
        </is>
      </c>
      <c r="E16" s="4" t="inlineStr">
        <is>
          <t>R5〜R9</t>
        </is>
      </c>
      <c r="F16" s="8" t="inlineStr">
        <is>
          <t>確認できず</t>
        </is>
      </c>
      <c r="G16" s="4" t="inlineStr">
        <is>
          <t>R5〜R9（要約のみ）</t>
        </is>
      </c>
      <c r="H16" s="4" t="inlineStr">
        <is>
          <t>確認できず</t>
        </is>
      </c>
      <c r="I16" s="4" t="inlineStr">
        <is>
          <t>鹿角市地域公共交通計画（素案）パブリックコメント募集（2023/1/23～2/22）…計画期間は令和5年度～令和9年度（検索要約）</t>
        </is>
      </c>
      <c r="J16" s="6" t="inlineStr">
        <is>
          <t>https://realtime-nippon.com/archives/052094230123001/</t>
        </is>
      </c>
      <c r="K16" s="4" t="inlineStr">
        <is>
          <t>「推定」に格下げ</t>
        </is>
      </c>
      <c r="L16" s="4" t="inlineStr">
        <is>
          <t>R5〜R9はほぼ確実（素案パブコメがR5.1〜2で後継計画）だが、期間の記述は検索要約1件のみで本文未確認。別検索の要約は北秋田市ページの文言を流用した誤要約とみられ根拠にしない。計画ページ https://www.city.kazuno.lg.jp/soshiki/shiminkyodo/kankyoseikatsu/gyomu/2/3/10092.html はフェッチ不可。</t>
        </is>
      </c>
    </row>
    <row r="17">
      <c r="A17" s="4" t="n">
        <v>13</v>
      </c>
      <c r="B17" s="4" t="inlineStr">
        <is>
          <t>秋田県</t>
        </is>
      </c>
      <c r="C17" s="4" t="inlineStr">
        <is>
          <t>北秋田市</t>
        </is>
      </c>
      <c r="D17" s="4" t="inlineStr">
        <is>
          <t>交通</t>
        </is>
      </c>
      <c r="E17" s="4" t="inlineStr">
        <is>
          <t>R5〜R9</t>
        </is>
      </c>
      <c r="F17" s="7" t="inlineStr">
        <is>
          <t>正しい</t>
        </is>
      </c>
      <c r="G17" s="4" t="inlineStr">
        <is>
          <t>R5〜R9</t>
        </is>
      </c>
      <c r="H17" s="4" t="inlineStr">
        <is>
          <t>確認できず</t>
        </is>
      </c>
      <c r="I17" s="4" t="inlineStr">
        <is>
          <t>「北秋田市地域公共交通計画(令和5年度~令和9年度)」を策定しました。…「北秋田市地域公共交通網形成計画(平成30年度~令和4年度)」にかわり</t>
        </is>
      </c>
      <c r="J17" s="6" t="inlineStr">
        <is>
          <t>https://www.city.kitaakita.akita.jp/news/p15700</t>
        </is>
      </c>
      <c r="K17" s="4" t="inlineStr"/>
      <c r="L17" s="4" t="inlineStr">
        <is>
          <t>同一文言が複数検索で繰り返し返された。計画書PDF: https://www.city.kitaakita.akita.jp/uploads/public/news_0000015700_00/koukyoukoutsukeikaku.pdf</t>
        </is>
      </c>
    </row>
    <row r="18">
      <c r="A18" s="4" t="n">
        <v>14</v>
      </c>
      <c r="B18" s="4" t="inlineStr">
        <is>
          <t>秋田県</t>
        </is>
      </c>
      <c r="C18" s="4" t="inlineStr">
        <is>
          <t>北秋田市</t>
        </is>
      </c>
      <c r="D18" s="4" t="inlineStr">
        <is>
          <t>環境</t>
        </is>
      </c>
      <c r="E18" s="4" t="inlineStr">
        <is>
          <t>H30〜R9</t>
        </is>
      </c>
      <c r="F18" s="5" t="inlineStr">
        <is>
          <t>誤り</t>
        </is>
      </c>
      <c r="G18" s="4" t="inlineStr">
        <is>
          <t>〜R8（「平成28年度から令和8年度までの10年間」と要約。10年間ならH29〜R8の可能性）</t>
        </is>
      </c>
      <c r="H18" s="4" t="inlineStr">
        <is>
          <t>確認できず（終期R8＝今年度のため次期計画策定が進行中の可能性が高いが、策定業務公告・審議会・アンケートは検索で見つからず）</t>
        </is>
      </c>
      <c r="I18" s="4" t="inlineStr">
        <is>
          <t>現行の環境基本計画は平成28年度から令和8年度までの10年間…令和3年7月13日第1回環境審議会で中間（5年）見直しを審議</t>
        </is>
      </c>
      <c r="J18" s="6" t="inlineStr">
        <is>
          <t>https://www.city.kitaakita.akita.jp/archive/p13109</t>
        </is>
      </c>
      <c r="K18" s="4" t="inlineStr">
        <is>
          <t>終期をR8に修正（交通計画で◎は維持）</t>
        </is>
      </c>
      <c r="L18" s="4" t="inlineStr">
        <is>
          <t>終期はR8（今年度）で主張のR9と異なる。3回の独立検索で一貫して令和8年度終期。策定経過はH28.7市民アンケート→H28.12〜H29.1パブコメ→H29.2.13答申で、H30開始説とも整合しない。始期はH28/H29で要確認（本文PDF 001_kankyoukihonkeikaku.pdf 未閲覧）。（メイン追加検索でも、R3.7第1回環境審議会の市長発言「現行の基本計画は、平成28年度から令和8年度までの10年間」を確認: https://www.city.kitaakita.akita.jp/archive/p13109）</t>
        </is>
      </c>
    </row>
    <row r="19">
      <c r="A19" s="4" t="n">
        <v>15</v>
      </c>
      <c r="B19" s="4" t="inlineStr">
        <is>
          <t>秋田県</t>
        </is>
      </c>
      <c r="C19" s="4" t="inlineStr">
        <is>
          <t>五城目町</t>
        </is>
      </c>
      <c r="D19" s="4" t="inlineStr">
        <is>
          <t>交通</t>
        </is>
      </c>
      <c r="E19" s="4" t="inlineStr">
        <is>
          <t>R5〜R9</t>
        </is>
      </c>
      <c r="F19" s="7" t="inlineStr">
        <is>
          <t>正しい</t>
        </is>
      </c>
      <c r="G19" s="4" t="inlineStr">
        <is>
          <t>R5〜R9（令和5年度～令和9年度、5年間）</t>
        </is>
      </c>
      <c r="H19" s="4" t="inlineStr">
        <is>
          <t>確認できず（協議会での次期計画審議・策定業務の公告は検索で見つからず）</t>
        </is>
      </c>
      <c r="I19" s="4" t="inlineStr">
        <is>
          <t>南秋地域公共交通計画を策定しました - 五城目町／計画期間は令和５年度～令和９年度（5年間）（南秋地域公共交通網形成計画の後継、令和5年6月策定）</t>
        </is>
      </c>
      <c r="J19" s="6" t="inlineStr">
        <is>
          <t>https://www.town.gojome.akita.jp/kurashi/koukyoukoutsu/2085</t>
        </is>
      </c>
      <c r="K19" s="4" t="inlineStr"/>
      <c r="L19" s="4" t="inlineStr">
        <is>
          <t>五城目町・八郎潟町・大潟村の共同計画（南秋地域公共交通活性化協議会）。3件同一判定。期間の記述はextended検索の本文要約1件（五城目町ページ）＋令和5年6月策定の複数結果と整合。</t>
        </is>
      </c>
    </row>
    <row r="20">
      <c r="A20" s="4" t="n">
        <v>16</v>
      </c>
      <c r="B20" s="4" t="inlineStr">
        <is>
          <t>秋田県</t>
        </is>
      </c>
      <c r="C20" s="4" t="inlineStr">
        <is>
          <t>八郎潟町</t>
        </is>
      </c>
      <c r="D20" s="4" t="inlineStr">
        <is>
          <t>交通</t>
        </is>
      </c>
      <c r="E20" s="4" t="inlineStr">
        <is>
          <t>R5〜R9</t>
        </is>
      </c>
      <c r="F20" s="7" t="inlineStr">
        <is>
          <t>正しい</t>
        </is>
      </c>
      <c r="G20" s="4" t="inlineStr">
        <is>
          <t>R5〜R9（令和5年度～令和9年度、5年間）</t>
        </is>
      </c>
      <c r="H20" s="4" t="inlineStr">
        <is>
          <t>確認できず（協議会での次期計画審議・策定業務の公告は検索で見つからず）</t>
        </is>
      </c>
      <c r="I20" s="4" t="inlineStr">
        <is>
          <t>南秋地域公共交通計画を策定しました - 五城目町／計画期間は令和５年度～令和９年度（5年間）（南秋地域公共交通網形成計画の後継、令和5年6月策定）</t>
        </is>
      </c>
      <c r="J20" s="6" t="inlineStr">
        <is>
          <t>https://www.town.gojome.akita.jp/kurashi/koukyoukoutsu/2085</t>
        </is>
      </c>
      <c r="K20" s="4" t="inlineStr"/>
      <c r="L20" s="4" t="inlineStr">
        <is>
          <t>五城目町・八郎潟町・大潟村の共同計画（南秋地域公共交通活性化協議会）。3件同一判定。期間の記述はextended検索の本文要約1件（五城目町ページ）＋令和5年6月策定の複数結果と整合。</t>
        </is>
      </c>
    </row>
    <row r="21">
      <c r="A21" s="4" t="n">
        <v>17</v>
      </c>
      <c r="B21" s="4" t="inlineStr">
        <is>
          <t>秋田県</t>
        </is>
      </c>
      <c r="C21" s="4" t="inlineStr">
        <is>
          <t>大潟村</t>
        </is>
      </c>
      <c r="D21" s="4" t="inlineStr">
        <is>
          <t>交通</t>
        </is>
      </c>
      <c r="E21" s="4" t="inlineStr">
        <is>
          <t>R5〜R9</t>
        </is>
      </c>
      <c r="F21" s="7" t="inlineStr">
        <is>
          <t>正しい</t>
        </is>
      </c>
      <c r="G21" s="4" t="inlineStr">
        <is>
          <t>R5〜R9（令和5年度～令和9年度、5年間）</t>
        </is>
      </c>
      <c r="H21" s="4" t="inlineStr">
        <is>
          <t>確認できず（協議会での次期計画審議・策定業務の公告は検索で見つからず）</t>
        </is>
      </c>
      <c r="I21" s="4" t="inlineStr">
        <is>
          <t>南秋地域公共交通計画を策定しました - 五城目町／計画期間は令和５年度～令和９年度（5年間）（南秋地域公共交通網形成計画の後継、令和5年6月策定）</t>
        </is>
      </c>
      <c r="J21" s="6" t="inlineStr">
        <is>
          <t>https://www.town.gojome.akita.jp/kurashi/koukyoukoutsu/2085</t>
        </is>
      </c>
      <c r="K21" s="4" t="inlineStr"/>
      <c r="L21" s="4" t="inlineStr">
        <is>
          <t>五城目町・八郎潟町・大潟村の共同計画（南秋地域公共交通活性化協議会）。3件同一判定。期間の記述はextended検索の本文要約1件（五城目町ページ）＋令和5年6月策定の複数結果と整合。</t>
        </is>
      </c>
    </row>
    <row r="22">
      <c r="A22" s="4" t="n">
        <v>18</v>
      </c>
      <c r="B22" s="4" t="inlineStr">
        <is>
          <t>山形県</t>
        </is>
      </c>
      <c r="C22" s="4" t="inlineStr">
        <is>
          <t>村山市</t>
        </is>
      </c>
      <c r="D22" s="4" t="inlineStr">
        <is>
          <t>環境</t>
        </is>
      </c>
      <c r="E22" s="4" t="inlineStr">
        <is>
          <t>H30〜R9</t>
        </is>
      </c>
      <c r="F22" s="7" t="inlineStr">
        <is>
          <t>正しい</t>
        </is>
      </c>
      <c r="G22" s="4" t="inlineStr">
        <is>
          <t>H30〜R9（平成30年度〜平成39年度）</t>
        </is>
      </c>
      <c r="H22" s="4" t="inlineStr">
        <is>
          <t>確認できず（市サイト内で第3次計画・アンケート等の情報見当たらず）</t>
        </is>
      </c>
      <c r="I22" s="4" t="inlineStr">
        <is>
          <t>村山市環境基本計画（第２次）平成30年3月策定、計画期間は平成30年度から平成39年度までの10年間。5年後を目途に見直し</t>
        </is>
      </c>
      <c r="J22" s="6" t="inlineStr">
        <is>
          <t>https://www.city.murayama.lg.jp/kurashi/shizen/kankyohozen/kankyoukihon.files/kankyou-2.pdf</t>
        </is>
      </c>
      <c r="K22" s="4" t="inlineStr"/>
      <c r="L22" s="4" t="inlineStr">
        <is>
          <t>武蔵村山市と混同注意（一般検索は武蔵村山市が優先表示）。平成39年度=令和9年度</t>
        </is>
      </c>
    </row>
    <row r="23">
      <c r="A23" s="4" t="n">
        <v>19</v>
      </c>
      <c r="B23" s="4" t="inlineStr">
        <is>
          <t>山形県</t>
        </is>
      </c>
      <c r="C23" s="4" t="inlineStr">
        <is>
          <t>朝日町</t>
        </is>
      </c>
      <c r="D23" s="4" t="inlineStr">
        <is>
          <t>環境</t>
        </is>
      </c>
      <c r="E23" s="4" t="inlineStr">
        <is>
          <t>H30〜R9</t>
        </is>
      </c>
      <c r="F23" s="7" t="inlineStr">
        <is>
          <t>正しい</t>
        </is>
      </c>
      <c r="G23" s="4" t="inlineStr">
        <is>
          <t>H30〜R9（2018〜2027年度）</t>
        </is>
      </c>
      <c r="H23" s="4" t="inlineStr">
        <is>
          <t>確認できず（第3次計画の情報なし）</t>
        </is>
      </c>
      <c r="I23" s="4" t="inlineStr">
        <is>
          <t>第2次朝日町環境基本計画 平成30年3月策定、計画期間 2018年度（平成30年度）～2027年度（令和9年度）</t>
        </is>
      </c>
      <c r="J23" s="6" t="inlineStr">
        <is>
          <t>https://www.town.asahi.yamagata.jp/portal/soshikinogoannai/somuka/bosaigakari/3_1/3/2438.html</t>
        </is>
      </c>
      <c r="K23" s="4" t="inlineStr"/>
      <c r="L23" s="4" t="inlineStr">
        <is>
          <t>山形県西村山郡朝日町。策定後6年経過で見直し版を策定（期間は変わらずR9まで）。2件の独立検索で同一期間を確認</t>
        </is>
      </c>
    </row>
    <row r="24">
      <c r="A24" s="4" t="n">
        <v>20</v>
      </c>
      <c r="B24" s="4" t="inlineStr">
        <is>
          <t>福島県</t>
        </is>
      </c>
      <c r="C24" s="4" t="inlineStr">
        <is>
          <t>福島市</t>
        </is>
      </c>
      <c r="D24" s="4" t="inlineStr">
        <is>
          <t>交通</t>
        </is>
      </c>
      <c r="E24" s="4" t="inlineStr">
        <is>
          <t>R5〜R9</t>
        </is>
      </c>
      <c r="F24" s="5" t="inlineStr">
        <is>
          <t>誤り</t>
        </is>
      </c>
      <c r="G24" s="4" t="inlineStr">
        <is>
          <t>R5〜R12（2023〜2030年度、8年間）</t>
        </is>
      </c>
      <c r="H24" s="4" t="inlineStr">
        <is>
          <t>該当なし（終期R12のため次期計画は当面なし）</t>
        </is>
      </c>
      <c r="I24" s="4" t="inlineStr">
        <is>
          <t>県計画と連携して推進する事業があるため、計画の終了時期を県計画に準拠することとし、令和5年度（2023年度）～令和12年度（2030年度）の8年間</t>
        </is>
      </c>
      <c r="J24" s="6" t="inlineStr">
        <is>
          <t>https://www.city.fukushima.fukushima.jp/material/files/group/62/40koutuukeikaku-honnpenn1.pdf</t>
        </is>
      </c>
      <c r="K24" s="4" t="inlineStr">
        <is>
          <t>終期をR12に修正（◎→対象外）</t>
        </is>
      </c>
      <c r="L24" s="4" t="inlineStr">
        <is>
          <t>2回の独立検索で同一記述。改定資料 20250226koutuukeikakukaitei1-3.pdf も検索結果に出現（改定で期間延長の可能性）。WebFetchはegressブロック</t>
        </is>
      </c>
    </row>
    <row r="25">
      <c r="A25" s="4" t="n">
        <v>21</v>
      </c>
      <c r="B25" s="4" t="inlineStr">
        <is>
          <t>福島県</t>
        </is>
      </c>
      <c r="C25" s="4" t="inlineStr">
        <is>
          <t>いわき市</t>
        </is>
      </c>
      <c r="D25" s="4" t="inlineStr">
        <is>
          <t>交通</t>
        </is>
      </c>
      <c r="E25" s="4" t="inlineStr">
        <is>
          <t>R5〜R9</t>
        </is>
      </c>
      <c r="F25" s="7" t="inlineStr">
        <is>
          <t>正しい</t>
        </is>
      </c>
      <c r="G25" s="4" t="inlineStr">
        <is>
          <t>R5〜R9（令和5年3月〜令和10年3月、概ね5年間）</t>
        </is>
      </c>
      <c r="H25" s="4" t="inlineStr">
        <is>
          <t>確認できず（次期計画策定業務・協議会での審議情報は見当たらず）</t>
        </is>
      </c>
      <c r="I25" s="4" t="inlineStr">
        <is>
          <t>計画期間は令和５年３月から概ね５年間／令和５年度～令和9年度（R5.3策定、R7.1一部改訂）</t>
        </is>
      </c>
      <c r="J25" s="6" t="inlineStr">
        <is>
          <t>https://www.city.iwaki.lg.jp/www/contents/1679296597893/index.html</t>
        </is>
      </c>
      <c r="K25" s="4" t="inlineStr"/>
      <c r="L25" s="4" t="inlineStr">
        <is>
          <t>起点が令和5年3月（R4年度末）表記だが実質R5〜R9年度</t>
        </is>
      </c>
    </row>
    <row r="26">
      <c r="A26" s="4" t="n">
        <v>22</v>
      </c>
      <c r="B26" s="4" t="inlineStr">
        <is>
          <t>福島県</t>
        </is>
      </c>
      <c r="C26" s="4" t="inlineStr">
        <is>
          <t>鮫川村</t>
        </is>
      </c>
      <c r="D26" s="4" t="inlineStr">
        <is>
          <t>交通</t>
        </is>
      </c>
      <c r="E26" s="4" t="inlineStr">
        <is>
          <t>R5〜R9</t>
        </is>
      </c>
      <c r="F26" s="7" t="inlineStr">
        <is>
          <t>正しい</t>
        </is>
      </c>
      <c r="G26" s="4" t="inlineStr">
        <is>
          <t>R5〜R9</t>
        </is>
      </c>
      <c r="H26" s="4" t="inlineStr">
        <is>
          <t>確認できず（R7年度第1回協議会資料は公開されているが次期計画の記載は確認できず）</t>
        </is>
      </c>
      <c r="I26" s="4" t="inlineStr">
        <is>
          <t>令和5年2月21日に実施した協議会において、鮫川村地域公共交通計画（令和5年度～令和9年度）を策定しました</t>
        </is>
      </c>
      <c r="J26" s="6" t="inlineStr">
        <is>
          <t>https://www.vill.samegawa.fukushima.jp/sp/page/page002592.html</t>
        </is>
      </c>
      <c r="K26" s="4" t="inlineStr"/>
      <c r="L26" s="4" t="inlineStr">
        <is>
          <t>デマンド交通はR7.10から本格運行</t>
        </is>
      </c>
    </row>
    <row r="27">
      <c r="A27" s="4" t="n">
        <v>23</v>
      </c>
      <c r="B27" s="4" t="inlineStr">
        <is>
          <t>福島県</t>
        </is>
      </c>
      <c r="C27" s="4" t="inlineStr">
        <is>
          <t>広野町</t>
        </is>
      </c>
      <c r="D27" s="4" t="inlineStr">
        <is>
          <t>交通</t>
        </is>
      </c>
      <c r="E27" s="4" t="inlineStr">
        <is>
          <t>R5〜R9</t>
        </is>
      </c>
      <c r="F27" s="7" t="inlineStr">
        <is>
          <t>正しい</t>
        </is>
      </c>
      <c r="G27" s="4" t="inlineStr">
        <is>
          <t>R5〜R9（R5.4〜R10.3）</t>
        </is>
      </c>
      <c r="H27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27" s="4" t="inlineStr">
        <is>
          <t>計画期間は令和5年4月から令和10年3月31日までの5年間（R5.3策定、R5.5・R6.5・R7.3・R8.3一部改定）</t>
        </is>
      </c>
      <c r="J27" s="6" t="inlineStr">
        <is>
          <t>https://www.pref.fukushima.lg.jp/uploaded/attachment/738677.pdf</t>
        </is>
      </c>
      <c r="K27" s="4" t="inlineStr"/>
      <c r="L27" s="4" t="inlineStr">
        <is>
          <t>福島県策定の福島県避難地域広域公共交通計画（避難12市町村対象）。R6年度に中間見直し。最新改定R8.3.27</t>
        </is>
      </c>
    </row>
    <row r="28">
      <c r="A28" s="4" t="n">
        <v>24</v>
      </c>
      <c r="B28" s="4" t="inlineStr">
        <is>
          <t>福島県</t>
        </is>
      </c>
      <c r="C28" s="4" t="inlineStr">
        <is>
          <t>楢葉町</t>
        </is>
      </c>
      <c r="D28" s="4" t="inlineStr">
        <is>
          <t>交通</t>
        </is>
      </c>
      <c r="E28" s="4" t="inlineStr">
        <is>
          <t>R5〜R9</t>
        </is>
      </c>
      <c r="F28" s="7" t="inlineStr">
        <is>
          <t>正しい</t>
        </is>
      </c>
      <c r="G28" s="4" t="inlineStr">
        <is>
          <t>R5〜R9（R5.4〜R10.3）</t>
        </is>
      </c>
      <c r="H28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28" s="4" t="inlineStr">
        <is>
          <t>計画期間は令和5年4月から令和10年3月31日までの5年間（R5.3策定、R5.5・R6.5・R7.3・R8.3一部改定）</t>
        </is>
      </c>
      <c r="J28" s="6" t="inlineStr">
        <is>
          <t>https://www.pref.fukushima.lg.jp/uploaded/attachment/738677.pdf</t>
        </is>
      </c>
      <c r="K28" s="4" t="inlineStr"/>
      <c r="L28" s="4" t="inlineStr">
        <is>
          <t>福島県策定の福島県避難地域広域公共交通計画（避難12市町村対象）。R6年度に中間見直し。最新改定R8.3.27</t>
        </is>
      </c>
    </row>
    <row r="29">
      <c r="A29" s="4" t="n">
        <v>25</v>
      </c>
      <c r="B29" s="4" t="inlineStr">
        <is>
          <t>福島県</t>
        </is>
      </c>
      <c r="C29" s="4" t="inlineStr">
        <is>
          <t>富岡町</t>
        </is>
      </c>
      <c r="D29" s="4" t="inlineStr">
        <is>
          <t>交通</t>
        </is>
      </c>
      <c r="E29" s="4" t="inlineStr">
        <is>
          <t>R5〜R9</t>
        </is>
      </c>
      <c r="F29" s="7" t="inlineStr">
        <is>
          <t>正しい</t>
        </is>
      </c>
      <c r="G29" s="4" t="inlineStr">
        <is>
          <t>R5〜R9（R5.4〜R10.3）</t>
        </is>
      </c>
      <c r="H29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29" s="4" t="inlineStr">
        <is>
          <t>計画期間は令和5年4月から令和10年3月31日までの5年間（R5.3策定、R5.5・R6.5・R7.3・R8.3一部改定）</t>
        </is>
      </c>
      <c r="J29" s="6" t="inlineStr">
        <is>
          <t>https://www.pref.fukushima.lg.jp/uploaded/attachment/738677.pdf</t>
        </is>
      </c>
      <c r="K29" s="4" t="inlineStr"/>
      <c r="L29" s="4" t="inlineStr">
        <is>
          <t>福島県策定の福島県避難地域広域公共交通計画（避難12市町村対象）。R6年度に中間見直し。最新改定R8.3.27</t>
        </is>
      </c>
    </row>
    <row r="30">
      <c r="A30" s="4" t="n">
        <v>26</v>
      </c>
      <c r="B30" s="4" t="inlineStr">
        <is>
          <t>福島県</t>
        </is>
      </c>
      <c r="C30" s="4" t="inlineStr">
        <is>
          <t>川内村</t>
        </is>
      </c>
      <c r="D30" s="4" t="inlineStr">
        <is>
          <t>交通</t>
        </is>
      </c>
      <c r="E30" s="4" t="inlineStr">
        <is>
          <t>R5〜R9</t>
        </is>
      </c>
      <c r="F30" s="7" t="inlineStr">
        <is>
          <t>正しい</t>
        </is>
      </c>
      <c r="G30" s="4" t="inlineStr">
        <is>
          <t>R5〜R9（R5.4〜R10.3）</t>
        </is>
      </c>
      <c r="H30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30" s="4" t="inlineStr">
        <is>
          <t>計画期間は令和5年4月から令和10年3月31日までの5年間（R5.3策定、R5.5・R6.5・R7.3・R8.3一部改定）</t>
        </is>
      </c>
      <c r="J30" s="6" t="inlineStr">
        <is>
          <t>https://www.pref.fukushima.lg.jp/uploaded/attachment/738677.pdf</t>
        </is>
      </c>
      <c r="K30" s="4" t="inlineStr"/>
      <c r="L30" s="4" t="inlineStr">
        <is>
          <t>福島県策定の福島県避難地域広域公共交通計画（避難12市町村対象）。R6年度に中間見直し。最新改定R8.3.27</t>
        </is>
      </c>
    </row>
    <row r="31">
      <c r="A31" s="4" t="n">
        <v>27</v>
      </c>
      <c r="B31" s="4" t="inlineStr">
        <is>
          <t>福島県</t>
        </is>
      </c>
      <c r="C31" s="4" t="inlineStr">
        <is>
          <t>大熊町</t>
        </is>
      </c>
      <c r="D31" s="4" t="inlineStr">
        <is>
          <t>交通</t>
        </is>
      </c>
      <c r="E31" s="4" t="inlineStr">
        <is>
          <t>R5〜R9</t>
        </is>
      </c>
      <c r="F31" s="7" t="inlineStr">
        <is>
          <t>正しい</t>
        </is>
      </c>
      <c r="G31" s="4" t="inlineStr">
        <is>
          <t>R5〜R9（R5.4〜R10.3）</t>
        </is>
      </c>
      <c r="H31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31" s="4" t="inlineStr">
        <is>
          <t>計画期間は令和5年4月から令和10年3月31日までの5年間（R5.3策定、R5.5・R6.5・R7.3・R8.3一部改定）</t>
        </is>
      </c>
      <c r="J31" s="6" t="inlineStr">
        <is>
          <t>https://www.pref.fukushima.lg.jp/uploaded/attachment/738677.pdf</t>
        </is>
      </c>
      <c r="K31" s="4" t="inlineStr"/>
      <c r="L31" s="4" t="inlineStr">
        <is>
          <t>福島県策定の福島県避難地域広域公共交通計画（避難12市町村対象）。R6年度に中間見直し。最新改定R8.3.27</t>
        </is>
      </c>
    </row>
    <row r="32">
      <c r="A32" s="4" t="n">
        <v>28</v>
      </c>
      <c r="B32" s="4" t="inlineStr">
        <is>
          <t>福島県</t>
        </is>
      </c>
      <c r="C32" s="4" t="inlineStr">
        <is>
          <t>双葉町</t>
        </is>
      </c>
      <c r="D32" s="4" t="inlineStr">
        <is>
          <t>交通</t>
        </is>
      </c>
      <c r="E32" s="4" t="inlineStr">
        <is>
          <t>R5〜R9</t>
        </is>
      </c>
      <c r="F32" s="7" t="inlineStr">
        <is>
          <t>正しい</t>
        </is>
      </c>
      <c r="G32" s="4" t="inlineStr">
        <is>
          <t>R5〜R9（R5.4〜R10.3）</t>
        </is>
      </c>
      <c r="H32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32" s="4" t="inlineStr">
        <is>
          <t>計画期間は令和5年4月から令和10年3月31日までの5年間（R5.3策定、R5.5・R6.5・R7.3・R8.3一部改定）</t>
        </is>
      </c>
      <c r="J32" s="6" t="inlineStr">
        <is>
          <t>https://www.pref.fukushima.lg.jp/uploaded/attachment/738677.pdf</t>
        </is>
      </c>
      <c r="K32" s="4" t="inlineStr"/>
      <c r="L32" s="4" t="inlineStr">
        <is>
          <t>福島県策定の福島県避難地域広域公共交通計画（避難12市町村対象）。R6年度に中間見直し。最新改定R8.3.27</t>
        </is>
      </c>
    </row>
    <row r="33">
      <c r="A33" s="4" t="n">
        <v>29</v>
      </c>
      <c r="B33" s="4" t="inlineStr">
        <is>
          <t>福島県</t>
        </is>
      </c>
      <c r="C33" s="4" t="inlineStr">
        <is>
          <t>浪江町</t>
        </is>
      </c>
      <c r="D33" s="4" t="inlineStr">
        <is>
          <t>交通</t>
        </is>
      </c>
      <c r="E33" s="4" t="inlineStr">
        <is>
          <t>R5〜R9</t>
        </is>
      </c>
      <c r="F33" s="7" t="inlineStr">
        <is>
          <t>正しい</t>
        </is>
      </c>
      <c r="G33" s="4" t="inlineStr">
        <is>
          <t>R5〜R9（R5.4〜R10.3）</t>
        </is>
      </c>
      <c r="H33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33" s="4" t="inlineStr">
        <is>
          <t>計画期間は令和5年4月から令和10年3月31日までの5年間（R5.3策定、R5.5・R6.5・R7.3・R8.3一部改定）</t>
        </is>
      </c>
      <c r="J33" s="6" t="inlineStr">
        <is>
          <t>https://www.pref.fukushima.lg.jp/uploaded/attachment/738677.pdf</t>
        </is>
      </c>
      <c r="K33" s="4" t="inlineStr"/>
      <c r="L33" s="4" t="inlineStr">
        <is>
          <t>福島県策定の福島県避難地域広域公共交通計画（避難12市町村対象）。R6年度に中間見直し。最新改定R8.3.27</t>
        </is>
      </c>
    </row>
    <row r="34">
      <c r="A34" s="4" t="n">
        <v>30</v>
      </c>
      <c r="B34" s="4" t="inlineStr">
        <is>
          <t>福島県</t>
        </is>
      </c>
      <c r="C34" s="4" t="inlineStr">
        <is>
          <t>葛尾村</t>
        </is>
      </c>
      <c r="D34" s="4" t="inlineStr">
        <is>
          <t>交通</t>
        </is>
      </c>
      <c r="E34" s="4" t="inlineStr">
        <is>
          <t>R5〜R9</t>
        </is>
      </c>
      <c r="F34" s="7" t="inlineStr">
        <is>
          <t>正しい</t>
        </is>
      </c>
      <c r="G34" s="4" t="inlineStr">
        <is>
          <t>R5〜R9（R5.4〜R10.3）</t>
        </is>
      </c>
      <c r="H34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34" s="4" t="inlineStr">
        <is>
          <t>計画期間は令和5年4月から令和10年3月31日までの5年間（R5.3策定、R5.5・R6.5・R7.3・R8.3一部改定）</t>
        </is>
      </c>
      <c r="J34" s="6" t="inlineStr">
        <is>
          <t>https://www.pref.fukushima.lg.jp/uploaded/attachment/738677.pdf</t>
        </is>
      </c>
      <c r="K34" s="4" t="inlineStr"/>
      <c r="L34" s="4" t="inlineStr">
        <is>
          <t>福島県策定の福島県避難地域広域公共交通計画（避難12市町村対象）。R6年度に中間見直し。最新改定R8.3.27</t>
        </is>
      </c>
    </row>
    <row r="35">
      <c r="A35" s="4" t="n">
        <v>31</v>
      </c>
      <c r="B35" s="4" t="inlineStr">
        <is>
          <t>福島県</t>
        </is>
      </c>
      <c r="C35" s="4" t="inlineStr">
        <is>
          <t>飯舘村</t>
        </is>
      </c>
      <c r="D35" s="4" t="inlineStr">
        <is>
          <t>交通</t>
        </is>
      </c>
      <c r="E35" s="4" t="inlineStr">
        <is>
          <t>R5〜R9</t>
        </is>
      </c>
      <c r="F35" s="7" t="inlineStr">
        <is>
          <t>正しい</t>
        </is>
      </c>
      <c r="G35" s="4" t="inlineStr">
        <is>
          <t>R5〜R9（R5.4〜R10.3）</t>
        </is>
      </c>
      <c r="H35" s="4" t="inlineStr">
        <is>
          <t>予定のみ：協議会資料でR8年度に最終評価、R9年度に次期計画（R10.4〜）策定と記載 https://www.pref.fukushima.lg.jp/uploaded/attachment/756354.pdf（策定支援業務の公募等は確認できず）</t>
        </is>
      </c>
      <c r="I35" s="4" t="inlineStr">
        <is>
          <t>計画期間は令和5年4月から令和10年3月31日までの5年間（R5.3策定、R5.5・R6.5・R7.3・R8.3一部改定）</t>
        </is>
      </c>
      <c r="J35" s="6" t="inlineStr">
        <is>
          <t>https://www.pref.fukushima.lg.jp/uploaded/attachment/738677.pdf</t>
        </is>
      </c>
      <c r="K35" s="4" t="inlineStr"/>
      <c r="L35" s="4" t="inlineStr">
        <is>
          <t>福島県策定の福島県避難地域広域公共交通計画（避難12市町村対象）。R6年度に中間見直し。最新改定R8.3.27</t>
        </is>
      </c>
    </row>
    <row r="36">
      <c r="A36" s="4" t="n">
        <v>32</v>
      </c>
      <c r="B36" s="4" t="inlineStr">
        <is>
          <t>茨城県</t>
        </is>
      </c>
      <c r="C36" s="4" t="inlineStr">
        <is>
          <t>常陸大宮市</t>
        </is>
      </c>
      <c r="D36" s="4" t="inlineStr">
        <is>
          <t>交通</t>
        </is>
      </c>
      <c r="E36" s="4" t="inlineStr">
        <is>
          <t>R5〜R9</t>
        </is>
      </c>
      <c r="F36" s="7" t="inlineStr">
        <is>
          <t>正しい</t>
        </is>
      </c>
      <c r="G36" s="4" t="inlineStr">
        <is>
          <t>令和5年度〜令和9年度（5年間、令和5年2月策定）</t>
        </is>
      </c>
      <c r="H36" s="4" t="inlineStr">
        <is>
          <t>確認できず</t>
        </is>
      </c>
      <c r="I36" s="4" t="inlineStr">
        <is>
          <t>地域公共交通政策のマスタープランとなる「常陸大宮市地域公共交通計画」（令和5年度から令和9年度の5年間）を令和5年2月に策定しました</t>
        </is>
      </c>
      <c r="J36" s="6" t="inlineStr">
        <is>
          <t>https://www.city.hitachiomiya.lg.jp/kurashi_gyousei/gyousei/plan/r0/page003126.html</t>
        </is>
      </c>
      <c r="K36" s="4" t="inlineStr"/>
      <c r="L36" s="4" t="inlineStr">
        <is>
          <t>計画ページ（page003126.html）の本文。WebFetchは市サイトがegressブロック。次期計画の協議会審議・プロポーザル等は検索で見当たらず。</t>
        </is>
      </c>
    </row>
    <row r="37">
      <c r="A37" s="4" t="n">
        <v>33</v>
      </c>
      <c r="B37" s="4" t="inlineStr">
        <is>
          <t>茨城県</t>
        </is>
      </c>
      <c r="C37" s="4" t="inlineStr">
        <is>
          <t>常陸大宮市</t>
        </is>
      </c>
      <c r="D37" s="4" t="inlineStr">
        <is>
          <t>環境</t>
        </is>
      </c>
      <c r="E37" s="4" t="inlineStr">
        <is>
          <t>R5〜R9</t>
        </is>
      </c>
      <c r="F37" s="7" t="inlineStr">
        <is>
          <t>正しい</t>
        </is>
      </c>
      <c r="G37" s="4" t="inlineStr">
        <is>
          <t>第2次計画全体 平成30年度〜令和9年度（10年間）、後期計画 令和5年度〜令和9年度</t>
        </is>
      </c>
      <c r="H37" s="4" t="inlineStr">
        <is>
          <t>確認できず</t>
        </is>
      </c>
      <c r="I37" s="4" t="inlineStr">
        <is>
          <t>平成３０年度から令和９年度までの１０年間を計画期間とした「常陸大宮市環境基本計画」に基づき…（策定から5年が経過…現行計画の中間見直し）</t>
        </is>
      </c>
      <c r="J37" s="6" t="inlineStr">
        <is>
          <t>https://www.city.hitachiomiya.lg.jp/data/doc/1673312876_doc_1_0.pdf</t>
        </is>
      </c>
      <c r="K37" s="4" t="inlineStr"/>
      <c r="L37" s="4" t="inlineStr">
        <is>
          <t>終期R9は本文（全角数字の引用）で確認。後期の始期R5は検索要約のみだが中間見直し（策定5年経過）の記述と整合。引用元は既存JSONと同じPDFの可能性あり（検索結果に出現）。1775707564_doc_27_0.pdf（2026年4月頃掲載）が検索に出たが内容不明。第3次計画着手の情報は見当たらず。</t>
        </is>
      </c>
    </row>
    <row r="38">
      <c r="A38" s="4" t="n">
        <v>34</v>
      </c>
      <c r="B38" s="4" t="inlineStr">
        <is>
          <t>茨城県</t>
        </is>
      </c>
      <c r="C38" s="4" t="inlineStr">
        <is>
          <t>阿見町</t>
        </is>
      </c>
      <c r="D38" s="4" t="inlineStr">
        <is>
          <t>交通</t>
        </is>
      </c>
      <c r="E38" s="4" t="inlineStr">
        <is>
          <t>R5〜R9</t>
        </is>
      </c>
      <c r="F38" s="8" t="inlineStr">
        <is>
          <t>確認できず</t>
        </is>
      </c>
      <c r="G38" s="4" t="n"/>
      <c r="H38" s="4" t="inlineStr">
        <is>
          <t>未確認（手がかりあり）：令和8年6月1日の令和8年度第1回阿見町地域公共交通活性化協議会で公共交通に関するアンケート調査結果を報告、R9確保維持事業計画を審議（https://www.town.ami.lg.jp/cmsfiles/contents/0000009/9640/R8_dai1kaikyougikai_siryo.pdf , R8_dai1kai_kaigiroku.pdf）。次期計画策定用か不明</t>
        </is>
      </c>
      <c r="I38" s="4" t="inlineStr">
        <is>
          <t>（検索要約のみ）概要版に計画区域は町全域、期間は令和5年度から令和9年度の5年間とある旨</t>
        </is>
      </c>
      <c r="J38" s="6" t="inlineStr">
        <is>
          <t>https://www.town.ami.lg.jp/cmsfiles/contents/0000009/9640/gaiyo.pdf</t>
        </is>
      </c>
      <c r="K38" s="4" t="inlineStr">
        <is>
          <t>「推定」に格下げ</t>
        </is>
      </c>
      <c r="L38" s="4" t="inlineStr">
        <is>
          <t>令和5年2月策定は確認。期間R5〜R9は検索要約（英文言い換え）でのみ示され本文未確認のため確認できず扱い。町サイトはWebFetchブロック。R8アンケートは次期計画策定の前段の可能性があり要確認。</t>
        </is>
      </c>
    </row>
    <row r="39">
      <c r="A39" s="4" t="n">
        <v>35</v>
      </c>
      <c r="B39" s="4" t="inlineStr">
        <is>
          <t>茨城県</t>
        </is>
      </c>
      <c r="C39" s="4" t="inlineStr">
        <is>
          <t>五霞町</t>
        </is>
      </c>
      <c r="D39" s="4" t="inlineStr">
        <is>
          <t>交通</t>
        </is>
      </c>
      <c r="E39" s="4" t="inlineStr">
        <is>
          <t>R5〜R9 (推定)</t>
        </is>
      </c>
      <c r="F39" s="8" t="inlineStr">
        <is>
          <t>確認できず</t>
        </is>
      </c>
      <c r="G39" s="4" t="n"/>
      <c r="H39" s="4" t="inlineStr">
        <is>
          <t>確認できず</t>
        </is>
      </c>
      <c r="I39" s="4" t="inlineStr">
        <is>
          <t>（検索要約）令和5年3月策定、令和6年1月開始のデマンド交通に関連して変更（令和6年5月変更）</t>
        </is>
      </c>
      <c r="J39" s="6" t="inlineStr">
        <is>
          <t>https://www.town.goka.lg.jp/kurashi-machi-shigoto/kurashi/kurashi-tetsuzuki/lifeline/koukyoukoutsuu/page005231.html</t>
        </is>
      </c>
      <c r="K39" s="4" t="inlineStr">
        <is>
          <t>「推定」に格下げ</t>
        </is>
      </c>
      <c r="L39" s="4" t="inlineStr">
        <is>
          <t>計画期間の記述は検索5回で見つからず。令和5年3月策定・令和6年5月変更は確認。変更版PDF（1737593680_doc_20_0.pdf, 2025年1月頃掲載）が存在し、変更で期間が動いた可能性は否定できない。町サイトはWebFetchブロック。</t>
        </is>
      </c>
    </row>
    <row r="40">
      <c r="A40" s="4" t="n">
        <v>36</v>
      </c>
      <c r="B40" s="4" t="inlineStr">
        <is>
          <t>栃木県</t>
        </is>
      </c>
      <c r="C40" s="4" t="inlineStr">
        <is>
          <t>栃木市</t>
        </is>
      </c>
      <c r="D40" s="4" t="inlineStr">
        <is>
          <t>交通</t>
        </is>
      </c>
      <c r="E40" s="4" t="inlineStr">
        <is>
          <t>R6.6〜R9</t>
        </is>
      </c>
      <c r="F40" s="7" t="inlineStr">
        <is>
          <t>正しい</t>
        </is>
      </c>
      <c r="G40" s="4" t="inlineStr">
        <is>
          <t>令和6年6月24日（改訂）〜令和9年度末（2028年3月）</t>
        </is>
      </c>
      <c r="H40" s="4" t="inlineStr">
        <is>
          <t>着手済：令和7年度に第2次栃木市地域公共交通計画（R10〜R14予定）の策定を進行。令和7年5月に策定業務を入札で特定非営利活動法人まちづくり支援センターに委託、令和7年度第4回栃木市地域公共交通会議で進捗報告（https://www.city.tochigi.lg.jp/uploaded/attachment/63013.pdf ほか 56067.pdf, 67082.pdf が検索に出現）</t>
        </is>
      </c>
      <c r="I40" s="4" t="inlineStr">
        <is>
          <t>第１次栃木市地域公共交通計画は改訂時令和６年６月２４日～令和９年度まで／第2次栃木市地域公共交通計画の計画期間は令和10年度～令和14年度（5年間）</t>
        </is>
      </c>
      <c r="J40" s="6" t="inlineStr">
        <is>
          <t>https://www.city.tochigi.lg.jp/uploaded/attachment/63013.pdf</t>
        </is>
      </c>
      <c r="K40" s="4" t="inlineStr">
        <is>
          <t>改定状況を「着手済」に更新（◎→△）</t>
        </is>
      </c>
      <c r="L40" s="4" t="inlineStr">
        <is>
          <t>引用は検索結果本文（全角数字）由来だが、どのPDF由来かは特定できず（53179/53180/56361/63013等が出現）。計画ページ https://www.city.tochigi.lg.jp/soshiki/20/6994.html で令和6年6月改訂を確認。第2次がR10開始予定のため現行の終期R9と整合。</t>
        </is>
      </c>
    </row>
    <row r="41">
      <c r="A41" s="4" t="n">
        <v>37</v>
      </c>
      <c r="B41" s="4" t="inlineStr">
        <is>
          <t>栃木県</t>
        </is>
      </c>
      <c r="C41" s="4" t="inlineStr">
        <is>
          <t>鹿沼市</t>
        </is>
      </c>
      <c r="D41" s="4" t="inlineStr">
        <is>
          <t>交通</t>
        </is>
      </c>
      <c r="E41" s="4" t="inlineStr">
        <is>
          <t>R4〜R9</t>
        </is>
      </c>
      <c r="F41" s="7" t="inlineStr">
        <is>
          <t>正しい</t>
        </is>
      </c>
      <c r="G41" s="4" t="inlineStr">
        <is>
          <t>R4年度〜R9年度（6年間。R6.10・R8.6に一部改定）</t>
        </is>
      </c>
      <c r="H41" s="4" t="inlineStr">
        <is>
          <t>確認できず（次期計画策定支援業務の公告・地域公共交通会議での次期計画審議は検索で見当たらず）</t>
        </is>
      </c>
      <c r="I41" s="4" t="inlineStr">
        <is>
          <t>計画期間 2022（令和4）年度～2027（令和9）年度（6年間）／2024（令和6）年10月・2026（令和8）年6月 一部改定（3回の独立検索の結果本文で同旨を確認。PDF本体はegress遮断で直接未取得）</t>
        </is>
      </c>
      <c r="J41" s="6" t="inlineStr">
        <is>
          <t>https://www.city.kanuma.tochigi.jp/manage/contents/upload/6a3b627349ac7.pdf</t>
        </is>
      </c>
      <c r="K41" s="4" t="inlineStr"/>
      <c r="L41" s="4" t="inlineStr">
        <is>
          <t>既存URL(623824c0af645.pdf)とは別に、R8.6一部改定版とみられる6a3b627349ac7.pdfで同期間を確認。R8年6月に一部改定したばかりで計画は存続。終期R9年度なので次期計画はR8〜R9年度に策定着手見込みだが、着手の公表は未確認。</t>
        </is>
      </c>
    </row>
    <row r="42">
      <c r="A42" s="4" t="n">
        <v>38</v>
      </c>
      <c r="B42" s="4" t="inlineStr">
        <is>
          <t>栃木県</t>
        </is>
      </c>
      <c r="C42" s="4" t="inlineStr">
        <is>
          <t>日光市</t>
        </is>
      </c>
      <c r="D42" s="4" t="inlineStr">
        <is>
          <t>交通</t>
        </is>
      </c>
      <c r="E42" s="4" t="inlineStr">
        <is>
          <t>R5.4〜R10.3</t>
        </is>
      </c>
      <c r="F42" s="8" t="inlineStr">
        <is>
          <t>確認できず</t>
        </is>
      </c>
      <c r="G42" s="4" t="inlineStr">
        <is>
          <t>R5.4〜R10.3（5ヵ年）※検索要約1回のみ</t>
        </is>
      </c>
      <c r="H42" s="4" t="inlineStr">
        <is>
          <t>確認できず（策定支援業務プロポ・協議会での次期計画審議は検索で見当たらず）</t>
        </is>
      </c>
      <c r="I42" s="4" t="inlineStr">
        <is>
          <t>「計画期間は令和5（2023）年4月から令和10（2028）年3月の5ヵ年」（検索要約1回のみ。他の4回の検索では期間本文を確認できず）</t>
        </is>
      </c>
      <c r="J42" s="6" t="inlineStr">
        <is>
          <t>https://www.city.nikko.lg.jp/material/files/group/33/tiikikoukyoukoutuukeikaku.pdf</t>
        </is>
      </c>
      <c r="K42" s="4" t="inlineStr">
        <is>
          <t>「推定」に格下げ</t>
        </is>
      </c>
      <c r="L42" s="4" t="inlineStr">
        <is>
          <t>計画はR5年3月策定（パブコメR5.1.16〜R5.2.15、tiikikoukyoukoutuu_kekka.pdf）。主張と整合する期間記述が1回出たが、規則上1回の要約のみのため確認できずとした。実質的には主張どおりである可能性が高い。市サイトはWebFetch不可（egress遮断）。</t>
        </is>
      </c>
    </row>
    <row r="43">
      <c r="A43" s="4" t="n">
        <v>39</v>
      </c>
      <c r="B43" s="4" t="inlineStr">
        <is>
          <t>栃木県</t>
        </is>
      </c>
      <c r="C43" s="4" t="inlineStr">
        <is>
          <t>さくら市</t>
        </is>
      </c>
      <c r="D43" s="4" t="inlineStr">
        <is>
          <t>環境</t>
        </is>
      </c>
      <c r="E43" s="4" t="inlineStr">
        <is>
          <t>H30〜R9</t>
        </is>
      </c>
      <c r="F43" s="7" t="inlineStr">
        <is>
          <t>正しい</t>
        </is>
      </c>
      <c r="G43" s="4" t="inlineStr">
        <is>
          <t>H30年度〜R9年度（10年間）</t>
        </is>
      </c>
      <c r="H43" s="4" t="inlineStr">
        <is>
          <t>確認できず（第3次さくら市環境基本計画・策定支援業務プロポの情報は検索で見当たらず）</t>
        </is>
      </c>
      <c r="I43" s="4" t="inlineStr">
        <is>
          <t>「計画期間は、2018年度から2027年度までの10年間」「2027年度を目標の達成年度とし、必要に応じて計画の中間年を目安に…改訂」（さくら市ドメイン限定の2回の検索で同旨）</t>
        </is>
      </c>
      <c r="J43" s="6" t="inlineStr">
        <is>
          <t>https://www.city.tochigi-sakura.lg.jp/life/000014/000121/000403/p001957.html</t>
        </is>
      </c>
      <c r="K43" s="4" t="inlineStr"/>
      <c r="L43" s="4" t="inlineStr">
        <is>
          <t>最初の一般検索の要約は佐久市（長野）の資料と混同していたため、さくら市ドメインに限定して再確認。R8年1月に緑の基本計画（案）が出ているが環境基本計画の次期策定情報はなし。</t>
        </is>
      </c>
    </row>
    <row r="44">
      <c r="A44" s="4" t="n">
        <v>40</v>
      </c>
      <c r="B44" s="4" t="inlineStr">
        <is>
          <t>栃木県</t>
        </is>
      </c>
      <c r="C44" s="4" t="inlineStr">
        <is>
          <t>鹿沼市</t>
        </is>
      </c>
      <c r="D44" s="4" t="inlineStr">
        <is>
          <t>環境：第5次鹿沼市環境基本計画（R4〜R8）— 第6次策定状況／延長の有無</t>
        </is>
      </c>
      <c r="E44" s="4" t="inlineStr">
        <is>
          <t>R4〜R8</t>
        </is>
      </c>
      <c r="F44" s="7" t="inlineStr">
        <is>
          <t>正しい</t>
        </is>
      </c>
      <c r="G44" s="4" t="inlineStr">
        <is>
          <t>R4年度〜R8年度</t>
        </is>
      </c>
      <c r="H44" s="4" t="inlineStr">
        <is>
          <t>確認できず（第6次計画の策定支援業務プロポ/入札、環境審議会への諮問、市民アンケート、パブコメはいずれも検索で見当たらず。延長の記述も見当たらず）</t>
        </is>
      </c>
      <c r="I44" s="4" t="inlineStr">
        <is>
          <t>「現在は、令和４年度から令和８年度までを計画期間とした第５次環境基本計画に基づき施策を実施しています。」（鹿沼市ドメインの検索結果本文。出典PDFは6976cd070c260.pdf／677b77b2e1b3e.pdf等の同時ヒットのいずれかで特定できず。別検索でも「FY2022〜FY2026」と同旨）</t>
        </is>
      </c>
      <c r="J44" s="6" t="inlineStr">
        <is>
          <t>https://www.city.kanuma.tochigi.jp/manage/contents/upload/6976cd070c260.pdf</t>
        </is>
      </c>
      <c r="K44" s="4" t="inlineStr"/>
      <c r="L44" s="4" t="inlineStr">
        <is>
          <t>対象: 第5次鹿沼市環境基本計画（R4〜R8）。R8年度（今年度）で終期を迎えるが、第6次の策定作業・第5次の延長のいずれも公開情報で確認できなかった（「第6次鹿沼市環境基本計画」検索はヒットなし）。第8次総合計画（R4〜R8）と同期間で、次期総合計画と合わせR9年度開始の第6次を今年度策定中の可能性はあるが未確認。営業上は要電話確認。鹿沼市サイトはWebFetch不可（egress遮断）。</t>
        </is>
      </c>
    </row>
    <row r="45">
      <c r="A45" s="4" t="n">
        <v>41</v>
      </c>
      <c r="B45" s="4" t="inlineStr">
        <is>
          <t>栃木県</t>
        </is>
      </c>
      <c r="C45" s="4" t="inlineStr">
        <is>
          <t>大田原市</t>
        </is>
      </c>
      <c r="D45" s="4" t="inlineStr">
        <is>
          <t>交通</t>
        </is>
      </c>
      <c r="E45" s="4" t="inlineStr">
        <is>
          <t>R4〜R9</t>
        </is>
      </c>
      <c r="F45" s="7" t="inlineStr">
        <is>
          <t>正しい</t>
        </is>
      </c>
      <c r="G45" s="4" t="inlineStr">
        <is>
          <t>R4〜R9（令和4(2022)年度〜令和9(2027)年度の6か年）</t>
        </is>
      </c>
      <c r="H45" s="4" t="inlineStr">
        <is>
          <t>着手済: 次期計画策定調査業務委託の公募型プロポーザル（公告ページ https://www.city.ohtawara.tochigi.jp/docs/2026073100056 、ID上2026-07-31）→審査結果公表 https://www.city.ohtawara.tochigi.jp/docs/2026091600026 （契約候補者: バイタルリード・サーベイリサーチセンター共同企業体）。次期計画はR10〜R14の5年間</t>
        </is>
      </c>
      <c r="I45" s="4" t="inlineStr">
        <is>
          <t>令和4(2022)年度から令和9(2027)年度までの6ヶ年計画となります／令和９年度末に現行の大田原市地域公共交通計画が終了するため、計画期間を令和10年度から５年間とする大田原市地域公共交通計画を策定します</t>
        </is>
      </c>
      <c r="J45" s="6" t="inlineStr">
        <is>
          <t>https://www.city.ohtawara.tochigi.jp/docs/2022032900019/</t>
        </is>
      </c>
      <c r="K45" s="4" t="inlineStr"/>
      <c r="L45" s="4" t="inlineStr">
        <is>
          <t>計画書PDF https://www.city.ohtawara.tochigi.jp/docs/2022032900019/file_contents/ohtawarakoutukeikaku20241225.pdf （令和4年3月策定、R6.12改訂版と思われる）。市サイトはWebFetchブロックのため検索結果本文で確認。</t>
        </is>
      </c>
    </row>
    <row r="46">
      <c r="A46" s="4" t="n">
        <v>42</v>
      </c>
      <c r="B46" s="4" t="inlineStr">
        <is>
          <t>栃木県</t>
        </is>
      </c>
      <c r="C46" s="4" t="inlineStr">
        <is>
          <t>那須塩原市</t>
        </is>
      </c>
      <c r="D46" s="4" t="inlineStr">
        <is>
          <t>交通</t>
        </is>
      </c>
      <c r="E46" s="4" t="inlineStr">
        <is>
          <t>R5〜R9</t>
        </is>
      </c>
      <c r="F46" s="7" t="inlineStr">
        <is>
          <t>正しい</t>
        </is>
      </c>
      <c r="G46" s="4" t="inlineStr">
        <is>
          <t>R5〜R9（令和5年4月〜令和10年3月の5年間）</t>
        </is>
      </c>
      <c r="H46" s="4" t="inlineStr">
        <is>
          <t>確認できず（次期=第3次の策定支援プロポ等は検索で見当たらず。R5・R7に「那須地域定住自立圏及び那須塩原市地域公共交通計画推進(等)支援業務」の公募あり https://labid.jp/projects/ad86a7ca-1570-433d-b7c8-765cdd58ede5 ＝推進支援で策定業務ではない）</t>
        </is>
      </c>
      <c r="I46" s="4" t="inlineStr">
        <is>
          <t>那須塩原市地域公共交通計画（第2次）の計画期間は令和5年度～令和9年度の5年間／那須地域定住自立圏地域公共交通計画（第2次）の計画期間は令和5年4月から令和10年3月までの5年間</t>
        </is>
      </c>
      <c r="J46" s="6" t="inlineStr">
        <is>
          <t>https://www.city.nasushiobara.tochigi.jp/soshikikarasagasu/kb/shinoseisakutokeikaku/1/5506.html</t>
        </is>
      </c>
      <c r="K46" s="4" t="inlineStr"/>
      <c r="L46" s="4" t="inlineStr">
        <is>
          <t>第2次那須塩原市地域公共交通計画は令和5年3月策定（PDF https://www.city.nasushiobara.tochigi.jp/material/files/group/15/nasushiobaracity_2nd_publictransportation.pdf ）。第2次定住自立圏計画は令和5年1月策定、4市町共同。市サイトはWebFetchブロック。</t>
        </is>
      </c>
    </row>
    <row r="47">
      <c r="A47" s="4" t="n">
        <v>43</v>
      </c>
      <c r="B47" s="4" t="inlineStr">
        <is>
          <t>栃木県</t>
        </is>
      </c>
      <c r="C47" s="4" t="inlineStr">
        <is>
          <t>那須町</t>
        </is>
      </c>
      <c r="D47" s="4" t="inlineStr">
        <is>
          <t>交通</t>
        </is>
      </c>
      <c r="E47" s="4" t="inlineStr">
        <is>
          <t>R4〜R9</t>
        </is>
      </c>
      <c r="F47" s="7" t="inlineStr">
        <is>
          <t>正しい</t>
        </is>
      </c>
      <c r="G47" s="4" t="inlineStr">
        <is>
          <t>R4〜R9（6か年）</t>
        </is>
      </c>
      <c r="H47" s="4" t="inlineStr">
        <is>
          <t>確認できず（町の次期交通計画策定プロポは検索で見当たらず。関連: 栃木県「令和８（2026）年度広域公共交通連携検討業務委託」プロポ https://www.pref.tochigi.lg.jp/h03/r8gyoumuitaku_lrt.html は県事業）</t>
        </is>
      </c>
      <c r="I47" s="4" t="inlineStr">
        <is>
          <t>「那須町地域公共交通計画」を策定しました。計画期間は令和4年度から令和9年度までの6カ年間です。</t>
        </is>
      </c>
      <c r="J47" s="6" t="inlineStr">
        <is>
          <t>https://www.town.nasu.lg.jp/0242/info-0000002729-1.html</t>
        </is>
      </c>
      <c r="K47" s="4" t="inlineStr"/>
      <c r="L47" s="4" t="inlineStr">
        <is>
          <t>町計画は令和4年3月策定（PDF https://www.town.nasu.lg.jp/manage/contents/upload/6243b2b07f368.pdf ）。併せて第2次那須地域定住自立圏地域公共交通計画（R5.4〜R10.3）にも参加。町サイトはWebFetchブロック。</t>
        </is>
      </c>
    </row>
    <row r="48">
      <c r="A48" s="4" t="n">
        <v>44</v>
      </c>
      <c r="B48" s="4" t="inlineStr">
        <is>
          <t>栃木県</t>
        </is>
      </c>
      <c r="C48" s="4" t="inlineStr">
        <is>
          <t>那珂川町</t>
        </is>
      </c>
      <c r="D48" s="4" t="inlineStr">
        <is>
          <t>交通</t>
        </is>
      </c>
      <c r="E48" s="4" t="inlineStr">
        <is>
          <t>R5〜R9（定住自立圏）</t>
        </is>
      </c>
      <c r="F48" s="7" t="inlineStr">
        <is>
          <t>正しい</t>
        </is>
      </c>
      <c r="G48" s="4" t="inlineStr">
        <is>
          <t>R5〜R9（定住自立圏計画: 令和5年4月〜令和10年3月）。町単独計画（R5.3策定）の期間は未確認</t>
        </is>
      </c>
      <c r="H48" s="4" t="inlineStr">
        <is>
          <t>確認できず</t>
        </is>
      </c>
      <c r="I48" s="4" t="inlineStr">
        <is>
          <t>那須地域定住自立圏地域公共交通計画（第2次）の計画期間は令和5年4月から令和10年3月までの5年間で、那珂川町も含まれています</t>
        </is>
      </c>
      <c r="J48" s="6" t="inlineStr">
        <is>
          <t>https://www.city.nasushiobara.tochigi.jp/soshikikarasagasu/kb/shinoseisakutokeikaku/1/5504.html</t>
        </is>
      </c>
      <c r="K48" s="4" t="inlineStr"/>
      <c r="L48" s="4" t="inlineStr">
        <is>
          <t>「那珂川町地域公共交通計画」は令和5年3月策定（https://www.town.tochigi-nakagawa.lg.jp/life/kurashi/2023-0331-0958-5.html ）だが、その計画期間の本文記述は検索で得られず（3回検索、福岡県那珂川市の計画R7〜R11が混入するので注意）。町サイトはWebFetchブロック。</t>
        </is>
      </c>
    </row>
    <row r="49">
      <c r="A49" s="4" t="n">
        <v>45</v>
      </c>
      <c r="B49" s="4" t="inlineStr">
        <is>
          <t>栃木県</t>
        </is>
      </c>
      <c r="C49" s="4" t="inlineStr">
        <is>
          <t>那須塩原市</t>
        </is>
      </c>
      <c r="D49" s="4" t="inlineStr">
        <is>
          <t>環境：第2期那須塩原市環境基本計画【改定版】— R12延長・最終策定の有無</t>
        </is>
      </c>
      <c r="E49" s="4" t="inlineStr">
        <is>
          <t>H29〜R12（延長）</t>
        </is>
      </c>
      <c r="F49" s="8" t="inlineStr">
        <is>
          <t>確認できず</t>
        </is>
      </c>
      <c r="G49" s="4" t="inlineStr">
        <is>
          <t>H29〜R12（2017〜2030年度）※改定版（案）段階の記述。最終策定は未確認</t>
        </is>
      </c>
      <c r="H49" s="4" t="inlineStr">
        <is>
          <t>改定作業中: R7年度環境審議会（第1回9/3、第2回11/27）で改定版（案）とパブコメ結果を審議 https://www.city.nasushiobara.tochigi.jp/shiseijoho/shingikai/8439.html 。策定・公表（改定版確定）の告知は検索で見当たらず</t>
        </is>
      </c>
      <c r="I49" s="4" t="inlineStr">
        <is>
          <t>(検索要約・英文) The revised version ... extends the plan period from fiscal year 2017 to fiscal year 2030 (previously 2017-2027) ... to ensure a 5-year monitoring period</t>
        </is>
      </c>
      <c r="J49" s="6" t="inlineStr">
        <is>
          <t>https://www.city.nasushiobara.tochigi.jp/material/files/group/13/dai2ki_kankyokihonkeikaku_an.pdf</t>
        </is>
      </c>
      <c r="K49" s="4" t="inlineStr"/>
      <c r="L49" s="4" t="inlineStr">
        <is>
          <t>対象: 第2期那須塩原市環境基本計画【改定版】。R12への延長は案PDFの検索要約2件で一致（目標達成状況を管理する5年のモニタリング期間確保のため）だが日本語原文の引用は得られず、別検索ではH29〜R9との要約も出た（改定前の記述）。パブコメ結果は第2回審議会（R7.11）で報告された模様。最終版の公表（例R8.3）は未確認のため確認できずとした。</t>
        </is>
      </c>
    </row>
    <row r="50">
      <c r="A50" s="4" t="n">
        <v>46</v>
      </c>
      <c r="B50" s="4" t="inlineStr">
        <is>
          <t>栃木県</t>
        </is>
      </c>
      <c r="C50" s="4" t="inlineStr">
        <is>
          <t>大田原市</t>
        </is>
      </c>
      <c r="D50" s="4" t="inlineStr">
        <is>
          <t>交通：大田原市地域公共交通計画 次期計画策定調査業務プロポーザル（2026-07-31公告）・委託先決定の有無</t>
        </is>
      </c>
      <c r="E50" s="4" t="inlineStr">
        <is>
          <t>次期計画策定調査業務プロポ 2026-07-31公告</t>
        </is>
      </c>
      <c r="F50" s="7" t="inlineStr">
        <is>
          <t>正しい</t>
        </is>
      </c>
      <c r="G50" s="4" t="inlineStr">
        <is>
          <t>次期計画: R10〜R14（令和10年度から5年間）</t>
        </is>
      </c>
      <c r="H50" s="4" t="inlineStr">
        <is>
          <t>着手済・受託候補決定: 公告 https://www.city.ohtawara.tochigi.jp/docs/2026073100056 、審査結果 https://www.city.ohtawara.tochigi.jp/docs/2026091600026 （契約候補者: バイタルリード・サーベイリサーチセンター共同企業体〔島根県出雲市荻杼町274番地2〕）</t>
        </is>
      </c>
      <c r="I50" s="4" t="inlineStr">
        <is>
          <t>令和９年度末に現行の大田原市地域公共交通計画が終了するため、計画期間を令和10年度から５年間とする大田原市地域公共交通計画を策定します／バイタルリード・サーベイリサーチセンター共同企業体が契約候補者として特定されました</t>
        </is>
      </c>
      <c r="J50" s="6" t="inlineStr">
        <is>
          <t>https://www.city.ohtawara.tochigi.jp/docs/2026091600026</t>
        </is>
      </c>
      <c r="K50" s="4" t="inlineStr"/>
      <c r="L50" s="4" t="inlineStr">
        <is>
          <t>対象: 大田原市地域公共交通計画 次期計画策定調査業務プロポーザル。業務名「大田原市地域公共交通計画策定調査業務委託」。公募ページの存在・内容は検索結果本文で確認。公告日2026-07-31はページID(docs/2026073100056)由来で、本文中の公告日記載は未確認。審査は検索要約上「2026年9月17日（木）実施」とあるが結果ページIDは20260916で日付に不整合あり（要約の誤りの可能性）。業務内容: 基礎調査、分析、資料作成、計画案作成等の支援。市サイトはWebFetchブロック。</t>
        </is>
      </c>
    </row>
    <row r="52">
      <c r="B52" s="9" t="inlineStr">
        <is>
          <t>集計</t>
        </is>
      </c>
    </row>
    <row r="53">
      <c r="B53" s="10" t="inlineStr">
        <is>
          <t>正しい</t>
        </is>
      </c>
      <c r="C53" s="10">
        <f>COUNTIF($F$5:$F$50,B53)</f>
        <v/>
      </c>
    </row>
    <row r="54">
      <c r="B54" s="10" t="inlineStr">
        <is>
          <t>誤り</t>
        </is>
      </c>
      <c r="C54" s="10">
        <f>COUNTIF($F$5:$F$50,B54)</f>
        <v/>
      </c>
    </row>
    <row r="55">
      <c r="B55" s="10" t="inlineStr">
        <is>
          <t>確認できず</t>
        </is>
      </c>
      <c r="C55" s="10">
        <f>COUNTIF($F$5:$F$50,B55)</f>
        <v/>
      </c>
    </row>
    <row r="56">
      <c r="B56" s="9" t="inlineStr">
        <is>
          <t>合計</t>
        </is>
      </c>
      <c r="C56" s="9">
        <f>SUM(C53:C55)</f>
        <v/>
      </c>
    </row>
  </sheetData>
  <autoFilter ref="A4:L5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2026-09-30T23:57:23Z</dcterms:created>
  <dcterms:modified xsi:type="dcterms:W3CDTF">2026-09-30T23:57:23Z</dcterms:modified>
</cp:coreProperties>
</file>