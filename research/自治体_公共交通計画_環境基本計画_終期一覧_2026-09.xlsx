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city.morioka.iwate.jp/_res/projects/default_project/_page_/001/043/162/R7honpen.pdf" TargetMode="External" Id="rId31" /><Relationship Type="http://schemas.openxmlformats.org/officeDocument/2006/relationships/hyperlink" Target="https://www.town.nishiwaga.lg.jp/material/files/group/1/2306nishiwagakotsukeikaku.pdf" TargetMode="External" Id="rId32" /><Relationship Type="http://schemas.openxmlformats.org/officeDocument/2006/relationships/hyperlink" Target="https://www.town.kanegasaki.iwate.jp/articles/2020032900015/file_contents/keikaku.pdf" TargetMode="External" Id="rId33" /><Relationship Type="http://schemas.openxmlformats.org/officeDocument/2006/relationships/hyperlink" Target="https://www.town.hiraizumi.iwate.jp/%E5%B9%B3%E6%B3%89%E7%94%BA%E5%9C%B0%E5%9F%9F%E5%85%AC%E5%85%B1%E4%BA%A4%E9%80%9A%E8%A8%88%E7%94%BB%E3%82%92%E7%AD%96%E5%AE%9A%E3%81%97%E3%81%BE%E3%81%97%E3%81%9F-25574/" TargetMode="External" Id="rId34" /><Relationship Type="http://schemas.openxmlformats.org/officeDocument/2006/relationships/hyperlink" Target="https://www.town.sumita.iwate.jp/docs/2025040400014/files/tiikikoukyoukoutuukeikaku2025.pdf" TargetMode="External" Id="rId35" /><Relationship Type="http://schemas.openxmlformats.org/officeDocument/2006/relationships/hyperlink" Target="https://www.town.sumita.iwate.jp/docs/2023061500010/files/04_dai4syou.pdf" TargetMode="External" Id="rId36" /><Relationship Type="http://schemas.openxmlformats.org/officeDocument/2006/relationships/hyperlink" Target="https://www.town.otsuchi.iwate.jp/fs/2/3/0/5/0/9/_/___________.pdf" TargetMode="External" Id="rId37" /><Relationship Type="http://schemas.openxmlformats.org/officeDocument/2006/relationships/hyperlink" Target="https://www.town.yamada.iwate.jp/fs/1/2/1/7/4/5/_/___________.pdf" TargetMode="External" Id="rId38" /><Relationship Type="http://schemas.openxmlformats.org/officeDocument/2006/relationships/hyperlink" Target="https://www.town.iwaizumi.lg.jp/docs/2024032500015/" TargetMode="External" Id="rId39" /><Relationship Type="http://schemas.openxmlformats.org/officeDocument/2006/relationships/hyperlink" Target="https://www.vill.tanohata.iwate.jp/bunya/keikaku/tanohata/" TargetMode="External" Id="rId40" /><Relationship Type="http://schemas.openxmlformats.org/officeDocument/2006/relationships/hyperlink" Target="https://www.vill.tanohata.iwate.jp/docs/2015081800027/" TargetMode="External" Id="rId41" /><Relationship Type="http://schemas.openxmlformats.org/officeDocument/2006/relationships/hyperlink" Target="https://vill.kunohe.iwate.jp/fs/9/5/9/5/_/%E4%B9%9D%E6%88%B8%E6%9D%91%E5%9C%B0%E5%9F%9F%E5%85%AC%E5%85%B1%E4%BA%A4%E9%80%9A%E8%A8%88%E7%94%BB.pdf" TargetMode="External" Id="rId42" /><Relationship Type="http://schemas.openxmlformats.org/officeDocument/2006/relationships/hyperlink" Target="https://www.town.hirono.iwate.jp/doc/2026070700013" TargetMode="External" Id="rId43"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uploaded/attachment/10172.pdf"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li/010/020/080/index.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020057/kurashi/kendo/kotsuseisaku/ykotsu_kasseikakyougikai.html"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pref.yamagata.jp/020057/kurashi/kendo/kotsuseisaku/ykotsu_kasseikakyougikai.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pref.yamagata.jp/020057/kurashi/kendo/kotsuseisaku/ykotsu_kasseikakyougikai.html"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pref.yamagata.jp/020057/kurashi/kendo/kotsuseisaku/ykotsu_kasseikakyougika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publiccomment/r02/page006785.html" TargetMode="External" Id="rId11" /><Relationship Type="http://schemas.openxmlformats.org/officeDocument/2006/relationships/hyperlink" Target="https://www.city.ryugasaki.ibaraki.jp/kurashi/seikatsu/kokyokotsu/keikaku/20220329131428914.files/01.pdf" TargetMode="External" Id="rId12" /><Relationship Type="http://schemas.openxmlformats.org/officeDocument/2006/relationships/hyperlink" Target="https://www.city.ryugasaki.ibaraki.jp/kurashi/kankyo/kankyo/kankyohakusyo/r7-kakyohakusyo.files/R7kankyo-hakusyo.pdf" TargetMode="External" Id="rId13" /><Relationship Type="http://schemas.openxmlformats.org/officeDocument/2006/relationships/hyperlink" Target="https://www.city.hitachiota.ibaraki.jp/data/doc/1651137157_doc_40_0.pdf" TargetMode="External" Id="rId14" /><Relationship Type="http://schemas.openxmlformats.org/officeDocument/2006/relationships/hyperlink" Target="https://www.city.hitachiota.ibaraki.jp/page/page009600.html" TargetMode="External" Id="rId15" /><Relationship Type="http://schemas.openxmlformats.org/officeDocument/2006/relationships/hyperlink" Target="https://www.city.takahagi.ibaraki.jp/kurashi/sumai/kankyou/ondanka/page004519.html" TargetMode="External" Id="rId16" /><Relationship Type="http://schemas.openxmlformats.org/officeDocument/2006/relationships/hyperlink" Target="https://www.city.kitaibaraki.lg.jp/docs/2024013000015" TargetMode="External" Id="rId17" /><Relationship Type="http://schemas.openxmlformats.org/officeDocument/2006/relationships/hyperlink" Target="https://cms.city.kitaibaraki.lg.jp/docs/2025060500022/file_contents/file_20256113161234_1.pdf" TargetMode="External" Id="rId18" /><Relationship Type="http://schemas.openxmlformats.org/officeDocument/2006/relationships/hyperlink" Target="https://www.city.kasama.lg.jp/data/doc/1758843883_doc_70_0.pdf" TargetMode="External" Id="rId19" /><Relationship Type="http://schemas.openxmlformats.org/officeDocument/2006/relationships/hyperlink" Target="https://www.city.kasama.lg.jp/data/doc/1774510801_doc_207_0.pdf" TargetMode="External" Id="rId20" /><Relationship Type="http://schemas.openxmlformats.org/officeDocument/2006/relationships/hyperlink" Target="https://www.city.toride.ibaraki.jp/seisaku/shise/machizukuri/sogo/plan2024/kanrenkeikaku.html" TargetMode="External" Id="rId21" /><Relationship Type="http://schemas.openxmlformats.org/officeDocument/2006/relationships/hyperlink" Target="https://www.city.toride.ibaraki.jp/seisaku/shise/machizukuri/sogo/plan2024/documents/33dai2jikannkyoukihonkeikaku.pdf" TargetMode="External" Id="rId22" /><Relationship Type="http://schemas.openxmlformats.org/officeDocument/2006/relationships/hyperlink" Target="https://www.city.ushiku.lg.jp/kurashi-tetsuduki/seikatsu/kokyokotsu/page014651.html" TargetMode="External" Id="rId23" /><Relationship Type="http://schemas.openxmlformats.org/officeDocument/2006/relationships/hyperlink" Target="https://www.city.ushiku.lg.jp/page/page002088.html" TargetMode="External" Id="rId24" /><Relationship Type="http://schemas.openxmlformats.org/officeDocument/2006/relationships/hyperlink" Target="https://www.city.tsukuba.lg.jp/material/files/group/137/3honpen.pdf" TargetMode="External" Id="rId25" /><Relationship Type="http://schemas.openxmlformats.org/officeDocument/2006/relationships/hyperlink" Target="https://www.city.hitachinaka.lg.jp/_res/projects/default_project/_page_/001/016/190/hitachinakashi_chiikikoukyoukoutuukeikakuan.pdf" TargetMode="External" Id="rId26" /><Relationship Type="http://schemas.openxmlformats.org/officeDocument/2006/relationships/hyperlink" Target="https://www.city.hitachinaka.lg.jp/_res/projects/default_project/_page_/001/017/041/kaiteigaiyoubann.pdf" TargetMode="External" Id="rId27" /><Relationship Type="http://schemas.openxmlformats.org/officeDocument/2006/relationships/hyperlink" Target="https://www.city.kashima.ibaraki.jp/uploaded/attachment/60268.pdf" TargetMode="External" Id="rId28" /><Relationship Type="http://schemas.openxmlformats.org/officeDocument/2006/relationships/hyperlink" Target="https://www.city.kashima.ibaraki.jp/uploaded/life/87842_130084_misc.pdf" TargetMode="External" Id="rId29" /><Relationship Type="http://schemas.openxmlformats.org/officeDocument/2006/relationships/hyperlink" Target="https://www.city.moriya.ibaraki.jp/kurashi_tetsuzuki/kankyo_gomi/1001993/1002006.html" TargetMode="External" Id="rId30" /><Relationship Type="http://schemas.openxmlformats.org/officeDocument/2006/relationships/hyperlink" Target="https://www.city.hitachiomiya.lg.jp/data/doc/1685520960_doc_100_0.pdf" TargetMode="External" Id="rId31" /><Relationship Type="http://schemas.openxmlformats.org/officeDocument/2006/relationships/hyperlink" Target="https://www.city.hitachiomiya.lg.jp/data/doc/1673312876_doc_1_0.pdf" TargetMode="External" Id="rId32" /><Relationship Type="http://schemas.openxmlformats.org/officeDocument/2006/relationships/hyperlink" Target="https://www.city.naka.lg.jp/gyousei/keikaku/page009444.html" TargetMode="External" Id="rId33" /><Relationship Type="http://schemas.openxmlformats.org/officeDocument/2006/relationships/hyperlink" Target="https://www.city.chikusei.lg.jp/machidukuri/traffic/page009177.html" TargetMode="External" Id="rId34" /><Relationship Type="http://schemas.openxmlformats.org/officeDocument/2006/relationships/hyperlink" Target="https://www.city.bando.lg.jp/page/page006076.html" TargetMode="External" Id="rId35" /><Relationship Type="http://schemas.openxmlformats.org/officeDocument/2006/relationships/hyperlink" Target="https://www.city.bando.lg.jp/page/page010074.html" TargetMode="External" Id="rId36" /><Relationship Type="http://schemas.openxmlformats.org/officeDocument/2006/relationships/hyperlink" Target="https://www.city.inashiki.lg.jp/page/page004756.html" TargetMode="External" Id="rId37" /><Relationship Type="http://schemas.openxmlformats.org/officeDocument/2006/relationships/hyperlink" Target="https://www.city.inashiki.lg.jp/page/page007577.html" TargetMode="External" Id="rId38" /><Relationship Type="http://schemas.openxmlformats.org/officeDocument/2006/relationships/hyperlink" Target="https://www.city.kasumigaura.lg.jp/data/doc/1605678793_doc_10_1.pdf" TargetMode="External" Id="rId39" /><Relationship Type="http://schemas.openxmlformats.org/officeDocument/2006/relationships/hyperlink" Target="https://www.city.kasumigaura.lg.jp/data/doc/1736999768_doc_11_0.pdf" TargetMode="External" Id="rId40" /><Relationship Type="http://schemas.openxmlformats.org/officeDocument/2006/relationships/hyperlink" Target="https://www.city.sakuragawa.lg.jp/sys/public/data/doc/1641257134_0.pdf" TargetMode="External" Id="rId41" /><Relationship Type="http://schemas.openxmlformats.org/officeDocument/2006/relationships/hyperlink" Target="https://www.city.sakuragawa.lg.jp/sys/public/data/doc/1578273137_0.pdf" TargetMode="External" Id="rId42" /><Relationship Type="http://schemas.openxmlformats.org/officeDocument/2006/relationships/hyperlink" Target="https://www.city.kamisu.ibaraki.jp/_res/projects/default_project/_page_/001/003/540/kokeikaku2.pdf" TargetMode="External" Id="rId43" /><Relationship Type="http://schemas.openxmlformats.org/officeDocument/2006/relationships/hyperlink" Target="https://www.city.kamisu.ibaraki.jp/_res/projects/default_project/_page_/001/004/216/kamisushikankyoukihonkeikaku.pdf" TargetMode="External" Id="rId44" /><Relationship Type="http://schemas.openxmlformats.org/officeDocument/2006/relationships/hyperlink" Target="https://www.city.namegata.ibaraki.jp/page/page010706.html" TargetMode="External" Id="rId45" /><Relationship Type="http://schemas.openxmlformats.org/officeDocument/2006/relationships/hyperlink" Target="https://www.city.hokota.lg.jp/data/doc/1654669803_doc_37_0.pdf" TargetMode="External" Id="rId46" /><Relationship Type="http://schemas.openxmlformats.org/officeDocument/2006/relationships/hyperlink" Target="https://www.city.tsukubamirai.lg.jp/jyumin/gomi-kankyou-doubutsu/kankyouhozen/page000080.html" TargetMode="External" Id="rId47" /><Relationship Type="http://schemas.openxmlformats.org/officeDocument/2006/relationships/hyperlink" Target="https://www.city.omitama.lg.jp/manage/contents/upload/602de700e73ca.pdf" TargetMode="External" Id="rId48" /><Relationship Type="http://schemas.openxmlformats.org/officeDocument/2006/relationships/hyperlink" Target="https://www.town.ibaraki.lg.jp/gyousei/kurashitetuduki/gomirisaikle/keikaku/index.html" TargetMode="External" Id="rId49" /><Relationship Type="http://schemas.openxmlformats.org/officeDocument/2006/relationships/hyperlink" Target="https://www.town.oarai.lg.jp/wp/wp-content/uploads/2023/07/%E5%A4%A7%E6%B4%97%E7%94%BA%E5%9C%B0%E5%9F%9F%E5%85%AC%E5%85%B1%E4%BA%A4%E9%80%9A%E8%A8%88%E7%94%BB.pdf" TargetMode="External" Id="rId50" /><Relationship Type="http://schemas.openxmlformats.org/officeDocument/2006/relationships/hyperlink" Target="https://www.town.oarai.lg.jp/wp/wp-content/uploads/2021/03/%E7%AC%AC2%E6%AC%A1%E5%A4%A7%E6%B4%97%E7%94%BA%E7%92%B0%E5%A2%83%E5%9F%BA%E6%9C%AC%E8%A8%88%E7%94%BB%EF%BC%88PDF%EF%BC%89.pdf" TargetMode="External" Id="rId51" /><Relationship Type="http://schemas.openxmlformats.org/officeDocument/2006/relationships/hyperlink" Target="https://www.town.shirosato.lg.jp/page/page006784.html" TargetMode="External" Id="rId52" /><Relationship Type="http://schemas.openxmlformats.org/officeDocument/2006/relationships/hyperlink" Target="https://www.town.shirosato.lg.jp/data/doc/1630301878_doc_711_0.pdf" TargetMode="External" Id="rId53" /><Relationship Type="http://schemas.openxmlformats.org/officeDocument/2006/relationships/hyperlink" Target="https://www.vill.tokai.ibaraki.jp/soshikikarasagasu/sangyobu/sangyoseisakuka/1/1_2/2/5673.html" TargetMode="External" Id="rId54" /><Relationship Type="http://schemas.openxmlformats.org/officeDocument/2006/relationships/hyperlink" Target="https://www.vill.tokai.ibaraki.jp/soshikikarasagasu/somminseikatsubu/kankyoseisakuka/1/1/4/11386.html" TargetMode="External" Id="rId55" /><Relationship Type="http://schemas.openxmlformats.org/officeDocument/2006/relationships/hyperlink" Target="https://www.town.ami.lg.jp/cmsfiles/contents/0000009/9640/keikaku.pdf" TargetMode="External" Id="rId56" /><Relationship Type="http://schemas.openxmlformats.org/officeDocument/2006/relationships/hyperlink" Target="https://www.town.ami.lg.jp/cmsfiles/contents/0000012/12659/1syou.pdf" TargetMode="External" Id="rId57" /><Relationship Type="http://schemas.openxmlformats.org/officeDocument/2006/relationships/hyperlink" Target="https://www.town.goka.lg.jp/data/doc/1690350530_doc_20_0.pdf" TargetMode="External" Id="rId58" /><Relationship Type="http://schemas.openxmlformats.org/officeDocument/2006/relationships/hyperlink" Target="https://www.town.goka.lg.jp/data/doc/1684388643_doc_20_0.pdf" TargetMode="External" Id="rId59"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2" t="inlineStr">
        <is>
          <t>合計</t>
        </is>
      </c>
      <c r="C17" s="2">
        <f>SUM(C9:C16)</f>
        <v/>
      </c>
      <c r="D17" s="2">
        <f>SUM(D9:D16)</f>
        <v/>
      </c>
      <c r="E17" s="2">
        <f>SUM(E9:E16)</f>
        <v/>
      </c>
      <c r="F17" s="2">
        <f>SUM(F9:F16)</f>
        <v/>
      </c>
      <c r="G17" s="2">
        <f>SUM(G9:G16)</f>
        <v/>
      </c>
      <c r="H17" s="2">
        <f>SUM(H9:H16)</f>
        <v/>
      </c>
      <c r="I17" s="2">
        <f>SUM(I9:I16)</f>
        <v/>
      </c>
    </row>
    <row r="19">
      <c r="A19" s="7" t="inlineStr">
        <is>
          <t>■ 判定の見方</t>
        </is>
      </c>
    </row>
    <row r="20">
      <c r="A20" s="8" t="inlineStr">
        <is>
          <t>◎ 営業：どちらかの計画の終期が対象年度（初期値R9）で、次の計画の作業は見つかっていない</t>
        </is>
      </c>
    </row>
    <row r="21">
      <c r="A21" s="8" t="inlineStr">
        <is>
          <t>△ 着手済・要確認：終期は対象年度だが、次期計画の策定業務委託やパブコメをすでに確認済。委託先が決まっている可能性が高い</t>
        </is>
      </c>
    </row>
    <row r="22">
      <c r="A22" s="8" t="inlineStr">
        <is>
          <t>？ 期間要確認：終期がわからないため判定できない</t>
        </is>
      </c>
    </row>
    <row r="23">
      <c r="A23" s="8" t="inlineStr">
        <is>
          <t>✕ 対象外：終期が対象年度の外（R8以前は作成中または終了、R10以降は先）、または新計画を策定済</t>
        </is>
      </c>
    </row>
    <row r="24">
      <c r="A24" s="8" t="inlineStr">
        <is>
          <t>－：その計画がない（環境基本計画を作っていない町村など）</t>
        </is>
      </c>
    </row>
    <row r="25">
      <c r="A25" s="8" t="inlineStr"/>
    </row>
    <row r="26">
      <c r="A26" s="7" t="inlineStr">
        <is>
          <t>■ 入力する列</t>
        </is>
      </c>
    </row>
    <row r="27">
      <c r="A27" s="8" t="inlineStr">
        <is>
          <t>各県シートの「終期(令和年度)」と「改定状況」（未確認／着手済／策定済／計画なし）を直すと、判定が自動で変わります。</t>
        </is>
      </c>
    </row>
    <row r="28">
      <c r="A28" s="8" t="inlineStr">
        <is>
          <t>「未確認」は、改定の動きが検索で見つからなかったという意味です。動きがないと確かめたわけではありません。</t>
        </is>
      </c>
    </row>
    <row r="29">
      <c r="A29" s="8" t="inlineStr">
        <is>
          <t>確度：確認済＝検索結果の本文に期間が書かれていた／推定＝策定時期などから推測（終期のセルは茶色の斜体）／不明＝確認できなかった</t>
        </is>
      </c>
    </row>
    <row r="30">
      <c r="A30" s="8" t="inlineStr"/>
    </row>
    <row r="31">
      <c r="A31" s="7" t="inlineStr">
        <is>
          <t>■ 国交省一覧との照合（T列）</t>
        </is>
      </c>
    </row>
    <row r="32">
      <c r="A32" s="8" t="inlineStr">
        <is>
          <t>国土交通省「地域公共交通計画の作成状況一覧」（令和8年5月末時点）と照合。掲載＝計画作成済み、期間満了＝一覧で灰色（計画期間が満了）。一覧には計画期間の記載がないため、終期は各計画書で確認。</t>
        </is>
      </c>
    </row>
    <row r="33">
      <c r="A33" s="8" t="inlineStr">
        <is>
          <t>【当方未把握】＝一覧には計画があるが本調査で計画書を特定できていない／【当方は計画あり】＝本調査では計画を把握したが一覧に未掲載（旧法計画・最近の策定・名称違いの可能性）。</t>
        </is>
      </c>
    </row>
    <row r="34">
      <c r="A34" s="8" t="inlineStr"/>
    </row>
    <row r="35">
      <c r="A35" s="7" t="inlineStr">
        <is>
          <t>■ 調査の方法と限界</t>
        </is>
      </c>
    </row>
    <row r="36">
      <c r="A36"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7">
      <c r="A37" s="8" t="inlineStr">
        <is>
          <t>2026年9月30日時点でWeb検索して調べました。自治体サイトやPDFを直接開けない環境だったため、期間は検索結果の本文・要約から取っています。</t>
        </is>
      </c>
    </row>
    <row r="38">
      <c r="A38" s="8" t="inlineStr">
        <is>
          <t>計画リンクはエビデンスとして検索結果に出たURLを載せています。営業に行く前に、リンク先の計画書で計画期間を確かめてください。特に「推定」「不明」の行は必ず確認してください。</t>
        </is>
      </c>
    </row>
  </sheetData>
  <dataValidations count="1">
    <dataValidation sqref="C4 C5" showDropDown="0" showInputMessage="0" showErrorMessage="0" allowBlank="0" type="list">
      <formula1>"7,8,9,10,11,12,13,14,15"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青森県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青森市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c r="T4" s="11" t="inlineStr">
        <is>
          <t>掲載</t>
        </is>
      </c>
    </row>
    <row r="5">
      <c r="A5" s="11" t="n">
        <v>2</v>
      </c>
      <c r="B5" s="11" t="inlineStr">
        <is>
          <t>弘前市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c r="T5" s="11" t="inlineStr">
        <is>
          <t>掲載</t>
        </is>
      </c>
    </row>
    <row r="6">
      <c r="A6" s="11" t="n">
        <v>3</v>
      </c>
      <c r="B6" s="11" t="inlineStr">
        <is>
          <t>八戸市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c r="T6" s="17" t="inlineStr">
        <is>
          <t>掲載（広域：八戸圏域）／期間満了</t>
        </is>
      </c>
    </row>
    <row r="7">
      <c r="A7" s="11" t="n">
        <v>4</v>
      </c>
      <c r="B7" s="11" t="inlineStr">
        <is>
          <t>黒石市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c r="T7" s="11" t="inlineStr">
        <is>
          <t>掲載</t>
        </is>
      </c>
    </row>
    <row r="8">
      <c r="A8" s="11" t="n">
        <v>5</v>
      </c>
      <c r="B8" s="11" t="inlineStr">
        <is>
          <t>五所川原市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五所川原市地域公共交通計画</t>
        </is>
      </c>
      <c r="G8" s="11" t="inlineStr">
        <is>
          <t>R5〜R10</t>
        </is>
      </c>
      <c r="H8" s="13" t="n">
        <v>10</v>
      </c>
      <c r="I8" s="13" t="inlineStr">
        <is>
          <t>確認済</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t>
        </is>
      </c>
      <c r="S8" s="18" t="inlineStr">
        <is>
          <t>交通のみ調査</t>
        </is>
      </c>
      <c r="T8" s="11" t="inlineStr">
        <is>
          <t>掲載</t>
        </is>
      </c>
    </row>
    <row r="9">
      <c r="A9" s="11" t="n">
        <v>6</v>
      </c>
      <c r="B9" s="11" t="inlineStr">
        <is>
          <t>十和田市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t>
        </is>
      </c>
      <c r="S9" s="18" t="inlineStr">
        <is>
          <t>交通のみ調査</t>
        </is>
      </c>
      <c r="T9" s="11" t="inlineStr">
        <is>
          <t>掲載</t>
        </is>
      </c>
    </row>
    <row r="10">
      <c r="A10" s="11" t="n">
        <v>7</v>
      </c>
      <c r="B10" s="11" t="inlineStr">
        <is>
          <t>三沢市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c r="T10" s="11" t="inlineStr">
        <is>
          <t>掲載</t>
        </is>
      </c>
    </row>
    <row r="11">
      <c r="A11" s="11" t="n">
        <v>8</v>
      </c>
      <c r="B11" s="11" t="inlineStr">
        <is>
          <t>むつ市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8" t="inlineStr">
        <is>
          <t>交通のみ調査</t>
        </is>
      </c>
      <c r="T11" s="11" t="inlineStr">
        <is>
          <t>掲載（広域：下北地域）</t>
        </is>
      </c>
    </row>
    <row r="12">
      <c r="A12" s="11" t="n">
        <v>9</v>
      </c>
      <c r="B12" s="11" t="inlineStr">
        <is>
          <t>つがる市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8" t="inlineStr">
        <is>
          <t>環境のみ調査</t>
        </is>
      </c>
      <c r="T12" s="11" t="inlineStr">
        <is>
          <t>未掲載</t>
        </is>
      </c>
    </row>
    <row r="13">
      <c r="A13" s="11" t="n">
        <v>10</v>
      </c>
      <c r="B13" s="11" t="inlineStr">
        <is>
          <t>平川市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c r="T13" s="11" t="inlineStr">
        <is>
          <t>掲載</t>
        </is>
      </c>
    </row>
    <row r="14">
      <c r="A14" s="11" t="n">
        <v>11</v>
      </c>
      <c r="B14" s="11" t="inlineStr">
        <is>
          <t>平内町</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8" t="inlineStr">
        <is>
          <t>交通のみ調査</t>
        </is>
      </c>
      <c r="T14" s="11" t="inlineStr">
        <is>
          <t>掲載</t>
        </is>
      </c>
    </row>
    <row r="15">
      <c r="A15" s="11" t="n">
        <v>12</v>
      </c>
      <c r="B15" s="11" t="inlineStr">
        <is>
          <t>今別町</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今別町地域公共交通計画</t>
        </is>
      </c>
      <c r="G15" s="11" t="inlineStr">
        <is>
          <t>R5〜R9</t>
        </is>
      </c>
      <c r="H15" s="13" t="n">
        <v>9</v>
      </c>
      <c r="I15" s="13" t="inlineStr">
        <is>
          <t>確認済</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t>
        </is>
      </c>
      <c r="S15" s="18" t="inlineStr">
        <is>
          <t>交通のみ調査</t>
        </is>
      </c>
      <c r="T15" s="11" t="inlineStr">
        <is>
          <t>掲載</t>
        </is>
      </c>
    </row>
    <row r="16">
      <c r="A16" s="11" t="n">
        <v>13</v>
      </c>
      <c r="B16" s="11" t="inlineStr">
        <is>
          <t>蓬田村</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8" t="inlineStr">
        <is>
          <t>未調査</t>
        </is>
      </c>
      <c r="T16" s="11" t="inlineStr">
        <is>
          <t>未掲載</t>
        </is>
      </c>
    </row>
    <row r="17">
      <c r="A17" s="11" t="n">
        <v>14</v>
      </c>
      <c r="B17" s="11" t="inlineStr">
        <is>
          <t>外ヶ浜町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8" t="inlineStr">
        <is>
          <t>交通のみ調査</t>
        </is>
      </c>
      <c r="T17" s="11" t="inlineStr">
        <is>
          <t>掲載</t>
        </is>
      </c>
    </row>
    <row r="18">
      <c r="A18" s="11" t="n">
        <v>15</v>
      </c>
      <c r="B18" s="11" t="inlineStr">
        <is>
          <t>鰺ヶ沢町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8" t="inlineStr">
        <is>
          <t>交通のみ調査</t>
        </is>
      </c>
      <c r="T18" s="11" t="inlineStr">
        <is>
          <t>掲載</t>
        </is>
      </c>
    </row>
    <row r="19">
      <c r="A19" s="11" t="n">
        <v>16</v>
      </c>
      <c r="B19" s="11" t="inlineStr">
        <is>
          <t>深浦町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8" t="inlineStr">
        <is>
          <t>交通のみ調査</t>
        </is>
      </c>
      <c r="T19" s="11" t="inlineStr">
        <is>
          <t>掲載</t>
        </is>
      </c>
    </row>
    <row r="20">
      <c r="A20" s="11" t="n">
        <v>17</v>
      </c>
      <c r="B20" s="11" t="inlineStr">
        <is>
          <t>西目屋村</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8" t="inlineStr">
        <is>
          <t>未調査</t>
        </is>
      </c>
      <c r="T20" s="11" t="inlineStr">
        <is>
          <t>未掲載</t>
        </is>
      </c>
    </row>
    <row r="21">
      <c r="A21" s="11" t="n">
        <v>18</v>
      </c>
      <c r="B21" s="11" t="inlineStr">
        <is>
          <t>藤崎町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8" t="inlineStr">
        <is>
          <t>未調査</t>
        </is>
      </c>
      <c r="T21" s="11" t="inlineStr">
        <is>
          <t>未掲載</t>
        </is>
      </c>
    </row>
    <row r="22">
      <c r="A22" s="11" t="n">
        <v>19</v>
      </c>
      <c r="B22" s="11" t="inlineStr">
        <is>
          <t>大鰐町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t>
        </is>
      </c>
      <c r="S22" s="18" t="inlineStr">
        <is>
          <t>交通のみ調査</t>
        </is>
      </c>
      <c r="T22" s="11" t="inlineStr">
        <is>
          <t>掲載</t>
        </is>
      </c>
    </row>
    <row r="23">
      <c r="A23" s="11" t="n">
        <v>20</v>
      </c>
      <c r="B23" s="11" t="inlineStr">
        <is>
          <t>田舎館村</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8" t="inlineStr">
        <is>
          <t>未調査</t>
        </is>
      </c>
      <c r="T23" s="11" t="inlineStr">
        <is>
          <t>未掲載</t>
        </is>
      </c>
    </row>
    <row r="24">
      <c r="A24" s="11" t="n">
        <v>21</v>
      </c>
      <c r="B24" s="11" t="inlineStr">
        <is>
          <t>板柳町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8" t="inlineStr">
        <is>
          <t>未調査</t>
        </is>
      </c>
      <c r="T24" s="11" t="inlineStr">
        <is>
          <t>未掲載</t>
        </is>
      </c>
    </row>
    <row r="25">
      <c r="A25" s="11" t="n">
        <v>22</v>
      </c>
      <c r="B25" s="11" t="inlineStr">
        <is>
          <t>鶴田町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8" t="inlineStr">
        <is>
          <t>未調査</t>
        </is>
      </c>
      <c r="T25" s="11" t="inlineStr">
        <is>
          <t>未掲載</t>
        </is>
      </c>
    </row>
    <row r="26">
      <c r="A26" s="11" t="n">
        <v>23</v>
      </c>
      <c r="B26" s="11" t="inlineStr">
        <is>
          <t>中泊町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中泊町地域公共交通計画</t>
        </is>
      </c>
      <c r="G26" s="11" t="inlineStr">
        <is>
          <t>R5〜R9</t>
        </is>
      </c>
      <c r="H26" s="13" t="n">
        <v>9</v>
      </c>
      <c r="I26" s="13" t="inlineStr">
        <is>
          <t>確認済</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t>
        </is>
      </c>
      <c r="S26" s="18" t="inlineStr">
        <is>
          <t>交通のみ調査</t>
        </is>
      </c>
      <c r="T26" s="11" t="inlineStr">
        <is>
          <t>掲載</t>
        </is>
      </c>
    </row>
    <row r="27">
      <c r="A27" s="11" t="n">
        <v>24</v>
      </c>
      <c r="B27" s="11" t="inlineStr">
        <is>
          <t>野辺地町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8" t="inlineStr">
        <is>
          <t>未調査</t>
        </is>
      </c>
      <c r="T27" s="11" t="inlineStr">
        <is>
          <t>未掲載</t>
        </is>
      </c>
    </row>
    <row r="28">
      <c r="A28" s="11" t="n">
        <v>25</v>
      </c>
      <c r="B28" s="11" t="inlineStr">
        <is>
          <t>七戸町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8" t="inlineStr">
        <is>
          <t>交通のみ調査</t>
        </is>
      </c>
      <c r="T28" s="17" t="inlineStr">
        <is>
          <t>掲載／期間満了</t>
        </is>
      </c>
    </row>
    <row r="29">
      <c r="A29" s="11" t="n">
        <v>26</v>
      </c>
      <c r="B29" s="11" t="inlineStr">
        <is>
          <t>六戸町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8" t="inlineStr">
        <is>
          <t>未調査</t>
        </is>
      </c>
      <c r="T29" s="11" t="inlineStr">
        <is>
          <t>未掲載</t>
        </is>
      </c>
    </row>
    <row r="30">
      <c r="A30" s="11" t="n">
        <v>27</v>
      </c>
      <c r="B30" s="11" t="inlineStr">
        <is>
          <t>横浜町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8" t="inlineStr">
        <is>
          <t>未調査</t>
        </is>
      </c>
      <c r="T30" s="11" t="inlineStr">
        <is>
          <t>未掲載</t>
        </is>
      </c>
    </row>
    <row r="31">
      <c r="A31" s="11" t="n">
        <v>28</v>
      </c>
      <c r="B31" s="11" t="inlineStr">
        <is>
          <t>東北町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8" t="inlineStr">
        <is>
          <t>未調査</t>
        </is>
      </c>
      <c r="T31" s="11" t="inlineStr">
        <is>
          <t>未掲載</t>
        </is>
      </c>
    </row>
    <row r="32">
      <c r="A32" s="11" t="n">
        <v>29</v>
      </c>
      <c r="B32" s="11" t="inlineStr">
        <is>
          <t>六ヶ所村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8" t="inlineStr">
        <is>
          <t>交通のみ調査</t>
        </is>
      </c>
      <c r="T32" s="11" t="inlineStr">
        <is>
          <t>掲載</t>
        </is>
      </c>
    </row>
    <row r="33">
      <c r="A33" s="11" t="n">
        <v>30</v>
      </c>
      <c r="B33" s="11" t="inlineStr">
        <is>
          <t>おいらせ町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8" t="inlineStr">
        <is>
          <t>交通のみ調査</t>
        </is>
      </c>
      <c r="T33" s="11" t="inlineStr">
        <is>
          <t>掲載（広域：八戸圏域）</t>
        </is>
      </c>
    </row>
    <row r="34">
      <c r="A34" s="11" t="n">
        <v>31</v>
      </c>
      <c r="B34" s="11" t="inlineStr">
        <is>
          <t>大間町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8" t="inlineStr">
        <is>
          <t>交通のみ調査</t>
        </is>
      </c>
      <c r="T34" s="11" t="inlineStr">
        <is>
          <t>掲載（広域：下北地域）</t>
        </is>
      </c>
    </row>
    <row r="35">
      <c r="A35" s="11" t="n">
        <v>32</v>
      </c>
      <c r="B35" s="11" t="inlineStr">
        <is>
          <t>東通村</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8" t="inlineStr">
        <is>
          <t>交通のみ調査</t>
        </is>
      </c>
      <c r="T35" s="11" t="inlineStr">
        <is>
          <t>掲載（広域：下北地域）</t>
        </is>
      </c>
    </row>
    <row r="36">
      <c r="A36" s="11" t="n">
        <v>33</v>
      </c>
      <c r="B36" s="11" t="inlineStr">
        <is>
          <t>風間浦村</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8" t="inlineStr">
        <is>
          <t>交通のみ調査</t>
        </is>
      </c>
      <c r="T36" s="11" t="inlineStr">
        <is>
          <t>掲載（広域：下北地域）</t>
        </is>
      </c>
    </row>
    <row r="37">
      <c r="A37" s="11" t="n">
        <v>34</v>
      </c>
      <c r="B37" s="11" t="inlineStr">
        <is>
          <t>佐井村</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8" t="inlineStr">
        <is>
          <t>交通のみ調査</t>
        </is>
      </c>
      <c r="T37" s="11" t="inlineStr">
        <is>
          <t>掲載（広域：下北地域）</t>
        </is>
      </c>
    </row>
    <row r="38">
      <c r="A38" s="11" t="n">
        <v>35</v>
      </c>
      <c r="B38" s="11" t="inlineStr">
        <is>
          <t>三戸町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8" t="inlineStr">
        <is>
          <t>交通のみ調査</t>
        </is>
      </c>
      <c r="T38" s="11" t="inlineStr">
        <is>
          <t>掲載（広域：八戸圏域）</t>
        </is>
      </c>
    </row>
    <row r="39">
      <c r="A39" s="11" t="n">
        <v>36</v>
      </c>
      <c r="B39" s="11" t="inlineStr">
        <is>
          <t>五戸町</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8" t="inlineStr">
        <is>
          <t>交通のみ調査</t>
        </is>
      </c>
      <c r="T39" s="11" t="inlineStr">
        <is>
          <t>掲載（広域：八戸圏域）</t>
        </is>
      </c>
    </row>
    <row r="40">
      <c r="A40" s="11" t="n">
        <v>37</v>
      </c>
      <c r="B40" s="11" t="inlineStr">
        <is>
          <t>田子町</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8" t="inlineStr">
        <is>
          <t>交通のみ調査</t>
        </is>
      </c>
      <c r="T40" s="11" t="inlineStr">
        <is>
          <t>掲載（広域：八戸圏域）</t>
        </is>
      </c>
    </row>
    <row r="41">
      <c r="A41" s="11" t="n">
        <v>38</v>
      </c>
      <c r="B41" s="11" t="inlineStr">
        <is>
          <t>南部町</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8" t="inlineStr">
        <is>
          <t>交通のみ調査</t>
        </is>
      </c>
      <c r="T41" s="11" t="inlineStr">
        <is>
          <t>掲載（広域：八戸圏域）</t>
        </is>
      </c>
    </row>
    <row r="42">
      <c r="A42" s="11" t="n">
        <v>39</v>
      </c>
      <c r="B42" s="11" t="inlineStr">
        <is>
          <t>階上町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8" t="inlineStr">
        <is>
          <t>交通のみ調査</t>
        </is>
      </c>
      <c r="T42" s="11" t="inlineStr">
        <is>
          <t>掲載（広域：八戸圏域）</t>
        </is>
      </c>
    </row>
    <row r="43">
      <c r="A43" s="11" t="n">
        <v>40</v>
      </c>
      <c r="B43" s="11" t="inlineStr">
        <is>
          <t>新郷村</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8" t="inlineStr">
        <is>
          <t>交通のみ調査</t>
        </is>
      </c>
      <c r="T43" s="11"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岩手県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盛岡市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c r="T4" s="11" t="inlineStr">
        <is>
          <t>掲載（広域：盛岡市・滝沢市・矢巾町）</t>
        </is>
      </c>
    </row>
    <row r="5">
      <c r="A5" s="11" t="n">
        <v>2</v>
      </c>
      <c r="B5" s="11" t="inlineStr">
        <is>
          <t>宮古市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c r="T5" s="11" t="inlineStr">
        <is>
          <t>掲載（広域：三陸鉄道沿線地域等）</t>
        </is>
      </c>
    </row>
    <row r="6">
      <c r="A6" s="11" t="n">
        <v>3</v>
      </c>
      <c r="B6" s="11" t="inlineStr">
        <is>
          <t>大船渡市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c r="T6" s="11" t="inlineStr">
        <is>
          <t>掲載（広域：三陸鉄道沿線地域等）</t>
        </is>
      </c>
    </row>
    <row r="7">
      <c r="A7" s="11" t="n">
        <v>4</v>
      </c>
      <c r="B7" s="11" t="inlineStr">
        <is>
          <t>花巻市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c r="T7" s="11" t="inlineStr">
        <is>
          <t>掲載</t>
        </is>
      </c>
    </row>
    <row r="8">
      <c r="A8" s="11" t="n">
        <v>5</v>
      </c>
      <c r="B8" s="11" t="inlineStr">
        <is>
          <t>北上市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c r="T8" s="11" t="inlineStr">
        <is>
          <t>掲載</t>
        </is>
      </c>
    </row>
    <row r="9">
      <c r="A9" s="11" t="n">
        <v>6</v>
      </c>
      <c r="B9" s="11" t="inlineStr">
        <is>
          <t>久慈市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久慈市地域公共交通計画（R6.3策定）</t>
        </is>
      </c>
      <c r="G9" s="11" t="inlineStr">
        <is>
          <t>H30〜R9</t>
        </is>
      </c>
      <c r="H9" s="16" t="n">
        <v>9</v>
      </c>
      <c r="I9" s="13" t="inlineStr">
        <is>
          <t>推定</t>
        </is>
      </c>
      <c r="J9" s="13" t="inlineStr">
        <is>
          <t>未確認</t>
        </is>
      </c>
      <c r="K9" s="14" t="inlineStr">
        <is>
          <t>https://www.city.kuji.lg.jp/material/files/group/19/keikaku.pdf</t>
        </is>
      </c>
      <c r="L9" s="11" t="inlineStr">
        <is>
          <t>第2次久慈市環境基本計画</t>
        </is>
      </c>
      <c r="M9" s="11" t="inlineStr">
        <is>
          <t>10年計画（R3頃〜、終期未確認）</t>
        </is>
      </c>
      <c r="N9" s="13" t="n"/>
      <c r="O9" s="13" t="inlineStr">
        <is>
          <t>不明</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t>
        </is>
      </c>
      <c r="S9" s="15" t="inlineStr">
        <is>
          <t>調査済</t>
        </is>
      </c>
      <c r="T9" s="11" t="inlineStr">
        <is>
          <t>掲載（広域：三陸鉄道沿線地域等）</t>
        </is>
      </c>
    </row>
    <row r="10">
      <c r="A10" s="11" t="n">
        <v>7</v>
      </c>
      <c r="B10" s="11" t="inlineStr">
        <is>
          <t>遠野市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不明</t>
        </is>
      </c>
      <c r="N10" s="13" t="n"/>
      <c r="O10" s="13" t="inlineStr">
        <is>
          <t>不明</t>
        </is>
      </c>
      <c r="P10" s="13" t="inlineStr">
        <is>
          <t>未確認</t>
        </is>
      </c>
      <c r="Q10" s="14" t="inlineStr">
        <is>
          <t>https://www.city.tono.iwate.jp/index.cfm/45,34797,247,html</t>
        </is>
      </c>
      <c r="R10" s="11" t="inlineStr">
        <is>
          <t>交通：R7〜R12（R7年度開始の新計画）。環境：第5次計画を公開、期間は検索結果で未確認。</t>
        </is>
      </c>
      <c r="S10" s="15" t="inlineStr">
        <is>
          <t>調査済</t>
        </is>
      </c>
      <c r="T10" s="11" t="inlineStr">
        <is>
          <t>掲載</t>
        </is>
      </c>
    </row>
    <row r="11">
      <c r="A11" s="11" t="n">
        <v>8</v>
      </c>
      <c r="B11" s="11" t="inlineStr">
        <is>
          <t>一関市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c r="T11" s="11" t="inlineStr">
        <is>
          <t>掲載</t>
        </is>
      </c>
    </row>
    <row r="12">
      <c r="A12" s="11" t="n">
        <v>9</v>
      </c>
      <c r="B12" s="11" t="inlineStr">
        <is>
          <t>陸前高田市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c r="T12" s="11" t="inlineStr">
        <is>
          <t>掲載（広域：三陸鉄道沿線地域等）</t>
        </is>
      </c>
    </row>
    <row r="13">
      <c r="A13" s="11" t="n">
        <v>10</v>
      </c>
      <c r="B13" s="11" t="inlineStr">
        <is>
          <t>釜石市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c r="T13" s="11" t="inlineStr">
        <is>
          <t>掲載（広域：三陸鉄道沿線地域等）</t>
        </is>
      </c>
    </row>
    <row r="14">
      <c r="A14" s="11" t="n">
        <v>11</v>
      </c>
      <c r="B14" s="11" t="inlineStr">
        <is>
          <t>二戸市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c r="T14" s="11" t="inlineStr">
        <is>
          <t>掲載</t>
        </is>
      </c>
    </row>
    <row r="15">
      <c r="A15" s="11" t="n">
        <v>12</v>
      </c>
      <c r="B15" s="11" t="inlineStr">
        <is>
          <t>八幡平市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c r="T15" s="11" t="inlineStr">
        <is>
          <t>掲載</t>
        </is>
      </c>
    </row>
    <row r="16">
      <c r="A16" s="11" t="n">
        <v>13</v>
      </c>
      <c r="B16" s="11" t="inlineStr">
        <is>
          <t>奥州市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c r="T16" s="11" t="inlineStr">
        <is>
          <t>掲載</t>
        </is>
      </c>
    </row>
    <row r="17">
      <c r="A17" s="11" t="n">
        <v>14</v>
      </c>
      <c r="B17" s="11" t="inlineStr">
        <is>
          <t>滝沢市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c r="T17" s="11" t="inlineStr">
        <is>
          <t>掲載（広域：盛岡市・滝沢市・矢巾町）</t>
        </is>
      </c>
    </row>
    <row r="18">
      <c r="A18" s="11" t="n">
        <v>15</v>
      </c>
      <c r="B18" s="11" t="inlineStr">
        <is>
          <t>雫石町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R3〜（終期不明）</t>
        </is>
      </c>
      <c r="N18" s="13" t="n"/>
      <c r="O18" s="13" t="inlineStr">
        <is>
          <t>不明</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t>
        </is>
      </c>
      <c r="S18" s="15" t="inlineStr">
        <is>
          <t>調査済</t>
        </is>
      </c>
      <c r="T18" s="11" t="inlineStr">
        <is>
          <t>掲載</t>
        </is>
      </c>
    </row>
    <row r="19">
      <c r="A19" s="11" t="n">
        <v>16</v>
      </c>
      <c r="B19" s="11" t="inlineStr">
        <is>
          <t>葛巻町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8" t="inlineStr">
        <is>
          <t>環境のみ調査</t>
        </is>
      </c>
      <c r="T19" s="11" t="inlineStr">
        <is>
          <t>未掲載</t>
        </is>
      </c>
    </row>
    <row r="20">
      <c r="A20" s="11" t="n">
        <v>17</v>
      </c>
      <c r="B20" s="11" t="inlineStr">
        <is>
          <t>岩手町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c r="T20" s="11" t="inlineStr">
        <is>
          <t>掲載</t>
        </is>
      </c>
    </row>
    <row r="21">
      <c r="A21" s="11" t="n">
        <v>18</v>
      </c>
      <c r="B21" s="11" t="inlineStr">
        <is>
          <t>紫波町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紫波町環境・循環基本計画</t>
        </is>
      </c>
      <c r="M21" s="11" t="inlineStr">
        <is>
          <t>不明</t>
        </is>
      </c>
      <c r="N21" s="13" t="n"/>
      <c r="O21" s="13" t="inlineStr">
        <is>
          <t>不明</t>
        </is>
      </c>
      <c r="P21" s="13" t="inlineStr">
        <is>
          <t>未確認</t>
        </is>
      </c>
      <c r="Q21" s="11" t="n"/>
      <c r="R21" s="11" t="inlineStr">
        <is>
          <t>交通：R6.3策定、R6〜R10。環境：環境・循環基本計画（2021年関連）の存在は示唆されるが期間・URLは確認できず。</t>
        </is>
      </c>
      <c r="S21" s="15" t="inlineStr">
        <is>
          <t>調査済</t>
        </is>
      </c>
      <c r="T21" s="11" t="inlineStr">
        <is>
          <t>掲載</t>
        </is>
      </c>
    </row>
    <row r="22">
      <c r="A22" s="11" t="n">
        <v>19</v>
      </c>
      <c r="B22" s="11" t="inlineStr">
        <is>
          <t>矢巾町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c r="T22" s="11" t="inlineStr">
        <is>
          <t>掲載（広域：盛岡市・滝沢市・矢巾町）</t>
        </is>
      </c>
    </row>
    <row r="23">
      <c r="A23" s="11" t="n">
        <v>20</v>
      </c>
      <c r="B23" s="11" t="inlineStr">
        <is>
          <t>西和賀町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c r="T23" s="11" t="inlineStr">
        <is>
          <t>掲載</t>
        </is>
      </c>
    </row>
    <row r="24">
      <c r="A24" s="11" t="n">
        <v>21</v>
      </c>
      <c r="B24" s="11" t="inlineStr">
        <is>
          <t>金ケ崎町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c r="T24" s="11" t="inlineStr">
        <is>
          <t>掲載</t>
        </is>
      </c>
    </row>
    <row r="25">
      <c r="A25" s="11" t="n">
        <v>22</v>
      </c>
      <c r="B25" s="11" t="inlineStr">
        <is>
          <t>平泉町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c r="T25" s="11" t="inlineStr">
        <is>
          <t>掲載</t>
        </is>
      </c>
    </row>
    <row r="26">
      <c r="A26" s="11" t="n">
        <v>23</v>
      </c>
      <c r="B26" s="11" t="inlineStr">
        <is>
          <t>住田町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R5〜（終期不明）</t>
        </is>
      </c>
      <c r="N26" s="13" t="n"/>
      <c r="O26" s="13" t="inlineStr">
        <is>
          <t>不明</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t>
        </is>
      </c>
      <c r="S26" s="15" t="inlineStr">
        <is>
          <t>調査済</t>
        </is>
      </c>
      <c r="T26" s="11" t="inlineStr">
        <is>
          <t>掲載</t>
        </is>
      </c>
    </row>
    <row r="27">
      <c r="A27" s="11" t="n">
        <v>24</v>
      </c>
      <c r="B27" s="11" t="inlineStr">
        <is>
          <t>大槌町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c r="T27" s="11" t="inlineStr">
        <is>
          <t>掲載（広域：三陸鉄道沿線地域等）</t>
        </is>
      </c>
    </row>
    <row r="28">
      <c r="A28" s="11" t="n">
        <v>25</v>
      </c>
      <c r="B28" s="11" t="inlineStr">
        <is>
          <t>山田町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c r="T28" s="11" t="inlineStr">
        <is>
          <t>掲載（広域：三陸鉄道沿線地域等）</t>
        </is>
      </c>
    </row>
    <row r="29">
      <c r="A29" s="11" t="n">
        <v>26</v>
      </c>
      <c r="B29" s="11" t="inlineStr">
        <is>
          <t>岩泉町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c r="T29" s="11" t="inlineStr">
        <is>
          <t>掲載（広域：三陸鉄道沿線地域等）</t>
        </is>
      </c>
    </row>
    <row r="30">
      <c r="A30" s="11" t="n">
        <v>27</v>
      </c>
      <c r="B30" s="11" t="inlineStr">
        <is>
          <t>田野畑村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田野畑村環境基本計画（H16.11策定）</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t>
        </is>
      </c>
      <c r="S30" s="15" t="inlineStr">
        <is>
          <t>調査済</t>
        </is>
      </c>
      <c r="T30" s="11" t="inlineStr">
        <is>
          <t>掲載（広域：三陸鉄道沿線地域等）</t>
        </is>
      </c>
    </row>
    <row r="31">
      <c r="A31" s="11" t="n">
        <v>28</v>
      </c>
      <c r="B31" s="11" t="inlineStr">
        <is>
          <t>普代村</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t>
        </is>
      </c>
      <c r="S31" s="18" t="inlineStr">
        <is>
          <t>環境のみ調査</t>
        </is>
      </c>
      <c r="T31" s="17" t="inlineStr">
        <is>
          <t>掲載（広域：三陸鉄道沿線地域等）【当方未把握】</t>
        </is>
      </c>
    </row>
    <row r="32">
      <c r="A32" s="11" t="n">
        <v>29</v>
      </c>
      <c r="B32" s="11" t="inlineStr">
        <is>
          <t>軽米町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8" t="inlineStr">
        <is>
          <t>環境のみ調査</t>
        </is>
      </c>
      <c r="T32" s="11" t="inlineStr">
        <is>
          <t>未掲載</t>
        </is>
      </c>
    </row>
    <row r="33">
      <c r="A33" s="11" t="n">
        <v>30</v>
      </c>
      <c r="B33" s="11" t="inlineStr">
        <is>
          <t>野田村</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n"/>
      <c r="G33" s="11" t="inlineStr">
        <is>
          <t>不明</t>
        </is>
      </c>
      <c r="H33" s="13" t="n"/>
      <c r="I33" s="13" t="inlineStr">
        <is>
          <t>不明</t>
        </is>
      </c>
      <c r="J33" s="13" t="inlineStr">
        <is>
          <t>計画なし</t>
        </is>
      </c>
      <c r="K33" s="11" t="n"/>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t>
        </is>
      </c>
      <c r="S33" s="18" t="inlineStr">
        <is>
          <t>環境のみ調査</t>
        </is>
      </c>
      <c r="T33" s="17" t="inlineStr">
        <is>
          <t>掲載（広域：三陸鉄道沿線地域等）【当方未把握】</t>
        </is>
      </c>
    </row>
    <row r="34">
      <c r="A34" s="11" t="n">
        <v>31</v>
      </c>
      <c r="B34" s="11" t="inlineStr">
        <is>
          <t>九戸村</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c r="T34" s="11" t="inlineStr">
        <is>
          <t>掲載</t>
        </is>
      </c>
    </row>
    <row r="35">
      <c r="A35" s="11" t="n">
        <v>32</v>
      </c>
      <c r="B35" s="11" t="inlineStr">
        <is>
          <t>洋野町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c r="T35" s="11" t="inlineStr">
        <is>
          <t>掲載（広域：三陸鉄道沿線地域等）</t>
        </is>
      </c>
    </row>
    <row r="36">
      <c r="A36" s="11" t="n">
        <v>33</v>
      </c>
      <c r="B36" s="11" t="inlineStr">
        <is>
          <t>一戸町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8" t="inlineStr">
        <is>
          <t>環境のみ調査</t>
        </is>
      </c>
      <c r="T36" s="11"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K22" r:id="rId31"/>
    <hyperlink xmlns:r="http://schemas.openxmlformats.org/officeDocument/2006/relationships" ref="K23" r:id="rId32"/>
    <hyperlink xmlns:r="http://schemas.openxmlformats.org/officeDocument/2006/relationships" ref="K24" r:id="rId33"/>
    <hyperlink xmlns:r="http://schemas.openxmlformats.org/officeDocument/2006/relationships" ref="K25" r:id="rId34"/>
    <hyperlink xmlns:r="http://schemas.openxmlformats.org/officeDocument/2006/relationships" ref="K26" r:id="rId35"/>
    <hyperlink xmlns:r="http://schemas.openxmlformats.org/officeDocument/2006/relationships" ref="Q26" r:id="rId36"/>
    <hyperlink xmlns:r="http://schemas.openxmlformats.org/officeDocument/2006/relationships" ref="K27" r:id="rId37"/>
    <hyperlink xmlns:r="http://schemas.openxmlformats.org/officeDocument/2006/relationships" ref="K28" r:id="rId38"/>
    <hyperlink xmlns:r="http://schemas.openxmlformats.org/officeDocument/2006/relationships" ref="K29" r:id="rId39"/>
    <hyperlink xmlns:r="http://schemas.openxmlformats.org/officeDocument/2006/relationships" ref="K30" r:id="rId40"/>
    <hyperlink xmlns:r="http://schemas.openxmlformats.org/officeDocument/2006/relationships" ref="Q30" r:id="rId41"/>
    <hyperlink xmlns:r="http://schemas.openxmlformats.org/officeDocument/2006/relationships" ref="K34" r:id="rId42"/>
    <hyperlink xmlns:r="http://schemas.openxmlformats.org/officeDocument/2006/relationships" ref="K35"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宮城県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仙台市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c r="T4" s="11" t="inlineStr">
        <is>
          <t>掲載</t>
        </is>
      </c>
    </row>
    <row r="5">
      <c r="A5" s="11" t="n">
        <v>2</v>
      </c>
      <c r="B5" s="11" t="inlineStr">
        <is>
          <t>石巻市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c r="T5" s="11" t="inlineStr">
        <is>
          <t>掲載</t>
        </is>
      </c>
    </row>
    <row r="6">
      <c r="A6" s="11" t="n">
        <v>3</v>
      </c>
      <c r="B6" s="11" t="inlineStr">
        <is>
          <t>塩竈市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8" t="inlineStr">
        <is>
          <t>環境のみ調査</t>
        </is>
      </c>
      <c r="T6" s="11" t="inlineStr">
        <is>
          <t>未掲載</t>
        </is>
      </c>
    </row>
    <row r="7">
      <c r="A7" s="11" t="n">
        <v>4</v>
      </c>
      <c r="B7" s="11" t="inlineStr">
        <is>
          <t>気仙沼市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t>
        </is>
      </c>
      <c r="S7" s="18" t="inlineStr">
        <is>
          <t>交通のみ調査</t>
        </is>
      </c>
      <c r="T7" s="11" t="inlineStr">
        <is>
          <t>掲載</t>
        </is>
      </c>
    </row>
    <row r="8">
      <c r="A8" s="11" t="n">
        <v>5</v>
      </c>
      <c r="B8" s="11" t="inlineStr">
        <is>
          <t>白石市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白石市地域公共交通計画</t>
        </is>
      </c>
      <c r="G8" s="11" t="inlineStr">
        <is>
          <t>R5〜R9（推定）</t>
        </is>
      </c>
      <c r="H8" s="13" t="n">
        <v>9</v>
      </c>
      <c r="I8" s="13" t="inlineStr">
        <is>
          <t>確認済</t>
        </is>
      </c>
      <c r="J8" s="13" t="inlineStr">
        <is>
          <t>着手済</t>
        </is>
      </c>
      <c r="K8" s="14" t="inlineStr">
        <is>
          <t>https://www.city.shiroishi.miyagi.jp/uploaded/attachment/22013.pdf</t>
        </is>
      </c>
      <c r="L8" s="11" t="inlineStr">
        <is>
          <t>第3次白石市環境基本計画</t>
        </is>
      </c>
      <c r="M8" s="11" t="inlineStr">
        <is>
          <t>不明（H31.4公表）</t>
        </is>
      </c>
      <c r="N8" s="13" t="n"/>
      <c r="O8" s="13" t="inlineStr">
        <is>
          <t>不明</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t>
        </is>
      </c>
      <c r="S8" s="15" t="inlineStr">
        <is>
          <t>調査済</t>
        </is>
      </c>
      <c r="T8" s="11" t="inlineStr">
        <is>
          <t>掲載</t>
        </is>
      </c>
    </row>
    <row r="9">
      <c r="A9" s="11" t="n">
        <v>6</v>
      </c>
      <c r="B9" s="11" t="inlineStr">
        <is>
          <t>名取市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不明（H30〜R1の2か年で策定）</t>
        </is>
      </c>
      <c r="N9" s="13" t="n"/>
      <c r="O9" s="13" t="inlineStr">
        <is>
          <t>不明</t>
        </is>
      </c>
      <c r="P9" s="13" t="inlineStr">
        <is>
          <t>未確認</t>
        </is>
      </c>
      <c r="Q9" s="14" t="inlineStr">
        <is>
          <t>https://www.city.natori.miyagi.jp/uploaded/attachment/10172.pdf</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t>
        </is>
      </c>
      <c r="S9" s="15" t="inlineStr">
        <is>
          <t>調査済</t>
        </is>
      </c>
      <c r="T9" s="11" t="inlineStr">
        <is>
          <t>掲載</t>
        </is>
      </c>
    </row>
    <row r="10">
      <c r="A10" s="11" t="n">
        <v>7</v>
      </c>
      <c r="B10" s="11" t="inlineStr">
        <is>
          <t>角田市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不明（R5策定）</t>
        </is>
      </c>
      <c r="N10" s="13" t="n"/>
      <c r="O10" s="13" t="inlineStr">
        <is>
          <t>不明</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t>
        </is>
      </c>
      <c r="S10" s="15" t="inlineStr">
        <is>
          <t>調査済</t>
        </is>
      </c>
      <c r="T10" s="11" t="inlineStr">
        <is>
          <t>掲載（広域：阿武隈急行線地域）</t>
        </is>
      </c>
    </row>
    <row r="11">
      <c r="A11" s="11" t="n">
        <v>8</v>
      </c>
      <c r="B11" s="11" t="inlineStr">
        <is>
          <t>多賀城市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c r="T11" s="11" t="inlineStr">
        <is>
          <t>掲載</t>
        </is>
      </c>
    </row>
    <row r="12">
      <c r="A12" s="11" t="n">
        <v>9</v>
      </c>
      <c r="B12" s="11" t="inlineStr">
        <is>
          <t>岩沼市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c r="T12" s="17" t="inlineStr">
        <is>
          <t>未掲載【当方は計画あり】</t>
        </is>
      </c>
    </row>
    <row r="13">
      <c r="A13" s="11" t="n">
        <v>10</v>
      </c>
      <c r="B13" s="11" t="inlineStr">
        <is>
          <t>登米市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c r="T13" s="11" t="inlineStr">
        <is>
          <t>掲載</t>
        </is>
      </c>
    </row>
    <row r="14">
      <c r="A14" s="11" t="n">
        <v>11</v>
      </c>
      <c r="B14" s="11" t="inlineStr">
        <is>
          <t>栗原市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不明</t>
        </is>
      </c>
      <c r="N14" s="13" t="n"/>
      <c r="O14" s="13" t="inlineStr">
        <is>
          <t>不明</t>
        </is>
      </c>
      <c r="P14" s="13" t="inlineStr">
        <is>
          <t>未確認</t>
        </is>
      </c>
      <c r="Q14" s="14" t="inlineStr">
        <is>
          <t>https://www.kuriharacity.jp/li/010/020/080/index.html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t>
        </is>
      </c>
      <c r="S14" s="15" t="inlineStr">
        <is>
          <t>調査済</t>
        </is>
      </c>
      <c r="T14" s="11" t="inlineStr">
        <is>
          <t>掲載</t>
        </is>
      </c>
    </row>
    <row r="15">
      <c r="A15" s="11" t="n">
        <v>12</v>
      </c>
      <c r="B15" s="11" t="inlineStr">
        <is>
          <t>東松島市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c r="T15" s="17" t="inlineStr">
        <is>
          <t>掲載／期間満了</t>
        </is>
      </c>
    </row>
    <row r="16">
      <c r="A16" s="11" t="n">
        <v>13</v>
      </c>
      <c r="B16" s="11" t="inlineStr">
        <is>
          <t>大崎市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c r="T16" s="11" t="inlineStr">
        <is>
          <t>掲載</t>
        </is>
      </c>
    </row>
    <row r="17">
      <c r="A17" s="11" t="n">
        <v>14</v>
      </c>
      <c r="B17" s="11" t="inlineStr">
        <is>
          <t>富谷市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t>
        </is>
      </c>
      <c r="S17" s="18" t="inlineStr">
        <is>
          <t>交通のみ調査</t>
        </is>
      </c>
      <c r="T17" s="11" t="inlineStr">
        <is>
          <t>掲載</t>
        </is>
      </c>
    </row>
    <row r="18">
      <c r="A18" s="11" t="n">
        <v>15</v>
      </c>
      <c r="B18" s="11" t="inlineStr">
        <is>
          <t>蔵王町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c r="T18" s="11" t="inlineStr">
        <is>
          <t>掲載</t>
        </is>
      </c>
    </row>
    <row r="19">
      <c r="A19" s="11" t="n">
        <v>16</v>
      </c>
      <c r="B19" s="11" t="inlineStr">
        <is>
          <t>七ヶ宿町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8" t="inlineStr">
        <is>
          <t>環境のみ調査</t>
        </is>
      </c>
      <c r="T19" s="11" t="inlineStr">
        <is>
          <t>未掲載</t>
        </is>
      </c>
    </row>
    <row r="20">
      <c r="A20" s="11" t="n">
        <v>17</v>
      </c>
      <c r="B20" s="11" t="inlineStr">
        <is>
          <t>大河原町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c r="T20" s="17" t="inlineStr">
        <is>
          <t>未掲載【当方は計画あり】</t>
        </is>
      </c>
    </row>
    <row r="21">
      <c r="A21" s="11" t="n">
        <v>18</v>
      </c>
      <c r="B21" s="11" t="inlineStr">
        <is>
          <t>村田町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8" t="inlineStr">
        <is>
          <t>環境のみ調査</t>
        </is>
      </c>
      <c r="T21" s="11" t="inlineStr">
        <is>
          <t>未掲載</t>
        </is>
      </c>
    </row>
    <row r="22">
      <c r="A22" s="11" t="n">
        <v>19</v>
      </c>
      <c r="B22" s="11" t="inlineStr">
        <is>
          <t>柴田町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c r="T22" s="11" t="inlineStr">
        <is>
          <t>掲載（広域：阿武隈急行線地域）</t>
        </is>
      </c>
    </row>
    <row r="23">
      <c r="A23" s="11" t="n">
        <v>20</v>
      </c>
      <c r="B23" s="11" t="inlineStr">
        <is>
          <t>川崎町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c r="T23" s="17" t="inlineStr">
        <is>
          <t>未掲載【当方は計画あり】</t>
        </is>
      </c>
    </row>
    <row r="24">
      <c r="A24" s="11" t="n">
        <v>21</v>
      </c>
      <c r="B24" s="11" t="inlineStr">
        <is>
          <t>丸森町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c r="T24" s="11" t="inlineStr">
        <is>
          <t>掲載（広域：阿武隈急行線地域）</t>
        </is>
      </c>
    </row>
    <row r="25">
      <c r="A25" s="11" t="n">
        <v>22</v>
      </c>
      <c r="B25" s="11" t="inlineStr">
        <is>
          <t>亘理町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t>
        </is>
      </c>
      <c r="S25" s="15" t="inlineStr">
        <is>
          <t>調査済</t>
        </is>
      </c>
      <c r="T25" s="11" t="inlineStr">
        <is>
          <t>掲載</t>
        </is>
      </c>
    </row>
    <row r="26">
      <c r="A26" s="11" t="n">
        <v>23</v>
      </c>
      <c r="B26" s="11" t="inlineStr">
        <is>
          <t>山元町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c r="T26" s="11" t="inlineStr">
        <is>
          <t>掲載</t>
        </is>
      </c>
    </row>
    <row r="27">
      <c r="A27" s="11" t="n">
        <v>24</v>
      </c>
      <c r="B27" s="11" t="inlineStr">
        <is>
          <t>松島町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t>
        </is>
      </c>
      <c r="S27" s="18" t="inlineStr">
        <is>
          <t>環境のみ調査</t>
        </is>
      </c>
      <c r="T27" s="17" t="inlineStr">
        <is>
          <t>掲載／期間満了【当方未把握】</t>
        </is>
      </c>
    </row>
    <row r="28">
      <c r="A28" s="11" t="n">
        <v>25</v>
      </c>
      <c r="B28" s="11" t="inlineStr">
        <is>
          <t>七ヶ浜町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8" t="inlineStr">
        <is>
          <t>環境のみ調査</t>
        </is>
      </c>
      <c r="T28" s="11" t="inlineStr">
        <is>
          <t>未掲載</t>
        </is>
      </c>
    </row>
    <row r="29">
      <c r="A29" s="11" t="n">
        <v>26</v>
      </c>
      <c r="B29" s="11" t="inlineStr">
        <is>
          <t>利府町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c r="T29" s="11" t="inlineStr">
        <is>
          <t>掲載</t>
        </is>
      </c>
    </row>
    <row r="30">
      <c r="A30" s="11" t="n">
        <v>27</v>
      </c>
      <c r="B30" s="11" t="inlineStr">
        <is>
          <t>大和町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c r="T30" s="11" t="inlineStr">
        <is>
          <t>掲載</t>
        </is>
      </c>
    </row>
    <row r="31">
      <c r="A31" s="11" t="n">
        <v>28</v>
      </c>
      <c r="B31" s="11" t="inlineStr">
        <is>
          <t>大郷町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t>
        </is>
      </c>
      <c r="S31" s="18" t="inlineStr">
        <is>
          <t>未調査</t>
        </is>
      </c>
      <c r="T31" s="11" t="inlineStr">
        <is>
          <t>未掲載</t>
        </is>
      </c>
    </row>
    <row r="32">
      <c r="A32" s="11" t="n">
        <v>29</v>
      </c>
      <c r="B32" s="11" t="inlineStr">
        <is>
          <t>大衡村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8" t="inlineStr">
        <is>
          <t>環境のみ調査</t>
        </is>
      </c>
      <c r="T32" s="11" t="inlineStr">
        <is>
          <t>未掲載</t>
        </is>
      </c>
    </row>
    <row r="33">
      <c r="A33" s="11" t="n">
        <v>30</v>
      </c>
      <c r="B33" s="11" t="inlineStr">
        <is>
          <t>色麻町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t>
        </is>
      </c>
      <c r="S33" s="18" t="inlineStr">
        <is>
          <t>未調査</t>
        </is>
      </c>
      <c r="T33" s="11" t="inlineStr">
        <is>
          <t>未掲載</t>
        </is>
      </c>
    </row>
    <row r="34">
      <c r="A34" s="11" t="n">
        <v>31</v>
      </c>
      <c r="B34" s="11" t="inlineStr">
        <is>
          <t>加美町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8" t="inlineStr">
        <is>
          <t>環境のみ調査</t>
        </is>
      </c>
      <c r="T34" s="11" t="inlineStr">
        <is>
          <t>未掲載</t>
        </is>
      </c>
    </row>
    <row r="35">
      <c r="A35" s="11" t="n">
        <v>32</v>
      </c>
      <c r="B35" s="11" t="inlineStr">
        <is>
          <t>涌谷町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c r="T35" s="11" t="inlineStr">
        <is>
          <t>掲載</t>
        </is>
      </c>
    </row>
    <row r="36">
      <c r="A36" s="11" t="n">
        <v>33</v>
      </c>
      <c r="B36" s="11" t="inlineStr">
        <is>
          <t>美里町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8" t="inlineStr">
        <is>
          <t>環境のみ調査</t>
        </is>
      </c>
      <c r="T36" s="11" t="inlineStr">
        <is>
          <t>未掲載</t>
        </is>
      </c>
    </row>
    <row r="37">
      <c r="A37" s="11" t="n">
        <v>34</v>
      </c>
      <c r="B37" s="11" t="inlineStr">
        <is>
          <t>女川町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c r="T37" s="11" t="inlineStr">
        <is>
          <t>掲載</t>
        </is>
      </c>
    </row>
    <row r="38">
      <c r="A38" s="11" t="n">
        <v>35</v>
      </c>
      <c r="B38" s="11" t="inlineStr">
        <is>
          <t>南三陸町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c r="T38" s="11"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秋田県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秋田市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着手済</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5" t="inlineStr">
        <is>
          <t>調査済</t>
        </is>
      </c>
      <c r="T4" s="11" t="inlineStr">
        <is>
          <t>掲載</t>
        </is>
      </c>
    </row>
    <row r="5">
      <c r="A5" s="11" t="n">
        <v>2</v>
      </c>
      <c r="B5" s="11" t="inlineStr">
        <is>
          <t>能代市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5" t="inlineStr">
        <is>
          <t>調査済</t>
        </is>
      </c>
      <c r="T5" s="11" t="inlineStr">
        <is>
          <t>掲載</t>
        </is>
      </c>
    </row>
    <row r="6">
      <c r="A6" s="11" t="n">
        <v>3</v>
      </c>
      <c r="B6" s="11" t="inlineStr">
        <is>
          <t>横手市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c r="T6" s="11" t="inlineStr">
        <is>
          <t>掲載</t>
        </is>
      </c>
    </row>
    <row r="7">
      <c r="A7" s="11" t="n">
        <v>4</v>
      </c>
      <c r="B7" s="11" t="inlineStr">
        <is>
          <t>大館市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5" t="inlineStr">
        <is>
          <t>調査済</t>
        </is>
      </c>
      <c r="T7" s="11" t="inlineStr">
        <is>
          <t>掲載</t>
        </is>
      </c>
    </row>
    <row r="8">
      <c r="A8" s="11" t="n">
        <v>5</v>
      </c>
      <c r="B8" s="11" t="inlineStr">
        <is>
          <t>男鹿市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c r="T8" s="11" t="inlineStr">
        <is>
          <t>掲載</t>
        </is>
      </c>
    </row>
    <row r="9">
      <c r="A9" s="11" t="n">
        <v>6</v>
      </c>
      <c r="B9" s="11" t="inlineStr">
        <is>
          <t>湯沢市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c r="T9" s="11" t="inlineStr">
        <is>
          <t>掲載</t>
        </is>
      </c>
    </row>
    <row r="10">
      <c r="A10" s="11" t="n">
        <v>7</v>
      </c>
      <c r="B10" s="11" t="inlineStr">
        <is>
          <t>鹿角市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t>
        </is>
      </c>
      <c r="S10" s="15" t="inlineStr">
        <is>
          <t>調査済</t>
        </is>
      </c>
      <c r="T10" s="11" t="inlineStr">
        <is>
          <t>掲載</t>
        </is>
      </c>
    </row>
    <row r="11">
      <c r="A11" s="11" t="n">
        <v>8</v>
      </c>
      <c r="B11" s="11" t="inlineStr">
        <is>
          <t>由利本荘市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c r="T11" s="11" t="inlineStr">
        <is>
          <t>掲載</t>
        </is>
      </c>
    </row>
    <row r="12">
      <c r="A12" s="11" t="n">
        <v>9</v>
      </c>
      <c r="B12" s="11" t="inlineStr">
        <is>
          <t>潟上市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c r="T12" s="11" t="inlineStr">
        <is>
          <t>掲載</t>
        </is>
      </c>
    </row>
    <row r="13">
      <c r="A13" s="11" t="n">
        <v>10</v>
      </c>
      <c r="B13" s="11" t="inlineStr">
        <is>
          <t>大仙市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c r="T13" s="11" t="inlineStr">
        <is>
          <t>掲載</t>
        </is>
      </c>
    </row>
    <row r="14">
      <c r="A14" s="11" t="n">
        <v>11</v>
      </c>
      <c r="B14" s="11" t="inlineStr">
        <is>
          <t>北秋田市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〜R8（H28またはH29〜R8の10年間）</t>
        </is>
      </c>
      <c r="N14" s="13" t="n">
        <v>8</v>
      </c>
      <c r="O14" s="13" t="inlineStr">
        <is>
          <t>確認済</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5" t="inlineStr">
        <is>
          <t>調査済</t>
        </is>
      </c>
      <c r="T14" s="11" t="inlineStr">
        <is>
          <t>掲載</t>
        </is>
      </c>
    </row>
    <row r="15">
      <c r="A15" s="11" t="n">
        <v>12</v>
      </c>
      <c r="B15" s="11" t="inlineStr">
        <is>
          <t>にかほ市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c r="T15" s="11" t="inlineStr">
        <is>
          <t>掲載</t>
        </is>
      </c>
    </row>
    <row r="16">
      <c r="A16" s="11" t="n">
        <v>13</v>
      </c>
      <c r="B16" s="11" t="inlineStr">
        <is>
          <t>仙北市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c r="T16" s="11" t="inlineStr">
        <is>
          <t>掲載</t>
        </is>
      </c>
    </row>
    <row r="17">
      <c r="A17" s="11" t="n">
        <v>14</v>
      </c>
      <c r="B17" s="11" t="inlineStr">
        <is>
          <t>小坂町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c r="T17" s="11" t="inlineStr">
        <is>
          <t>掲載</t>
        </is>
      </c>
    </row>
    <row r="18">
      <c r="A18" s="11" t="n">
        <v>15</v>
      </c>
      <c r="B18" s="11" t="inlineStr">
        <is>
          <t>上小阿仁村</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8" s="18" t="inlineStr">
        <is>
          <t>未調査</t>
        </is>
      </c>
      <c r="T18" s="11" t="inlineStr">
        <is>
          <t>未掲載</t>
        </is>
      </c>
    </row>
    <row r="19">
      <c r="A19" s="11" t="n">
        <v>16</v>
      </c>
      <c r="B19" s="11" t="inlineStr">
        <is>
          <t>藤里町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9" s="15" t="inlineStr">
        <is>
          <t>調査済</t>
        </is>
      </c>
      <c r="T19" s="11" t="inlineStr">
        <is>
          <t>掲載</t>
        </is>
      </c>
    </row>
    <row r="20">
      <c r="A20" s="11" t="n">
        <v>17</v>
      </c>
      <c r="B20" s="11" t="inlineStr">
        <is>
          <t>三種町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c r="T20" s="11" t="inlineStr">
        <is>
          <t>掲載</t>
        </is>
      </c>
    </row>
    <row r="21">
      <c r="A21" s="11" t="n">
        <v>18</v>
      </c>
      <c r="B21" s="11" t="inlineStr">
        <is>
          <t>八峰町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8" t="inlineStr">
        <is>
          <t>環境のみ調査</t>
        </is>
      </c>
      <c r="T21" s="11" t="inlineStr">
        <is>
          <t>未掲載</t>
        </is>
      </c>
    </row>
    <row r="22">
      <c r="A22" s="11" t="n">
        <v>19</v>
      </c>
      <c r="B22" s="11" t="inlineStr">
        <is>
          <t>五城目町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5" t="inlineStr">
        <is>
          <t>調査済</t>
        </is>
      </c>
      <c r="T22" s="11" t="inlineStr">
        <is>
          <t>掲載（広域：南秋）</t>
        </is>
      </c>
    </row>
    <row r="23">
      <c r="A23" s="11" t="n">
        <v>20</v>
      </c>
      <c r="B23" s="11" t="inlineStr">
        <is>
          <t>八郎潟町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5" t="inlineStr">
        <is>
          <t>調査済</t>
        </is>
      </c>
      <c r="T23" s="11" t="inlineStr">
        <is>
          <t>掲載（広域：南秋）</t>
        </is>
      </c>
    </row>
    <row r="24">
      <c r="A24" s="11" t="n">
        <v>21</v>
      </c>
      <c r="B24" s="11" t="inlineStr">
        <is>
          <t>井川町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c r="T24" s="17" t="inlineStr">
        <is>
          <t>未掲載【当方は計画あり】</t>
        </is>
      </c>
    </row>
    <row r="25">
      <c r="A25" s="11" t="n">
        <v>22</v>
      </c>
      <c r="B25" s="11" t="inlineStr">
        <is>
          <t>大潟村</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5" t="inlineStr">
        <is>
          <t>調査済</t>
        </is>
      </c>
      <c r="T25" s="11" t="inlineStr">
        <is>
          <t>掲載（広域：南秋）</t>
        </is>
      </c>
    </row>
    <row r="26">
      <c r="A26" s="11" t="n">
        <v>23</v>
      </c>
      <c r="B26" s="11" t="inlineStr">
        <is>
          <t>美郷町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c r="T26" s="11" t="inlineStr">
        <is>
          <t>掲載</t>
        </is>
      </c>
    </row>
    <row r="27">
      <c r="A27" s="11" t="n">
        <v>24</v>
      </c>
      <c r="B27" s="11" t="inlineStr">
        <is>
          <t>羽後町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c r="T27" s="17" t="inlineStr">
        <is>
          <t>未掲載【当方は計画あり】</t>
        </is>
      </c>
    </row>
    <row r="28">
      <c r="A28" s="11" t="n">
        <v>25</v>
      </c>
      <c r="B28" s="11" t="inlineStr">
        <is>
          <t>東成瀬村</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秋田県地域公共交通計画（県計画、村独自計画は見当たらず）</t>
        </is>
      </c>
      <c r="G28" s="11" t="inlineStr">
        <is>
          <t>R4〜R8</t>
        </is>
      </c>
      <c r="H28" s="13" t="n">
        <v>8</v>
      </c>
      <c r="I28" s="13" t="inlineStr">
        <is>
          <t>確認済</t>
        </is>
      </c>
      <c r="J28" s="13" t="inlineStr">
        <is>
          <t>未確認</t>
        </is>
      </c>
      <c r="K28" s="14" t="inlineStr">
        <is>
          <t>https://www.pref.akita.lg.jp/uploads/public/archive_0000062825_00/観スポ_所管事項関連　別冊２（秋田県地域公共交通計画（案）について）.pdf</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8" s="15" t="inlineStr">
        <is>
          <t>調査済</t>
        </is>
      </c>
      <c r="T28" s="11"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山形県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山形市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c r="T4" s="11" t="inlineStr">
        <is>
          <t>掲載</t>
        </is>
      </c>
    </row>
    <row r="5">
      <c r="A5" s="11" t="n">
        <v>2</v>
      </c>
      <c r="B5" s="11" t="inlineStr">
        <is>
          <t>米沢市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c r="T5" s="11" t="inlineStr">
        <is>
          <t>掲載</t>
        </is>
      </c>
    </row>
    <row r="6">
      <c r="A6" s="11" t="n">
        <v>3</v>
      </c>
      <c r="B6" s="11" t="inlineStr">
        <is>
          <t>鶴岡市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c r="T6" s="11" t="inlineStr">
        <is>
          <t>掲載</t>
        </is>
      </c>
    </row>
    <row r="7">
      <c r="A7" s="11" t="n">
        <v>4</v>
      </c>
      <c r="B7" s="11" t="inlineStr">
        <is>
          <t>酒田市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c r="T7" s="11" t="inlineStr">
        <is>
          <t>掲載</t>
        </is>
      </c>
    </row>
    <row r="8">
      <c r="A8" s="11" t="n">
        <v>5</v>
      </c>
      <c r="B8" s="11" t="inlineStr">
        <is>
          <t>新庄市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山形県地域公共交通計画（県・市町村共同、次期計画R8.3.27策定）</t>
        </is>
      </c>
      <c r="G8" s="11" t="inlineStr">
        <is>
          <t>R8〜不明</t>
        </is>
      </c>
      <c r="H8" s="16" t="n"/>
      <c r="I8" s="13" t="inlineStr">
        <is>
          <t>推定</t>
        </is>
      </c>
      <c r="J8" s="13" t="inlineStr">
        <is>
          <t>策定済</t>
        </is>
      </c>
      <c r="K8" s="14" t="inlineStr">
        <is>
          <t>https://www.pref.yamagata.jp/020057/kurashi/kendo/kotsuseisaku/ykotsu_kasseikakyougikai.html</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t>
        </is>
      </c>
      <c r="S8" s="15" t="inlineStr">
        <is>
          <t>調査済</t>
        </is>
      </c>
      <c r="T8" s="17" t="inlineStr">
        <is>
          <t>掲載／期間満了</t>
        </is>
      </c>
    </row>
    <row r="9">
      <c r="A9" s="11" t="n">
        <v>6</v>
      </c>
      <c r="B9" s="11" t="inlineStr">
        <is>
          <t>寒河江市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不明</t>
        </is>
      </c>
      <c r="N9" s="13" t="n"/>
      <c r="O9" s="13" t="inlineStr">
        <is>
          <t>不明</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t>
        </is>
      </c>
      <c r="S9" s="15" t="inlineStr">
        <is>
          <t>調査済</t>
        </is>
      </c>
      <c r="T9" s="17" t="inlineStr">
        <is>
          <t>未掲載【当方は計画あり】</t>
        </is>
      </c>
    </row>
    <row r="10">
      <c r="A10" s="11" t="n">
        <v>7</v>
      </c>
      <c r="B10" s="11" t="inlineStr">
        <is>
          <t>上山市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c r="T10" s="17" t="inlineStr">
        <is>
          <t>未掲載【当方は計画あり】</t>
        </is>
      </c>
    </row>
    <row r="11">
      <c r="A11" s="11" t="n">
        <v>8</v>
      </c>
      <c r="B11" s="11" t="inlineStr">
        <is>
          <t>村山市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5" t="inlineStr">
        <is>
          <t>調査済</t>
        </is>
      </c>
      <c r="T11" s="17" t="inlineStr">
        <is>
          <t>未掲載【当方は計画あり】</t>
        </is>
      </c>
    </row>
    <row r="12">
      <c r="A12" s="11" t="n">
        <v>9</v>
      </c>
      <c r="B12" s="11" t="inlineStr">
        <is>
          <t>長井市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c r="T12" s="11" t="inlineStr">
        <is>
          <t>掲載（広域：フラワー長井線沿線）</t>
        </is>
      </c>
    </row>
    <row r="13">
      <c r="A13" s="11" t="n">
        <v>10</v>
      </c>
      <c r="B13" s="11" t="inlineStr">
        <is>
          <t>天童市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c r="T13" s="17" t="inlineStr">
        <is>
          <t>未掲載【当方は計画あり】</t>
        </is>
      </c>
    </row>
    <row r="14">
      <c r="A14" s="11" t="n">
        <v>11</v>
      </c>
      <c r="B14" s="11" t="inlineStr">
        <is>
          <t>東根市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R5〜不明</t>
        </is>
      </c>
      <c r="N14" s="16" t="n"/>
      <c r="O14" s="13" t="inlineStr">
        <is>
          <t>推定</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t>
        </is>
      </c>
      <c r="S14" s="15" t="inlineStr">
        <is>
          <t>調査済</t>
        </is>
      </c>
      <c r="T14" s="17" t="inlineStr">
        <is>
          <t>未掲載【当方は計画あり】</t>
        </is>
      </c>
    </row>
    <row r="15">
      <c r="A15" s="11" t="n">
        <v>12</v>
      </c>
      <c r="B15" s="11" t="inlineStr">
        <is>
          <t>尾花沢市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c r="T15" s="17" t="inlineStr">
        <is>
          <t>未掲載【当方は計画あり】</t>
        </is>
      </c>
    </row>
    <row r="16">
      <c r="A16" s="11" t="n">
        <v>13</v>
      </c>
      <c r="B16" s="11" t="inlineStr">
        <is>
          <t>南陽市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c r="T16" s="11" t="inlineStr">
        <is>
          <t>掲載（広域：フラワー長井線沿線）</t>
        </is>
      </c>
    </row>
    <row r="17">
      <c r="A17" s="11" t="n">
        <v>14</v>
      </c>
      <c r="B17" s="11" t="inlineStr">
        <is>
          <t>山辺町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c r="T17" s="17" t="inlineStr">
        <is>
          <t>未掲載【当方は計画あり】</t>
        </is>
      </c>
    </row>
    <row r="18">
      <c r="A18" s="11" t="n">
        <v>15</v>
      </c>
      <c r="B18" s="11" t="inlineStr">
        <is>
          <t>中山町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c r="T18" s="17" t="inlineStr">
        <is>
          <t>未掲載【当方は計画あり】</t>
        </is>
      </c>
    </row>
    <row r="19">
      <c r="A19" s="11" t="n">
        <v>16</v>
      </c>
      <c r="B19" s="11" t="inlineStr">
        <is>
          <t>河北町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c r="T19" s="11" t="inlineStr">
        <is>
          <t>掲載</t>
        </is>
      </c>
    </row>
    <row r="20">
      <c r="A20" s="11" t="n">
        <v>17</v>
      </c>
      <c r="B20" s="11" t="inlineStr">
        <is>
          <t>西川町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c r="T20" s="11" t="inlineStr">
        <is>
          <t>掲載</t>
        </is>
      </c>
    </row>
    <row r="21">
      <c r="A21" s="11" t="n">
        <v>18</v>
      </c>
      <c r="B21" s="11" t="inlineStr">
        <is>
          <t>朝日町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3" t="n">
        <v>9</v>
      </c>
      <c r="O21" s="13" t="inlineStr">
        <is>
          <t>確認済</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5" t="inlineStr">
        <is>
          <t>調査済</t>
        </is>
      </c>
      <c r="T21" s="17" t="inlineStr">
        <is>
          <t>未掲載【当方は計画あり】</t>
        </is>
      </c>
    </row>
    <row r="22">
      <c r="A22" s="11" t="n">
        <v>19</v>
      </c>
      <c r="B22" s="11" t="inlineStr">
        <is>
          <t>大江町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c r="T22" s="17" t="inlineStr">
        <is>
          <t>未掲載【当方は計画あり】</t>
        </is>
      </c>
    </row>
    <row r="23">
      <c r="A23" s="11" t="n">
        <v>20</v>
      </c>
      <c r="B23" s="11" t="inlineStr">
        <is>
          <t>大石田町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c r="T23" s="17" t="inlineStr">
        <is>
          <t>未掲載【当方は計画あり】</t>
        </is>
      </c>
    </row>
    <row r="24">
      <c r="A24" s="11" t="n">
        <v>21</v>
      </c>
      <c r="B24" s="11" t="inlineStr">
        <is>
          <t>金山町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c r="T24" s="17" t="inlineStr">
        <is>
          <t>未掲載【当方は計画あり】</t>
        </is>
      </c>
    </row>
    <row r="25">
      <c r="A25" s="11" t="n">
        <v>22</v>
      </c>
      <c r="B25" s="11" t="inlineStr">
        <is>
          <t>最上町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c r="T25" s="17" t="inlineStr">
        <is>
          <t>未掲載【当方は計画あり】</t>
        </is>
      </c>
    </row>
    <row r="26">
      <c r="A26" s="11" t="n">
        <v>23</v>
      </c>
      <c r="B26" s="11" t="inlineStr">
        <is>
          <t>舟形町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c r="T26" s="17" t="inlineStr">
        <is>
          <t>未掲載【当方は計画あり】</t>
        </is>
      </c>
    </row>
    <row r="27">
      <c r="A27" s="11" t="n">
        <v>24</v>
      </c>
      <c r="B27" s="11" t="inlineStr">
        <is>
          <t>真室川町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c r="T27" s="17" t="inlineStr">
        <is>
          <t>未掲載【当方は計画あり】</t>
        </is>
      </c>
    </row>
    <row r="28">
      <c r="A28" s="11" t="n">
        <v>25</v>
      </c>
      <c r="B28" s="11" t="inlineStr">
        <is>
          <t>大蔵村</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c r="T28" s="17" t="inlineStr">
        <is>
          <t>未掲載【当方は計画あり】</t>
        </is>
      </c>
    </row>
    <row r="29">
      <c r="A29" s="11" t="n">
        <v>26</v>
      </c>
      <c r="B29" s="11" t="inlineStr">
        <is>
          <t>鮭川村</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c r="T29" s="17" t="inlineStr">
        <is>
          <t>未掲載【当方は計画あり】</t>
        </is>
      </c>
    </row>
    <row r="30">
      <c r="A30" s="11" t="n">
        <v>27</v>
      </c>
      <c r="B30" s="11" t="inlineStr">
        <is>
          <t>戸沢村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c r="T30" s="17" t="inlineStr">
        <is>
          <t>未掲載【当方は計画あり】</t>
        </is>
      </c>
    </row>
    <row r="31">
      <c r="A31" s="11" t="n">
        <v>28</v>
      </c>
      <c r="B31" s="11" t="inlineStr">
        <is>
          <t>高畠町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山形県地域公共交通計画（県・市町村共同、次期計画R8.3.27策定）</t>
        </is>
      </c>
      <c r="G31" s="11" t="inlineStr">
        <is>
          <t>R8〜不明</t>
        </is>
      </c>
      <c r="H31" s="16" t="n"/>
      <c r="I31" s="13" t="inlineStr">
        <is>
          <t>推定</t>
        </is>
      </c>
      <c r="J31" s="13" t="inlineStr">
        <is>
          <t>策定済</t>
        </is>
      </c>
      <c r="K31" s="14" t="inlineStr">
        <is>
          <t>https://www.pref.yamagata.jp/020057/kurashi/kendo/kotsuseisaku/ykotsu_kasseikakyougikai.html</t>
        </is>
      </c>
      <c r="L31" s="11" t="inlineStr">
        <is>
          <t>第3次高畠町環境基本計画</t>
        </is>
      </c>
      <c r="M31" s="11" t="inlineStr">
        <is>
          <t>R5〜不明</t>
        </is>
      </c>
      <c r="N31" s="16" t="n"/>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t>
        </is>
      </c>
      <c r="S31" s="15" t="inlineStr">
        <is>
          <t>調査済</t>
        </is>
      </c>
      <c r="T31" s="11" t="inlineStr">
        <is>
          <t>掲載</t>
        </is>
      </c>
    </row>
    <row r="32">
      <c r="A32" s="11" t="n">
        <v>29</v>
      </c>
      <c r="B32" s="11" t="inlineStr">
        <is>
          <t>川西町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山形県地域公共交通計画（県・市町村共同、次期計画R8.3.27策定）</t>
        </is>
      </c>
      <c r="G32" s="11" t="inlineStr">
        <is>
          <t>R8〜不明</t>
        </is>
      </c>
      <c r="H32" s="16" t="n"/>
      <c r="I32" s="13" t="inlineStr">
        <is>
          <t>推定</t>
        </is>
      </c>
      <c r="J32" s="13" t="inlineStr">
        <is>
          <t>策定済</t>
        </is>
      </c>
      <c r="K32" s="14" t="inlineStr">
        <is>
          <t>https://www.pref.yamagata.jp/020057/kurashi/kendo/kotsuseisaku/ykotsu_kasseikakyougikai.html</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t>
        </is>
      </c>
      <c r="S32" s="15" t="inlineStr">
        <is>
          <t>調査済</t>
        </is>
      </c>
      <c r="T32" s="11" t="inlineStr">
        <is>
          <t>掲載（広域：フラワー長井線沿線）</t>
        </is>
      </c>
    </row>
    <row r="33">
      <c r="A33" s="11" t="n">
        <v>30</v>
      </c>
      <c r="B33" s="11" t="inlineStr">
        <is>
          <t>小国町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c r="T33" s="17" t="inlineStr">
        <is>
          <t>掲載／期間満了</t>
        </is>
      </c>
    </row>
    <row r="34">
      <c r="A34" s="11" t="n">
        <v>31</v>
      </c>
      <c r="B34" s="11" t="inlineStr">
        <is>
          <t>白鷹町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4" s="15" t="inlineStr">
        <is>
          <t>調査済</t>
        </is>
      </c>
      <c r="T34" s="17" t="inlineStr">
        <is>
          <t>掲載（広域：フラワー長井線沿線）／期間満了</t>
        </is>
      </c>
    </row>
    <row r="35">
      <c r="A35" s="11" t="n">
        <v>32</v>
      </c>
      <c r="B35" s="11" t="inlineStr">
        <is>
          <t>飯豊町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c r="T35" s="17" t="inlineStr">
        <is>
          <t>未掲載【当方は計画あり】</t>
        </is>
      </c>
    </row>
    <row r="36">
      <c r="A36" s="11" t="n">
        <v>33</v>
      </c>
      <c r="B36" s="11" t="inlineStr">
        <is>
          <t>三川町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c r="T36" s="17" t="inlineStr">
        <is>
          <t>未掲載【当方は計画あり】</t>
        </is>
      </c>
    </row>
    <row r="37">
      <c r="A37" s="11" t="n">
        <v>34</v>
      </c>
      <c r="B37" s="11" t="inlineStr">
        <is>
          <t>庄内町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山形県地域公共交通計画（県・市町村共同、次期計画R8.3.27策定）</t>
        </is>
      </c>
      <c r="G37" s="11" t="inlineStr">
        <is>
          <t>R8〜不明</t>
        </is>
      </c>
      <c r="H37" s="16" t="n"/>
      <c r="I37" s="13" t="inlineStr">
        <is>
          <t>推定</t>
        </is>
      </c>
      <c r="J37" s="13" t="inlineStr">
        <is>
          <t>策定済</t>
        </is>
      </c>
      <c r="K37" s="14" t="inlineStr">
        <is>
          <t>https://www.pref.yamagata.jp/020057/kurashi/kendo/kotsuseisaku/ykotsu_kasseikakyougikai.html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t>
        </is>
      </c>
      <c r="S37" s="15" t="inlineStr">
        <is>
          <t>調査済</t>
        </is>
      </c>
      <c r="T37" s="11" t="inlineStr">
        <is>
          <t>掲載</t>
        </is>
      </c>
    </row>
    <row r="38">
      <c r="A38" s="11" t="n">
        <v>35</v>
      </c>
      <c r="B38" s="11" t="inlineStr">
        <is>
          <t>遊佐町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不明</t>
        </is>
      </c>
      <c r="N38" s="13" t="n"/>
      <c r="O38" s="13" t="inlineStr">
        <is>
          <t>不明</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t>
        </is>
      </c>
      <c r="S38" s="15" t="inlineStr">
        <is>
          <t>調査済</t>
        </is>
      </c>
      <c r="T38" s="17"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福島県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福島市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福島市地域公共交通計画</t>
        </is>
      </c>
      <c r="G4" s="11" t="inlineStr">
        <is>
          <t>R5〜R12（県計画に準拠）</t>
        </is>
      </c>
      <c r="H4" s="13" t="n">
        <v>12</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5" t="inlineStr">
        <is>
          <t>調査済</t>
        </is>
      </c>
      <c r="T4" s="11" t="inlineStr">
        <is>
          <t>掲載（広域：福島県避難地域・阿武隈急行線地域）</t>
        </is>
      </c>
    </row>
    <row r="5">
      <c r="A5" s="11" t="n">
        <v>2</v>
      </c>
      <c r="B5" s="11" t="inlineStr">
        <is>
          <t>会津若松市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c r="T5" s="11" t="inlineStr">
        <is>
          <t>掲載（広域：会津圏域）</t>
        </is>
      </c>
    </row>
    <row r="6">
      <c r="A6" s="11" t="n">
        <v>3</v>
      </c>
      <c r="B6" s="11" t="inlineStr">
        <is>
          <t>郡山市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c r="T6" s="11" t="inlineStr">
        <is>
          <t>掲載</t>
        </is>
      </c>
    </row>
    <row r="7">
      <c r="A7" s="11" t="n">
        <v>4</v>
      </c>
      <c r="B7" s="11" t="inlineStr">
        <is>
          <t>いわき市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いわき市地域公共交通計画</t>
        </is>
      </c>
      <c r="G7" s="11" t="inlineStr">
        <is>
          <t>R5〜R9</t>
        </is>
      </c>
      <c r="H7" s="13" t="n">
        <v>9</v>
      </c>
      <c r="I7" s="13" t="inlineStr">
        <is>
          <t>確認済</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5" t="inlineStr">
        <is>
          <t>調査済</t>
        </is>
      </c>
      <c r="T7" s="11" t="inlineStr">
        <is>
          <t>掲載（広域：福島県避難地域）</t>
        </is>
      </c>
    </row>
    <row r="8">
      <c r="A8" s="11" t="n">
        <v>5</v>
      </c>
      <c r="B8" s="11" t="inlineStr">
        <is>
          <t>白河市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c r="T8" s="11" t="inlineStr">
        <is>
          <t>掲載</t>
        </is>
      </c>
    </row>
    <row r="9">
      <c r="A9" s="11" t="n">
        <v>6</v>
      </c>
      <c r="B9" s="11" t="inlineStr">
        <is>
          <t>須賀川市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c r="T9" s="11" t="inlineStr">
        <is>
          <t>掲載</t>
        </is>
      </c>
    </row>
    <row r="10">
      <c r="A10" s="11" t="n">
        <v>7</v>
      </c>
      <c r="B10" s="11" t="inlineStr">
        <is>
          <t>喜多方市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c r="T10" s="11" t="inlineStr">
        <is>
          <t>掲載（広域：会津圏域）</t>
        </is>
      </c>
    </row>
    <row r="11">
      <c r="A11" s="11" t="n">
        <v>8</v>
      </c>
      <c r="B11" s="11" t="inlineStr">
        <is>
          <t>相馬市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8" t="inlineStr">
        <is>
          <t>未調査</t>
        </is>
      </c>
      <c r="T11" s="11" t="inlineStr">
        <is>
          <t>未掲載</t>
        </is>
      </c>
    </row>
    <row r="12">
      <c r="A12" s="11" t="n">
        <v>9</v>
      </c>
      <c r="B12" s="11" t="inlineStr">
        <is>
          <t>二本松市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c r="T12" s="11" t="inlineStr">
        <is>
          <t>掲載</t>
        </is>
      </c>
    </row>
    <row r="13">
      <c r="A13" s="11" t="n">
        <v>10</v>
      </c>
      <c r="B13" s="11" t="inlineStr">
        <is>
          <t>田村市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8" t="inlineStr">
        <is>
          <t>交通のみ調査</t>
        </is>
      </c>
      <c r="T13" s="11" t="inlineStr">
        <is>
          <t>掲載（広域：福島県避難地域）</t>
        </is>
      </c>
    </row>
    <row r="14">
      <c r="A14" s="11" t="n">
        <v>11</v>
      </c>
      <c r="B14" s="11" t="inlineStr">
        <is>
          <t>南相馬市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c r="T14" s="17" t="inlineStr">
        <is>
          <t>掲載（広域：福島県避難地域）／期間満了</t>
        </is>
      </c>
    </row>
    <row r="15">
      <c r="A15" s="11" t="n">
        <v>12</v>
      </c>
      <c r="B15" s="11" t="inlineStr">
        <is>
          <t>伊達市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c r="T15" s="11" t="inlineStr">
        <is>
          <t>掲載（広域：阿武隈急行線地域）</t>
        </is>
      </c>
    </row>
    <row r="16">
      <c r="A16" s="11" t="n">
        <v>13</v>
      </c>
      <c r="B16" s="11" t="inlineStr">
        <is>
          <t>本宮市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c r="T16" s="11" t="inlineStr">
        <is>
          <t>掲載</t>
        </is>
      </c>
    </row>
    <row r="17">
      <c r="A17" s="11" t="n">
        <v>14</v>
      </c>
      <c r="B17" s="11" t="inlineStr">
        <is>
          <t>桑折町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8" t="inlineStr">
        <is>
          <t>環境のみ調査</t>
        </is>
      </c>
      <c r="T17" s="11" t="inlineStr">
        <is>
          <t>未掲載</t>
        </is>
      </c>
    </row>
    <row r="18">
      <c r="A18" s="11" t="n">
        <v>15</v>
      </c>
      <c r="B18" s="11" t="inlineStr">
        <is>
          <t>国見町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8" t="inlineStr">
        <is>
          <t>未調査</t>
        </is>
      </c>
      <c r="T18" s="11" t="inlineStr">
        <is>
          <t>未掲載</t>
        </is>
      </c>
    </row>
    <row r="19">
      <c r="A19" s="11" t="n">
        <v>16</v>
      </c>
      <c r="B19" s="11" t="inlineStr">
        <is>
          <t>川俣町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8" t="inlineStr">
        <is>
          <t>未調査</t>
        </is>
      </c>
      <c r="T19" s="17" t="inlineStr">
        <is>
          <t>掲載（広域：福島県避難地域）【当方未把握】</t>
        </is>
      </c>
    </row>
    <row r="20">
      <c r="A20" s="11" t="n">
        <v>17</v>
      </c>
      <c r="B20" s="11" t="inlineStr">
        <is>
          <t>大玉村</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8" t="inlineStr">
        <is>
          <t>交通のみ調査</t>
        </is>
      </c>
      <c r="T20" s="11" t="inlineStr">
        <is>
          <t>掲載</t>
        </is>
      </c>
    </row>
    <row r="21">
      <c r="A21" s="11" t="n">
        <v>18</v>
      </c>
      <c r="B21" s="11" t="inlineStr">
        <is>
          <t>鏡石町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8" t="inlineStr">
        <is>
          <t>未調査</t>
        </is>
      </c>
      <c r="T21" s="11" t="inlineStr">
        <is>
          <t>未掲載</t>
        </is>
      </c>
    </row>
    <row r="22">
      <c r="A22" s="11" t="n">
        <v>19</v>
      </c>
      <c r="B22" s="11" t="inlineStr">
        <is>
          <t>天栄村</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8" t="inlineStr">
        <is>
          <t>未調査</t>
        </is>
      </c>
      <c r="T22" s="11" t="inlineStr">
        <is>
          <t>未掲載</t>
        </is>
      </c>
    </row>
    <row r="23">
      <c r="A23" s="11" t="n">
        <v>20</v>
      </c>
      <c r="B23" s="11" t="inlineStr">
        <is>
          <t>下郷町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8" t="inlineStr">
        <is>
          <t>未調査</t>
        </is>
      </c>
      <c r="T23" s="11" t="inlineStr">
        <is>
          <t>未掲載</t>
        </is>
      </c>
    </row>
    <row r="24">
      <c r="A24" s="11" t="n">
        <v>21</v>
      </c>
      <c r="B24" s="11" t="inlineStr">
        <is>
          <t>檜枝岐村</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8" t="inlineStr">
        <is>
          <t>未調査</t>
        </is>
      </c>
      <c r="T24" s="11" t="inlineStr">
        <is>
          <t>未掲載</t>
        </is>
      </c>
    </row>
    <row r="25">
      <c r="A25" s="11" t="n">
        <v>22</v>
      </c>
      <c r="B25" s="11" t="inlineStr">
        <is>
          <t>只見町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8" t="inlineStr">
        <is>
          <t>未調査</t>
        </is>
      </c>
      <c r="T25" s="11" t="inlineStr">
        <is>
          <t>未掲載</t>
        </is>
      </c>
    </row>
    <row r="26">
      <c r="A26" s="11" t="n">
        <v>23</v>
      </c>
      <c r="B26" s="11" t="inlineStr">
        <is>
          <t>南会津町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c r="T26" s="11" t="inlineStr">
        <is>
          <t>掲載</t>
        </is>
      </c>
    </row>
    <row r="27">
      <c r="A27" s="11" t="n">
        <v>24</v>
      </c>
      <c r="B27" s="11" t="inlineStr">
        <is>
          <t>北塩原村</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8" t="inlineStr">
        <is>
          <t>環境のみ調査</t>
        </is>
      </c>
      <c r="T27" s="17" t="inlineStr">
        <is>
          <t>掲載【当方未把握】</t>
        </is>
      </c>
    </row>
    <row r="28">
      <c r="A28" s="11" t="n">
        <v>25</v>
      </c>
      <c r="B28" s="11" t="inlineStr">
        <is>
          <t>西会津町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8" t="inlineStr">
        <is>
          <t>環境のみ調査</t>
        </is>
      </c>
      <c r="T28" s="11" t="inlineStr">
        <is>
          <t>未掲載</t>
        </is>
      </c>
    </row>
    <row r="29">
      <c r="A29" s="11" t="n">
        <v>26</v>
      </c>
      <c r="B29" s="11" t="inlineStr">
        <is>
          <t>磐梯町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8" t="inlineStr">
        <is>
          <t>環境のみ調査</t>
        </is>
      </c>
      <c r="T29" s="11" t="inlineStr">
        <is>
          <t>未掲載</t>
        </is>
      </c>
    </row>
    <row r="30">
      <c r="A30" s="11" t="n">
        <v>27</v>
      </c>
      <c r="B30" s="11" t="inlineStr">
        <is>
          <t>猪苗代町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8" t="inlineStr">
        <is>
          <t>環境のみ調査</t>
        </is>
      </c>
      <c r="T30" s="11" t="inlineStr">
        <is>
          <t>未掲載</t>
        </is>
      </c>
    </row>
    <row r="31">
      <c r="A31" s="11" t="n">
        <v>28</v>
      </c>
      <c r="B31" s="11" t="inlineStr">
        <is>
          <t>会津坂下町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c r="T31" s="11" t="inlineStr">
        <is>
          <t>掲載（広域：会津圏域）</t>
        </is>
      </c>
    </row>
    <row r="32">
      <c r="A32" s="11" t="n">
        <v>29</v>
      </c>
      <c r="B32" s="11" t="inlineStr">
        <is>
          <t>湯川村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8" t="inlineStr">
        <is>
          <t>交通のみ調査</t>
        </is>
      </c>
      <c r="T32" s="11" t="inlineStr">
        <is>
          <t>掲載（広域：会津圏域）</t>
        </is>
      </c>
    </row>
    <row r="33">
      <c r="A33" s="11" t="n">
        <v>30</v>
      </c>
      <c r="B33" s="11" t="inlineStr">
        <is>
          <t>柳津町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8" t="inlineStr">
        <is>
          <t>交通のみ調査</t>
        </is>
      </c>
      <c r="T33" s="11" t="inlineStr">
        <is>
          <t>掲載（広域：会津圏域）</t>
        </is>
      </c>
    </row>
    <row r="34">
      <c r="A34" s="11" t="n">
        <v>31</v>
      </c>
      <c r="B34" s="11" t="inlineStr">
        <is>
          <t>三島町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8" t="inlineStr">
        <is>
          <t>未調査</t>
        </is>
      </c>
      <c r="T34" s="11" t="inlineStr">
        <is>
          <t>未掲載</t>
        </is>
      </c>
    </row>
    <row r="35">
      <c r="A35" s="11" t="n">
        <v>32</v>
      </c>
      <c r="B35" s="11" t="inlineStr">
        <is>
          <t>金山町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8" t="inlineStr">
        <is>
          <t>未調査</t>
        </is>
      </c>
      <c r="T35" s="11" t="inlineStr">
        <is>
          <t>未掲載</t>
        </is>
      </c>
    </row>
    <row r="36">
      <c r="A36" s="11" t="n">
        <v>33</v>
      </c>
      <c r="B36" s="11" t="inlineStr">
        <is>
          <t>昭和村</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8" t="inlineStr">
        <is>
          <t>未調査</t>
        </is>
      </c>
      <c r="T36" s="11" t="inlineStr">
        <is>
          <t>未掲載</t>
        </is>
      </c>
    </row>
    <row r="37">
      <c r="A37" s="11" t="n">
        <v>34</v>
      </c>
      <c r="B37" s="11" t="inlineStr">
        <is>
          <t>会津美里町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8" t="inlineStr">
        <is>
          <t>交通のみ調査</t>
        </is>
      </c>
      <c r="T37" s="11" t="inlineStr">
        <is>
          <t>掲載（広域：会津圏域）</t>
        </is>
      </c>
    </row>
    <row r="38">
      <c r="A38" s="11" t="n">
        <v>35</v>
      </c>
      <c r="B38" s="11" t="inlineStr">
        <is>
          <t>西郷村</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c r="T38" s="17" t="inlineStr">
        <is>
          <t>掲載／期間満了</t>
        </is>
      </c>
    </row>
    <row r="39">
      <c r="A39" s="11" t="n">
        <v>36</v>
      </c>
      <c r="B39" s="11" t="inlineStr">
        <is>
          <t>泉崎村</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8" t="inlineStr">
        <is>
          <t>交通のみ調査</t>
        </is>
      </c>
      <c r="T39" s="17" t="inlineStr">
        <is>
          <t>未掲載【当方は計画あり】</t>
        </is>
      </c>
    </row>
    <row r="40">
      <c r="A40" s="11" t="n">
        <v>37</v>
      </c>
      <c r="B40" s="11" t="inlineStr">
        <is>
          <t>中島村</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8" t="inlineStr">
        <is>
          <t>交通のみ調査</t>
        </is>
      </c>
      <c r="T40" s="17" t="inlineStr">
        <is>
          <t>未掲載【当方は計画あり】</t>
        </is>
      </c>
    </row>
    <row r="41">
      <c r="A41" s="11" t="n">
        <v>38</v>
      </c>
      <c r="B41" s="11" t="inlineStr">
        <is>
          <t>矢吹町</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c r="T41" s="11" t="inlineStr">
        <is>
          <t>掲載</t>
        </is>
      </c>
    </row>
    <row r="42">
      <c r="A42" s="11" t="n">
        <v>39</v>
      </c>
      <c r="B42" s="11" t="inlineStr">
        <is>
          <t>棚倉町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c r="T42" s="17" t="inlineStr">
        <is>
          <t>掲載／期間満了</t>
        </is>
      </c>
    </row>
    <row r="43">
      <c r="A43" s="11" t="n">
        <v>40</v>
      </c>
      <c r="B43" s="11" t="inlineStr">
        <is>
          <t>矢祭町</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8" t="inlineStr">
        <is>
          <t>交通のみ調査</t>
        </is>
      </c>
      <c r="T43" s="17" t="inlineStr">
        <is>
          <t>未掲載【当方は計画あり】</t>
        </is>
      </c>
    </row>
    <row r="44">
      <c r="A44" s="11" t="n">
        <v>41</v>
      </c>
      <c r="B44" s="11" t="inlineStr">
        <is>
          <t>塙町</t>
        </is>
      </c>
      <c r="C44" s="12">
        <f>IF(OR(D44="◎",E44="◎"),"◎ 営業",IF(OR(D44="△",E44="△"),"△ 着手済・要確認",IF(OR(D44="？",E44="？"),"？ 期間要確認","✕ 対象外")))</f>
        <v/>
      </c>
      <c r="D44" s="13">
        <f>IF(J44="計画なし","－",IF(J44="策定済","✕",IF(H44="","？",IF(AND(H44&gt;=TGT_MIN,H44&lt;=TGT_MAX),IF(J44="着手済","△","◎"),"✕"))))</f>
        <v/>
      </c>
      <c r="E44" s="13">
        <f>IF(P44="計画なし","－",IF(P44="策定済","✕",IF(N44="","？",IF(AND(N44&gt;=TGT_MIN,N44&lt;=TGT_MAX),IF(P44="着手済","△","◎"),"✕"))))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c r="T44" s="11" t="inlineStr">
        <is>
          <t>掲載</t>
        </is>
      </c>
    </row>
    <row r="45">
      <c r="A45" s="11" t="n">
        <v>42</v>
      </c>
      <c r="B45" s="11" t="inlineStr">
        <is>
          <t>鮫川村</t>
        </is>
      </c>
      <c r="C45" s="12">
        <f>IF(OR(D45="◎",E45="◎"),"◎ 営業",IF(OR(D45="△",E45="△"),"△ 着手済・要確認",IF(OR(D45="？",E45="？"),"？ 期間要確認","✕ 対象外")))</f>
        <v/>
      </c>
      <c r="D45" s="13">
        <f>IF(J45="計画なし","－",IF(J45="策定済","✕",IF(H45="","？",IF(AND(H45&gt;=TGT_MIN,H45&lt;=TGT_MAX),IF(J45="着手済","△","◎"),"✕"))))</f>
        <v/>
      </c>
      <c r="E45" s="13">
        <f>IF(P45="計画なし","－",IF(P45="策定済","✕",IF(N45="","？",IF(AND(N45&gt;=TGT_MIN,N45&lt;=TGT_MAX),IF(P45="着手済","△","◎"),"✕"))))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t>
        </is>
      </c>
      <c r="S45" s="18" t="inlineStr">
        <is>
          <t>交通のみ調査</t>
        </is>
      </c>
      <c r="T45" s="11" t="inlineStr">
        <is>
          <t>掲載</t>
        </is>
      </c>
    </row>
    <row r="46">
      <c r="A46" s="11" t="n">
        <v>43</v>
      </c>
      <c r="B46" s="11" t="inlineStr">
        <is>
          <t>石川町</t>
        </is>
      </c>
      <c r="C46" s="12">
        <f>IF(OR(D46="◎",E46="◎"),"◎ 営業",IF(OR(D46="△",E46="△"),"△ 着手済・要確認",IF(OR(D46="？",E46="？"),"？ 期間要確認","✕ 対象外")))</f>
        <v/>
      </c>
      <c r="D46" s="13">
        <f>IF(J46="計画なし","－",IF(J46="策定済","✕",IF(H46="","？",IF(AND(H46&gt;=TGT_MIN,H46&lt;=TGT_MAX),IF(J46="着手済","△","◎"),"✕"))))</f>
        <v/>
      </c>
      <c r="E46" s="13">
        <f>IF(P46="計画なし","－",IF(P46="策定済","✕",IF(N46="","？",IF(AND(N46&gt;=TGT_MIN,N46&lt;=TGT_MAX),IF(P46="着手済","△","◎"),"✕"))))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8" t="inlineStr">
        <is>
          <t>交通のみ調査</t>
        </is>
      </c>
      <c r="T46" s="11" t="inlineStr">
        <is>
          <t>掲載</t>
        </is>
      </c>
    </row>
    <row r="47">
      <c r="A47" s="11" t="n">
        <v>44</v>
      </c>
      <c r="B47" s="11" t="inlineStr">
        <is>
          <t>玉川村</t>
        </is>
      </c>
      <c r="C47" s="12">
        <f>IF(OR(D47="◎",E47="◎"),"◎ 営業",IF(OR(D47="△",E47="△"),"△ 着手済・要確認",IF(OR(D47="？",E47="？"),"？ 期間要確認","✕ 対象外")))</f>
        <v/>
      </c>
      <c r="D47" s="13">
        <f>IF(J47="計画なし","－",IF(J47="策定済","✕",IF(H47="","？",IF(AND(H47&gt;=TGT_MIN,H47&lt;=TGT_MAX),IF(J47="着手済","△","◎"),"✕"))))</f>
        <v/>
      </c>
      <c r="E47" s="13">
        <f>IF(P47="計画なし","－",IF(P47="策定済","✕",IF(N47="","？",IF(AND(N47&gt;=TGT_MIN,N47&lt;=TGT_MAX),IF(P47="着手済","△","◎"),"✕"))))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8" t="inlineStr">
        <is>
          <t>交通のみ調査</t>
        </is>
      </c>
      <c r="T47" s="17" t="inlineStr">
        <is>
          <t>掲載／期間満了</t>
        </is>
      </c>
    </row>
    <row r="48">
      <c r="A48" s="11" t="n">
        <v>45</v>
      </c>
      <c r="B48" s="11" t="inlineStr">
        <is>
          <t>平田村</t>
        </is>
      </c>
      <c r="C48" s="12">
        <f>IF(OR(D48="◎",E48="◎"),"◎ 営業",IF(OR(D48="△",E48="△"),"△ 着手済・要確認",IF(OR(D48="？",E48="？"),"？ 期間要確認","✕ 対象外")))</f>
        <v/>
      </c>
      <c r="D48" s="13">
        <f>IF(J48="計画なし","－",IF(J48="策定済","✕",IF(H48="","？",IF(AND(H48&gt;=TGT_MIN,H48&lt;=TGT_MAX),IF(J48="着手済","△","◎"),"✕"))))</f>
        <v/>
      </c>
      <c r="E48" s="13">
        <f>IF(P48="計画なし","－",IF(P48="策定済","✕",IF(N48="","？",IF(AND(N48&gt;=TGT_MIN,N48&lt;=TGT_MAX),IF(P48="着手済","△","◎"),"✕"))))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8" t="inlineStr">
        <is>
          <t>交通のみ調査</t>
        </is>
      </c>
      <c r="T48" s="17" t="inlineStr">
        <is>
          <t>未掲載【当方は計画あり】</t>
        </is>
      </c>
    </row>
    <row r="49">
      <c r="A49" s="11" t="n">
        <v>46</v>
      </c>
      <c r="B49" s="11" t="inlineStr">
        <is>
          <t>浅川町</t>
        </is>
      </c>
      <c r="C49" s="12">
        <f>IF(OR(D49="◎",E49="◎"),"◎ 営業",IF(OR(D49="△",E49="△"),"△ 着手済・要確認",IF(OR(D49="？",E49="？"),"？ 期間要確認","✕ 対象外")))</f>
        <v/>
      </c>
      <c r="D49" s="13">
        <f>IF(J49="計画なし","－",IF(J49="策定済","✕",IF(H49="","？",IF(AND(H49&gt;=TGT_MIN,H49&lt;=TGT_MAX),IF(J49="着手済","△","◎"),"✕"))))</f>
        <v/>
      </c>
      <c r="E49" s="13">
        <f>IF(P49="計画なし","－",IF(P49="策定済","✕",IF(N49="","？",IF(AND(N49&gt;=TGT_MIN,N49&lt;=TGT_MAX),IF(P49="着手済","△","◎"),"✕"))))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c r="T49" s="17" t="inlineStr">
        <is>
          <t>未掲載【当方は計画あり】</t>
        </is>
      </c>
    </row>
    <row r="50">
      <c r="A50" s="11" t="n">
        <v>47</v>
      </c>
      <c r="B50" s="11" t="inlineStr">
        <is>
          <t>古殿町</t>
        </is>
      </c>
      <c r="C50" s="12">
        <f>IF(OR(D50="◎",E50="◎"),"◎ 営業",IF(OR(D50="△",E50="△"),"△ 着手済・要確認",IF(OR(D50="？",E50="？"),"？ 期間要確認","✕ 対象外")))</f>
        <v/>
      </c>
      <c r="D50" s="13">
        <f>IF(J50="計画なし","－",IF(J50="策定済","✕",IF(H50="","？",IF(AND(H50&gt;=TGT_MIN,H50&lt;=TGT_MAX),IF(J50="着手済","△","◎"),"✕"))))</f>
        <v/>
      </c>
      <c r="E50" s="13">
        <f>IF(P50="計画なし","－",IF(P50="策定済","✕",IF(N50="","？",IF(AND(N50&gt;=TGT_MIN,N50&lt;=TGT_MAX),IF(P50="着手済","△","◎"),"✕"))))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8" t="inlineStr">
        <is>
          <t>交通のみ調査</t>
        </is>
      </c>
      <c r="T50" s="17" t="inlineStr">
        <is>
          <t>未掲載【当方は計画あり】</t>
        </is>
      </c>
    </row>
    <row r="51">
      <c r="A51" s="11" t="n">
        <v>48</v>
      </c>
      <c r="B51" s="11" t="inlineStr">
        <is>
          <t>三春町</t>
        </is>
      </c>
      <c r="C51" s="12">
        <f>IF(OR(D51="◎",E51="◎"),"◎ 営業",IF(OR(D51="△",E51="△"),"△ 着手済・要確認",IF(OR(D51="？",E51="？"),"？ 期間要確認","✕ 対象外")))</f>
        <v/>
      </c>
      <c r="D51" s="13">
        <f>IF(J51="計画なし","－",IF(J51="策定済","✕",IF(H51="","？",IF(AND(H51&gt;=TGT_MIN,H51&lt;=TGT_MAX),IF(J51="着手済","△","◎"),"✕"))))</f>
        <v/>
      </c>
      <c r="E51" s="13">
        <f>IF(P51="計画なし","－",IF(P51="策定済","✕",IF(N51="","？",IF(AND(N51&gt;=TGT_MIN,N51&lt;=TGT_MAX),IF(P51="着手済","△","◎"),"✕"))))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c r="T51" s="11" t="inlineStr">
        <is>
          <t>掲載</t>
        </is>
      </c>
    </row>
    <row r="52">
      <c r="A52" s="11" t="n">
        <v>49</v>
      </c>
      <c r="B52" s="11" t="inlineStr">
        <is>
          <t>小野町</t>
        </is>
      </c>
      <c r="C52" s="12">
        <f>IF(OR(D52="◎",E52="◎"),"◎ 営業",IF(OR(D52="△",E52="△"),"△ 着手済・要確認",IF(OR(D52="？",E52="？"),"？ 期間要確認","✕ 対象外")))</f>
        <v/>
      </c>
      <c r="D52" s="13">
        <f>IF(J52="計画なし","－",IF(J52="策定済","✕",IF(H52="","？",IF(AND(H52&gt;=TGT_MIN,H52&lt;=TGT_MAX),IF(J52="着手済","△","◎"),"✕"))))</f>
        <v/>
      </c>
      <c r="E52" s="13">
        <f>IF(P52="計画なし","－",IF(P52="策定済","✕",IF(N52="","？",IF(AND(N52&gt;=TGT_MIN,N52&lt;=TGT_MAX),IF(P52="着手済","△","◎"),"✕"))))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c r="T52" s="11" t="inlineStr">
        <is>
          <t>掲載</t>
        </is>
      </c>
    </row>
    <row r="53">
      <c r="A53" s="11" t="n">
        <v>50</v>
      </c>
      <c r="B53" s="11" t="inlineStr">
        <is>
          <t>広野町</t>
        </is>
      </c>
      <c r="C53" s="12">
        <f>IF(OR(D53="◎",E53="◎"),"◎ 営業",IF(OR(D53="△",E53="△"),"△ 着手済・要確認",IF(OR(D53="？",E53="？"),"？ 期間要確認","✕ 対象外")))</f>
        <v/>
      </c>
      <c r="D53" s="13">
        <f>IF(J53="計画なし","－",IF(J53="策定済","✕",IF(H53="","？",IF(AND(H53&gt;=TGT_MIN,H53&lt;=TGT_MAX),IF(J53="着手済","△","◎"),"✕"))))</f>
        <v/>
      </c>
      <c r="E53" s="13">
        <f>IF(P53="計画なし","－",IF(P53="策定済","✕",IF(N53="","？",IF(AND(N53&gt;=TGT_MIN,N53&lt;=TGT_MAX),IF(P53="着手済","△","◎"),"✕"))))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5" t="inlineStr">
        <is>
          <t>調査済</t>
        </is>
      </c>
      <c r="T53" s="11" t="inlineStr">
        <is>
          <t>掲載（広域：福島県避難地域）</t>
        </is>
      </c>
    </row>
    <row r="54">
      <c r="A54" s="11" t="n">
        <v>51</v>
      </c>
      <c r="B54" s="11" t="inlineStr">
        <is>
          <t>楢葉町</t>
        </is>
      </c>
      <c r="C54" s="12">
        <f>IF(OR(D54="◎",E54="◎"),"◎ 営業",IF(OR(D54="△",E54="△"),"△ 着手済・要確認",IF(OR(D54="？",E54="？"),"？ 期間要確認","✕ 対象外")))</f>
        <v/>
      </c>
      <c r="D54" s="13">
        <f>IF(J54="計画なし","－",IF(J54="策定済","✕",IF(H54="","？",IF(AND(H54&gt;=TGT_MIN,H54&lt;=TGT_MAX),IF(J54="着手済","△","◎"),"✕"))))</f>
        <v/>
      </c>
      <c r="E54" s="13">
        <f>IF(P54="計画なし","－",IF(P54="策定済","✕",IF(N54="","？",IF(AND(N54&gt;=TGT_MIN,N54&lt;=TGT_MAX),IF(P54="着手済","△","◎"),"✕"))))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5" t="inlineStr">
        <is>
          <t>調査済</t>
        </is>
      </c>
      <c r="T54" s="11" t="inlineStr">
        <is>
          <t>掲載（広域：福島県避難地域）</t>
        </is>
      </c>
    </row>
    <row r="55">
      <c r="A55" s="11" t="n">
        <v>52</v>
      </c>
      <c r="B55" s="11" t="inlineStr">
        <is>
          <t>富岡町</t>
        </is>
      </c>
      <c r="C55" s="12">
        <f>IF(OR(D55="◎",E55="◎"),"◎ 営業",IF(OR(D55="△",E55="△"),"△ 着手済・要確認",IF(OR(D55="？",E55="？"),"？ 期間要確認","✕ 対象外")))</f>
        <v/>
      </c>
      <c r="D55" s="13">
        <f>IF(J55="計画なし","－",IF(J55="策定済","✕",IF(H55="","？",IF(AND(H55&gt;=TGT_MIN,H55&lt;=TGT_MAX),IF(J55="着手済","△","◎"),"✕"))))</f>
        <v/>
      </c>
      <c r="E55" s="13">
        <f>IF(P55="計画なし","－",IF(P55="策定済","✕",IF(N55="","？",IF(AND(N55&gt;=TGT_MIN,N55&lt;=TGT_MAX),IF(P55="着手済","△","◎"),"✕"))))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5" t="inlineStr">
        <is>
          <t>調査済</t>
        </is>
      </c>
      <c r="T55" s="11" t="inlineStr">
        <is>
          <t>掲載（広域：福島県避難地域）</t>
        </is>
      </c>
    </row>
    <row r="56">
      <c r="A56" s="11" t="n">
        <v>53</v>
      </c>
      <c r="B56" s="11" t="inlineStr">
        <is>
          <t>川内村</t>
        </is>
      </c>
      <c r="C56" s="12">
        <f>IF(OR(D56="◎",E56="◎"),"◎ 営業",IF(OR(D56="△",E56="△"),"△ 着手済・要確認",IF(OR(D56="？",E56="？"),"？ 期間要確認","✕ 対象外")))</f>
        <v/>
      </c>
      <c r="D56" s="13">
        <f>IF(J56="計画なし","－",IF(J56="策定済","✕",IF(H56="","？",IF(AND(H56&gt;=TGT_MIN,H56&lt;=TGT_MAX),IF(J56="着手済","△","◎"),"✕"))))</f>
        <v/>
      </c>
      <c r="E56" s="13">
        <f>IF(P56="計画なし","－",IF(P56="策定済","✕",IF(N56="","？",IF(AND(N56&gt;=TGT_MIN,N56&lt;=TGT_MAX),IF(P56="着手済","△","◎"),"✕"))))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6" s="18" t="inlineStr">
        <is>
          <t>交通のみ調査</t>
        </is>
      </c>
      <c r="T56" s="11" t="inlineStr">
        <is>
          <t>掲載（広域：福島県避難地域）</t>
        </is>
      </c>
    </row>
    <row r="57">
      <c r="A57" s="11" t="n">
        <v>54</v>
      </c>
      <c r="B57" s="11" t="inlineStr">
        <is>
          <t>大熊町</t>
        </is>
      </c>
      <c r="C57" s="12">
        <f>IF(OR(D57="◎",E57="◎"),"◎ 営業",IF(OR(D57="△",E57="△"),"△ 着手済・要確認",IF(OR(D57="？",E57="？"),"？ 期間要確認","✕ 対象外")))</f>
        <v/>
      </c>
      <c r="D57" s="13">
        <f>IF(J57="計画なし","－",IF(J57="策定済","✕",IF(H57="","？",IF(AND(H57&gt;=TGT_MIN,H57&lt;=TGT_MAX),IF(J57="着手済","△","◎"),"✕"))))</f>
        <v/>
      </c>
      <c r="E57" s="13">
        <f>IF(P57="計画なし","－",IF(P57="策定済","✕",IF(N57="","？",IF(AND(N57&gt;=TGT_MIN,N57&lt;=TGT_MAX),IF(P57="着手済","△","◎"),"✕"))))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5" t="inlineStr">
        <is>
          <t>調査済</t>
        </is>
      </c>
      <c r="T57" s="11" t="inlineStr">
        <is>
          <t>掲載（広域：福島県避難地域）</t>
        </is>
      </c>
    </row>
    <row r="58">
      <c r="A58" s="11" t="n">
        <v>55</v>
      </c>
      <c r="B58" s="11" t="inlineStr">
        <is>
          <t>双葉町</t>
        </is>
      </c>
      <c r="C58" s="12">
        <f>IF(OR(D58="◎",E58="◎"),"◎ 営業",IF(OR(D58="△",E58="△"),"△ 着手済・要確認",IF(OR(D58="？",E58="？"),"？ 期間要確認","✕ 対象外")))</f>
        <v/>
      </c>
      <c r="D58" s="13">
        <f>IF(J58="計画なし","－",IF(J58="策定済","✕",IF(H58="","？",IF(AND(H58&gt;=TGT_MIN,H58&lt;=TGT_MAX),IF(J58="着手済","△","◎"),"✕"))))</f>
        <v/>
      </c>
      <c r="E58" s="13">
        <f>IF(P58="計画なし","－",IF(P58="策定済","✕",IF(N58="","？",IF(AND(N58&gt;=TGT_MIN,N58&lt;=TGT_MAX),IF(P58="着手済","△","◎"),"✕"))))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8" s="18" t="inlineStr">
        <is>
          <t>交通のみ調査</t>
        </is>
      </c>
      <c r="T58" s="11" t="inlineStr">
        <is>
          <t>掲載（広域：福島県避難地域）</t>
        </is>
      </c>
    </row>
    <row r="59">
      <c r="A59" s="11" t="n">
        <v>56</v>
      </c>
      <c r="B59" s="11" t="inlineStr">
        <is>
          <t>浪江町</t>
        </is>
      </c>
      <c r="C59" s="12">
        <f>IF(OR(D59="◎",E59="◎"),"◎ 営業",IF(OR(D59="△",E59="△"),"△ 着手済・要確認",IF(OR(D59="？",E59="？"),"？ 期間要確認","✕ 対象外")))</f>
        <v/>
      </c>
      <c r="D59" s="13">
        <f>IF(J59="計画なし","－",IF(J59="策定済","✕",IF(H59="","？",IF(AND(H59&gt;=TGT_MIN,H59&lt;=TGT_MAX),IF(J59="着手済","△","◎"),"✕"))))</f>
        <v/>
      </c>
      <c r="E59" s="13">
        <f>IF(P59="計画なし","－",IF(P59="策定済","✕",IF(N59="","？",IF(AND(N59&gt;=TGT_MIN,N59&lt;=TGT_MAX),IF(P59="着手済","△","◎"),"✕"))))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5" t="inlineStr">
        <is>
          <t>調査済</t>
        </is>
      </c>
      <c r="T59" s="11" t="inlineStr">
        <is>
          <t>掲載（広域：福島県避難地域）</t>
        </is>
      </c>
    </row>
    <row r="60">
      <c r="A60" s="11" t="n">
        <v>57</v>
      </c>
      <c r="B60" s="11" t="inlineStr">
        <is>
          <t>葛尾村</t>
        </is>
      </c>
      <c r="C60" s="12">
        <f>IF(OR(D60="◎",E60="◎"),"◎ 営業",IF(OR(D60="△",E60="△"),"△ 着手済・要確認",IF(OR(D60="？",E60="？"),"？ 期間要確認","✕ 対象外")))</f>
        <v/>
      </c>
      <c r="D60" s="13">
        <f>IF(J60="計画なし","－",IF(J60="策定済","✕",IF(H60="","？",IF(AND(H60&gt;=TGT_MIN,H60&lt;=TGT_MAX),IF(J60="着手済","△","◎"),"✕"))))</f>
        <v/>
      </c>
      <c r="E60" s="13">
        <f>IF(P60="計画なし","－",IF(P60="策定済","✕",IF(N60="","？",IF(AND(N60&gt;=TGT_MIN,N60&lt;=TGT_MAX),IF(P60="着手済","△","◎"),"✕"))))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0" s="18" t="inlineStr">
        <is>
          <t>交通のみ調査</t>
        </is>
      </c>
      <c r="T60" s="11" t="inlineStr">
        <is>
          <t>掲載（広域：福島県避難地域）</t>
        </is>
      </c>
    </row>
    <row r="61">
      <c r="A61" s="11" t="n">
        <v>58</v>
      </c>
      <c r="B61" s="11" t="inlineStr">
        <is>
          <t>新地町</t>
        </is>
      </c>
      <c r="C61" s="12">
        <f>IF(OR(D61="◎",E61="◎"),"◎ 営業",IF(OR(D61="△",E61="△"),"△ 着手済・要確認",IF(OR(D61="？",E61="？"),"？ 期間要確認","✕ 対象外")))</f>
        <v/>
      </c>
      <c r="D61" s="13">
        <f>IF(J61="計画なし","－",IF(J61="策定済","✕",IF(H61="","？",IF(AND(H61&gt;=TGT_MIN,H61&lt;=TGT_MAX),IF(J61="着手済","△","◎"),"✕"))))</f>
        <v/>
      </c>
      <c r="E61" s="13">
        <f>IF(P61="計画なし","－",IF(P61="策定済","✕",IF(N61="","？",IF(AND(N61&gt;=TGT_MIN,N61&lt;=TGT_MAX),IF(P61="着手済","△","◎"),"✕"))))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8" t="inlineStr">
        <is>
          <t>交通のみ調査</t>
        </is>
      </c>
      <c r="T61" s="17" t="inlineStr">
        <is>
          <t>未掲載【当方は計画あり】</t>
        </is>
      </c>
    </row>
    <row r="62">
      <c r="A62" s="11" t="n">
        <v>59</v>
      </c>
      <c r="B62" s="11" t="inlineStr">
        <is>
          <t>飯舘村</t>
        </is>
      </c>
      <c r="C62" s="12">
        <f>IF(OR(D62="◎",E62="◎"),"◎ 営業",IF(OR(D62="△",E62="△"),"△ 着手済・要確認",IF(OR(D62="？",E62="？"),"？ 期間要確認","✕ 対象外")))</f>
        <v/>
      </c>
      <c r="D62" s="13">
        <f>IF(J62="計画なし","－",IF(J62="策定済","✕",IF(H62="","？",IF(AND(H62&gt;=TGT_MIN,H62&lt;=TGT_MAX),IF(J62="着手済","△","◎"),"✕"))))</f>
        <v/>
      </c>
      <c r="E62" s="13">
        <f>IF(P62="計画なし","－",IF(P62="策定済","✕",IF(N62="","？",IF(AND(N62&gt;=TGT_MIN,N62&lt;=TGT_MAX),IF(P62="着手済","△","◎"),"✕"))))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5" t="inlineStr">
        <is>
          <t>調査済</t>
        </is>
      </c>
      <c r="T62" s="11" t="inlineStr">
        <is>
          <t>掲載（広域：福島県避難地域）</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茨城県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水戸市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c r="T4" s="11" t="inlineStr">
        <is>
          <t>掲載</t>
        </is>
      </c>
    </row>
    <row r="5">
      <c r="A5" s="11" t="n">
        <v>2</v>
      </c>
      <c r="B5" s="11" t="inlineStr">
        <is>
          <t>日立市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c r="T5" s="11" t="inlineStr">
        <is>
          <t>掲載</t>
        </is>
      </c>
    </row>
    <row r="6">
      <c r="A6" s="11" t="n">
        <v>3</v>
      </c>
      <c r="B6" s="11" t="inlineStr">
        <is>
          <t>土浦市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c r="T6" s="11" t="inlineStr">
        <is>
          <t>掲載</t>
        </is>
      </c>
    </row>
    <row r="7">
      <c r="A7" s="11" t="n">
        <v>4</v>
      </c>
      <c r="B7" s="11" t="inlineStr">
        <is>
          <t>古河市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古河市地域公共交通計画</t>
        </is>
      </c>
      <c r="G7" s="11" t="inlineStr">
        <is>
          <t>R6〜R10</t>
        </is>
      </c>
      <c r="H7" s="13" t="n">
        <v>10</v>
      </c>
      <c r="I7" s="13" t="inlineStr">
        <is>
          <t>確認済</t>
        </is>
      </c>
      <c r="J7" s="13" t="inlineStr">
        <is>
          <t>未確認</t>
        </is>
      </c>
      <c r="K7" s="14" t="inlineStr">
        <is>
          <t>https://www.city.ibaraki-koga.lg.jp/material/files/group/80/kogasikoukyoukoutuukeikaku2.pdf</t>
        </is>
      </c>
      <c r="L7" s="11" t="inlineStr">
        <is>
          <t>第2次古河市環境基本計画</t>
        </is>
      </c>
      <c r="M7" s="11" t="inlineStr">
        <is>
          <t>R4〜R13</t>
        </is>
      </c>
      <c r="N7" s="13" t="n">
        <v>13</v>
      </c>
      <c r="O7" s="13" t="inlineStr">
        <is>
          <t>確認済</t>
        </is>
      </c>
      <c r="P7" s="13" t="inlineStr">
        <is>
          <t>未確認</t>
        </is>
      </c>
      <c r="Q7" s="14" t="inlineStr">
        <is>
          <t>https://www.city.ibaraki-koga.lg.jp/material/files/group/21/kankyoukeikakuhyousi.pdf</t>
        </is>
      </c>
      <c r="R7" s="11"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5" t="inlineStr">
        <is>
          <t>調査済</t>
        </is>
      </c>
      <c r="T7" s="11" t="inlineStr">
        <is>
          <t>掲載</t>
        </is>
      </c>
    </row>
    <row r="8">
      <c r="A8" s="11" t="n">
        <v>5</v>
      </c>
      <c r="B8" s="11" t="inlineStr">
        <is>
          <t>石岡市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石岡市地域公共交通計画</t>
        </is>
      </c>
      <c r="G8" s="11" t="inlineStr">
        <is>
          <t>R6〜R10</t>
        </is>
      </c>
      <c r="H8" s="13" t="n">
        <v>10</v>
      </c>
      <c r="I8" s="13" t="inlineStr">
        <is>
          <t>確認済</t>
        </is>
      </c>
      <c r="J8" s="13" t="inlineStr">
        <is>
          <t>未確認</t>
        </is>
      </c>
      <c r="K8" s="14" t="inlineStr">
        <is>
          <t>https://www.city.ishioka.lg.jp/data/doc/1712650110_doc_103_0.pdf</t>
        </is>
      </c>
      <c r="L8" s="11" t="inlineStr">
        <is>
          <t>石岡市環境基本計画（いしおかスタイル）</t>
        </is>
      </c>
      <c r="M8" s="11" t="inlineStr">
        <is>
          <t>R4〜R13</t>
        </is>
      </c>
      <c r="N8" s="13" t="n">
        <v>13</v>
      </c>
      <c r="O8" s="13" t="inlineStr">
        <is>
          <t>確認済</t>
        </is>
      </c>
      <c r="P8" s="13" t="inlineStr">
        <is>
          <t>未確認</t>
        </is>
      </c>
      <c r="Q8" s="14" t="inlineStr">
        <is>
          <t>https://www.city.ishioka.lg.jp/data/doc/1749196597_doc_45_0.pdf</t>
        </is>
      </c>
      <c r="R8" s="11" t="inlineStr">
        <is>
          <t>交通計画は網形成計画(H31.3策定,〜R5)の後継でR6〜R10。環境基本計画はR4〜R13の10年（前計画H25.3）。URLは検索結果上位の市PDFで、どのファイルが計画本体かは要確認。R9終了ではない。</t>
        </is>
      </c>
      <c r="S8" s="15" t="inlineStr">
        <is>
          <t>調査済</t>
        </is>
      </c>
      <c r="T8" s="11" t="inlineStr">
        <is>
          <t>掲載</t>
        </is>
      </c>
    </row>
    <row r="9">
      <c r="A9" s="11" t="n">
        <v>6</v>
      </c>
      <c r="B9" s="11" t="inlineStr">
        <is>
          <t>結城市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n"/>
      <c r="G9" s="11" t="inlineStr">
        <is>
          <t>不明</t>
        </is>
      </c>
      <c r="H9" s="13" t="n"/>
      <c r="I9" s="13" t="inlineStr">
        <is>
          <t>不明</t>
        </is>
      </c>
      <c r="J9" s="13" t="inlineStr">
        <is>
          <t>未確認</t>
        </is>
      </c>
      <c r="K9" s="11" t="n"/>
      <c r="L9" s="11" t="inlineStr">
        <is>
          <t>第2次結城市環境基本計画</t>
        </is>
      </c>
      <c r="M9" s="11" t="inlineStr">
        <is>
          <t>R3〜R12</t>
        </is>
      </c>
      <c r="N9" s="13" t="n">
        <v>12</v>
      </c>
      <c r="O9" s="13" t="inlineStr">
        <is>
          <t>確認済</t>
        </is>
      </c>
      <c r="P9" s="13" t="inlineStr">
        <is>
          <t>未確認</t>
        </is>
      </c>
      <c r="Q9" s="14" t="inlineStr">
        <is>
          <t>https://www.city.yuki.lg.jp/shisei/publiccomment/r02/page006785.html</t>
        </is>
      </c>
      <c r="R9" s="11"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t>
        </is>
      </c>
      <c r="S9" s="18" t="inlineStr">
        <is>
          <t>環境のみ調査</t>
        </is>
      </c>
      <c r="T9" s="17" t="inlineStr">
        <is>
          <t>掲載【当方未把握】</t>
        </is>
      </c>
    </row>
    <row r="10">
      <c r="A10" s="11" t="n">
        <v>7</v>
      </c>
      <c r="B10" s="11" t="inlineStr">
        <is>
          <t>龍ケ崎市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龍ケ崎市地域公共交通計画</t>
        </is>
      </c>
      <c r="G10" s="11" t="inlineStr">
        <is>
          <t>R5〜R11</t>
        </is>
      </c>
      <c r="H10" s="13" t="n">
        <v>11</v>
      </c>
      <c r="I10" s="13" t="inlineStr">
        <is>
          <t>確認済</t>
        </is>
      </c>
      <c r="J10" s="13" t="inlineStr">
        <is>
          <t>未確認</t>
        </is>
      </c>
      <c r="K10" s="14" t="inlineStr">
        <is>
          <t>https://www.city.ryugasaki.ibaraki.jp/kurashi/seikatsu/kokyokotsu/keikaku/20220329131428914.files/01.pdf</t>
        </is>
      </c>
      <c r="L10" s="11" t="inlineStr">
        <is>
          <t>龍ケ崎市第2次環境基本計画</t>
        </is>
      </c>
      <c r="M10" s="11" t="inlineStr">
        <is>
          <t>H29〜R8</t>
        </is>
      </c>
      <c r="N10" s="13" t="n">
        <v>8</v>
      </c>
      <c r="O10" s="13" t="inlineStr">
        <is>
          <t>確認済</t>
        </is>
      </c>
      <c r="P10" s="13" t="inlineStr">
        <is>
          <t>着手済</t>
        </is>
      </c>
      <c r="Q10" s="14" t="inlineStr">
        <is>
          <t>https://www.city.ryugasaki.ibaraki.jp/kurashi/kankyo/kankyo/kankyohakusyo/r7-kakyohakusyo.files/R7kankyo-hakusyo.pdf</t>
        </is>
      </c>
      <c r="R10" s="11"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5" t="inlineStr">
        <is>
          <t>調査済</t>
        </is>
      </c>
      <c r="T10" s="11" t="inlineStr">
        <is>
          <t>掲載</t>
        </is>
      </c>
    </row>
    <row r="11">
      <c r="A11" s="11" t="n">
        <v>8</v>
      </c>
      <c r="B11" s="11" t="inlineStr">
        <is>
          <t>下妻市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下妻市地域公共交通網形成計画（現行計画不明）</t>
        </is>
      </c>
      <c r="G11" s="11" t="inlineStr">
        <is>
          <t>不明</t>
        </is>
      </c>
      <c r="H11" s="13" t="n"/>
      <c r="I11" s="13" t="inlineStr">
        <is>
          <t>不明</t>
        </is>
      </c>
      <c r="J11" s="13" t="inlineStr">
        <is>
          <t>未確認</t>
        </is>
      </c>
      <c r="K11" s="11" t="n"/>
      <c r="L11" s="11" t="inlineStr">
        <is>
          <t>第2次下妻市環境基本計画</t>
        </is>
      </c>
      <c r="M11" s="11" t="inlineStr">
        <is>
          <t>不明</t>
        </is>
      </c>
      <c r="N11" s="13" t="n"/>
      <c r="O11" s="13" t="inlineStr">
        <is>
          <t>不明</t>
        </is>
      </c>
      <c r="P11" s="13" t="inlineStr">
        <is>
          <t>未確認</t>
        </is>
      </c>
      <c r="Q11" s="11" t="n"/>
      <c r="R11" s="11"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t>
        </is>
      </c>
      <c r="S11" s="15" t="inlineStr">
        <is>
          <t>調査済</t>
        </is>
      </c>
      <c r="T11" s="11" t="inlineStr">
        <is>
          <t>掲載</t>
        </is>
      </c>
    </row>
    <row r="12">
      <c r="A12" s="11" t="n">
        <v>9</v>
      </c>
      <c r="B12" s="11" t="inlineStr">
        <is>
          <t>常総市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常総市地域公共交通計画</t>
        </is>
      </c>
      <c r="G12" s="11" t="inlineStr">
        <is>
          <t>不明</t>
        </is>
      </c>
      <c r="H12" s="13" t="n"/>
      <c r="I12" s="13" t="inlineStr">
        <is>
          <t>不明</t>
        </is>
      </c>
      <c r="J12" s="13" t="inlineStr">
        <is>
          <t>未確認</t>
        </is>
      </c>
      <c r="K12" s="11" t="n"/>
      <c r="L12" s="11" t="inlineStr">
        <is>
          <t>常総市環境基本計画</t>
        </is>
      </c>
      <c r="M12" s="11" t="inlineStr">
        <is>
          <t>H30〜（期間不明）</t>
        </is>
      </c>
      <c r="N12" s="13" t="n"/>
      <c r="O12" s="13" t="inlineStr">
        <is>
          <t>不明</t>
        </is>
      </c>
      <c r="P12" s="13" t="inlineStr">
        <is>
          <t>未確認</t>
        </is>
      </c>
      <c r="Q12" s="11" t="n"/>
      <c r="R12" s="11"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t>
        </is>
      </c>
      <c r="S12" s="15" t="inlineStr">
        <is>
          <t>調査済</t>
        </is>
      </c>
      <c r="T12" s="11" t="inlineStr">
        <is>
          <t>掲載</t>
        </is>
      </c>
    </row>
    <row r="13">
      <c r="A13" s="11" t="n">
        <v>10</v>
      </c>
      <c r="B13" s="11" t="inlineStr">
        <is>
          <t>常陸太田市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常陸太田市地域公共交通計画</t>
        </is>
      </c>
      <c r="G13" s="11" t="inlineStr">
        <is>
          <t>R4〜R8（推定）</t>
        </is>
      </c>
      <c r="H13" s="16" t="n">
        <v>8</v>
      </c>
      <c r="I13" s="13" t="inlineStr">
        <is>
          <t>推定</t>
        </is>
      </c>
      <c r="J13" s="13" t="inlineStr">
        <is>
          <t>着手済</t>
        </is>
      </c>
      <c r="K13" s="14" t="inlineStr">
        <is>
          <t>https://www.city.hitachiota.ibaraki.jp/data/doc/1651137157_doc_40_0.pdf</t>
        </is>
      </c>
      <c r="L13" s="11" t="inlineStr">
        <is>
          <t>第4次常陸太田市環境基本計画</t>
        </is>
      </c>
      <c r="M13" s="11" t="inlineStr">
        <is>
          <t>R6〜R10</t>
        </is>
      </c>
      <c r="N13" s="13" t="n">
        <v>10</v>
      </c>
      <c r="O13" s="13" t="inlineStr">
        <is>
          <t>確認済</t>
        </is>
      </c>
      <c r="P13" s="13" t="inlineStr">
        <is>
          <t>未確認</t>
        </is>
      </c>
      <c r="Q13" s="14" t="inlineStr">
        <is>
          <t>https://www.city.hitachiota.ibaraki.jp/page/page009600.html</t>
        </is>
      </c>
      <c r="R13" s="11"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5" t="inlineStr">
        <is>
          <t>調査済</t>
        </is>
      </c>
      <c r="T13" s="11" t="inlineStr">
        <is>
          <t>掲載</t>
        </is>
      </c>
    </row>
    <row r="14">
      <c r="A14" s="11" t="n">
        <v>11</v>
      </c>
      <c r="B14" s="11" t="inlineStr">
        <is>
          <t>高萩市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n"/>
      <c r="G14" s="11" t="inlineStr">
        <is>
          <t>不明</t>
        </is>
      </c>
      <c r="H14" s="13" t="n"/>
      <c r="I14" s="13" t="inlineStr">
        <is>
          <t>不明</t>
        </is>
      </c>
      <c r="J14" s="13" t="inlineStr">
        <is>
          <t>未確認</t>
        </is>
      </c>
      <c r="K14" s="11" t="n"/>
      <c r="L14" s="11" t="inlineStr">
        <is>
          <t>第2次高萩市環境基本計画</t>
        </is>
      </c>
      <c r="M14" s="11" t="inlineStr">
        <is>
          <t>R3〜R12</t>
        </is>
      </c>
      <c r="N14" s="13" t="n">
        <v>12</v>
      </c>
      <c r="O14" s="13" t="inlineStr">
        <is>
          <t>確認済</t>
        </is>
      </c>
      <c r="P14" s="13" t="inlineStr">
        <is>
          <t>未確認</t>
        </is>
      </c>
      <c r="Q14" s="14" t="inlineStr">
        <is>
          <t>https://www.city.takahagi.ibaraki.jp/kurashi/sumai/kankyou/ondanka/page004519.html</t>
        </is>
      </c>
      <c r="R14" s="11"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t>
        </is>
      </c>
      <c r="S14" s="18" t="inlineStr">
        <is>
          <t>環境のみ調査</t>
        </is>
      </c>
      <c r="T14" s="17" t="inlineStr">
        <is>
          <t>掲載【当方未把握】</t>
        </is>
      </c>
    </row>
    <row r="15">
      <c r="A15" s="11" t="n">
        <v>12</v>
      </c>
      <c r="B15" s="11" t="inlineStr">
        <is>
          <t>北茨城市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c r="T15" s="11" t="inlineStr">
        <is>
          <t>掲載</t>
        </is>
      </c>
    </row>
    <row r="16">
      <c r="A16" s="11" t="n">
        <v>13</v>
      </c>
      <c r="B16" s="11" t="inlineStr">
        <is>
          <t>笠間市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c r="T16" s="17" t="inlineStr">
        <is>
          <t>未掲載【当方は計画あり】</t>
        </is>
      </c>
    </row>
    <row r="17">
      <c r="A17" s="11" t="n">
        <v>14</v>
      </c>
      <c r="B17" s="11" t="inlineStr">
        <is>
          <t>取手市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c r="T17" s="11" t="inlineStr">
        <is>
          <t>掲載</t>
        </is>
      </c>
    </row>
    <row r="18">
      <c r="A18" s="11" t="n">
        <v>15</v>
      </c>
      <c r="B18" s="11" t="inlineStr">
        <is>
          <t>牛久市</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c r="T18" s="11" t="inlineStr">
        <is>
          <t>掲載</t>
        </is>
      </c>
    </row>
    <row r="19">
      <c r="A19" s="11" t="n">
        <v>16</v>
      </c>
      <c r="B19" s="11" t="inlineStr">
        <is>
          <t>つくば市</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第2次つくば市地域公共交通計画</t>
        </is>
      </c>
      <c r="G19" s="11" t="inlineStr">
        <is>
          <t>R8〜R12</t>
        </is>
      </c>
      <c r="H19" s="13" t="n">
        <v>12</v>
      </c>
      <c r="I19" s="13" t="inlineStr">
        <is>
          <t>確認済</t>
        </is>
      </c>
      <c r="J19" s="13" t="inlineStr">
        <is>
          <t>策定済</t>
        </is>
      </c>
      <c r="K19" s="11" t="n"/>
      <c r="L19" s="11" t="inlineStr">
        <is>
          <t>第3次つくば市環境基本計画</t>
        </is>
      </c>
      <c r="M19" s="11" t="inlineStr">
        <is>
          <t>R2〜R11</t>
        </is>
      </c>
      <c r="N19" s="13" t="n">
        <v>11</v>
      </c>
      <c r="O19" s="13" t="inlineStr">
        <is>
          <t>確認済</t>
        </is>
      </c>
      <c r="P19" s="13" t="inlineStr">
        <is>
          <t>未確認</t>
        </is>
      </c>
      <c r="Q19" s="14" t="inlineStr">
        <is>
          <t>https://www.city.tsukuba.lg.jp/material/files/group/137/3honpen.pdf</t>
        </is>
      </c>
      <c r="R19" s="11"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5" t="inlineStr">
        <is>
          <t>調査済</t>
        </is>
      </c>
      <c r="T19" s="11" t="inlineStr">
        <is>
          <t>掲載</t>
        </is>
      </c>
    </row>
    <row r="20">
      <c r="A20" s="11" t="n">
        <v>17</v>
      </c>
      <c r="B20" s="11" t="inlineStr">
        <is>
          <t>ひたちなか市</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ひたちなか市地域公共交通計画</t>
        </is>
      </c>
      <c r="G20" s="11" t="inlineStr">
        <is>
          <t>R8〜R12</t>
        </is>
      </c>
      <c r="H20" s="13" t="n">
        <v>12</v>
      </c>
      <c r="I20" s="13" t="inlineStr">
        <is>
          <t>確認済</t>
        </is>
      </c>
      <c r="J20" s="13" t="inlineStr">
        <is>
          <t>策定済</t>
        </is>
      </c>
      <c r="K20" s="14" t="inlineStr">
        <is>
          <t>https://www.city.hitachinaka.lg.jp/_res/projects/default_project/_page_/001/016/190/hitachinakashi_chiikikoukyoukoutuukeikakuan.pdf</t>
        </is>
      </c>
      <c r="L20" s="11" t="inlineStr">
        <is>
          <t>ひたちなか市第3次環境基本計画（改定）</t>
        </is>
      </c>
      <c r="M20" s="11" t="inlineStr">
        <is>
          <t>R8〜R12</t>
        </is>
      </c>
      <c r="N20" s="13" t="n">
        <v>12</v>
      </c>
      <c r="O20" s="13" t="inlineStr">
        <is>
          <t>確認済</t>
        </is>
      </c>
      <c r="P20" s="13" t="inlineStr">
        <is>
          <t>策定済</t>
        </is>
      </c>
      <c r="Q20" s="14" t="inlineStr">
        <is>
          <t>https://www.city.hitachinaka.lg.jp/_res/projects/default_project/_page_/001/017/041/kaiteigaiyoubann.pdf</t>
        </is>
      </c>
      <c r="R20" s="11"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5" t="inlineStr">
        <is>
          <t>調査済</t>
        </is>
      </c>
      <c r="T20" s="11" t="inlineStr">
        <is>
          <t>掲載</t>
        </is>
      </c>
    </row>
    <row r="21">
      <c r="A21" s="11" t="n">
        <v>18</v>
      </c>
      <c r="B21" s="11" t="inlineStr">
        <is>
          <t>鹿嶋市</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鹿嶋市地域公共交通計画</t>
        </is>
      </c>
      <c r="G21" s="11" t="inlineStr">
        <is>
          <t>R6〜R10</t>
        </is>
      </c>
      <c r="H21" s="13" t="n">
        <v>10</v>
      </c>
      <c r="I21" s="13" t="inlineStr">
        <is>
          <t>確認済</t>
        </is>
      </c>
      <c r="J21" s="13" t="inlineStr">
        <is>
          <t>未確認</t>
        </is>
      </c>
      <c r="K21" s="14" t="inlineStr">
        <is>
          <t>https://www.city.kashima.ibaraki.jp/uploaded/attachment/60268.pdf</t>
        </is>
      </c>
      <c r="L21" s="11" t="inlineStr">
        <is>
          <t>鹿嶋市環境基本計画</t>
        </is>
      </c>
      <c r="M21" s="11" t="inlineStr">
        <is>
          <t>R3〜R12</t>
        </is>
      </c>
      <c r="N21" s="16" t="n">
        <v>12</v>
      </c>
      <c r="O21" s="13" t="inlineStr">
        <is>
          <t>推定</t>
        </is>
      </c>
      <c r="P21" s="13" t="inlineStr">
        <is>
          <t>未確認</t>
        </is>
      </c>
      <c r="Q21" s="14" t="inlineStr">
        <is>
          <t>https://www.city.kashima.ibaraki.jp/uploaded/life/87842_130084_misc.pdf</t>
        </is>
      </c>
      <c r="R21" s="11"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5" t="inlineStr">
        <is>
          <t>調査済</t>
        </is>
      </c>
      <c r="T21" s="11" t="inlineStr">
        <is>
          <t>掲載</t>
        </is>
      </c>
    </row>
    <row r="22">
      <c r="A22" s="11" t="n">
        <v>19</v>
      </c>
      <c r="B22" s="11" t="inlineStr">
        <is>
          <t>潮来市</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検索で潮来市の地域公共交通計画・環境基本計画とも情報が得られず（検索インデックスに市サイトがほぼ出ない）。要公式サイト直接確認。</t>
        </is>
      </c>
      <c r="S22" s="18" t="inlineStr">
        <is>
          <t>未調査</t>
        </is>
      </c>
      <c r="T22" s="17" t="inlineStr">
        <is>
          <t>掲載【当方未把握】</t>
        </is>
      </c>
    </row>
    <row r="23">
      <c r="A23" s="11" t="n">
        <v>20</v>
      </c>
      <c r="B23" s="11" t="inlineStr">
        <is>
          <t>守谷市</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inlineStr">
        <is>
          <t>第2次守谷市環境基本計画</t>
        </is>
      </c>
      <c r="M23" s="11" t="inlineStr">
        <is>
          <t>〜R7（推定）</t>
        </is>
      </c>
      <c r="N23" s="16" t="n">
        <v>7</v>
      </c>
      <c r="O23" s="13" t="inlineStr">
        <is>
          <t>推定</t>
        </is>
      </c>
      <c r="P23" s="13" t="inlineStr">
        <is>
          <t>着手済</t>
        </is>
      </c>
      <c r="Q23" s="14" t="inlineStr">
        <is>
          <t>https://www.city.moriya.ibaraki.jp/kurashi_tetsuzuki/kankyo_gomi/1001993/1002006.html</t>
        </is>
      </c>
      <c r="R23" s="11"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t>
        </is>
      </c>
      <c r="S23" s="18" t="inlineStr">
        <is>
          <t>環境のみ調査</t>
        </is>
      </c>
      <c r="T23" s="17" t="inlineStr">
        <is>
          <t>掲載【当方未把握】</t>
        </is>
      </c>
    </row>
    <row r="24">
      <c r="A24" s="11" t="n">
        <v>21</v>
      </c>
      <c r="B24" s="11" t="inlineStr">
        <is>
          <t>常陸大宮市</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常陸大宮市地域公共交通計画</t>
        </is>
      </c>
      <c r="G24" s="11" t="inlineStr">
        <is>
          <t>R5〜R9</t>
        </is>
      </c>
      <c r="H24" s="13" t="n">
        <v>9</v>
      </c>
      <c r="I24" s="13" t="inlineStr">
        <is>
          <t>確認済</t>
        </is>
      </c>
      <c r="J24" s="13" t="inlineStr">
        <is>
          <t>未確認</t>
        </is>
      </c>
      <c r="K24" s="14" t="inlineStr">
        <is>
          <t>https://www.city.hitachiomiya.lg.jp/data/doc/1685520960_doc_100_0.pdf</t>
        </is>
      </c>
      <c r="L24" s="11" t="inlineStr">
        <is>
          <t>第2次常陸大宮市環境基本計画（後期計画）</t>
        </is>
      </c>
      <c r="M24" s="11" t="inlineStr">
        <is>
          <t>R5〜R9</t>
        </is>
      </c>
      <c r="N24" s="13" t="n">
        <v>9</v>
      </c>
      <c r="O24" s="13" t="inlineStr">
        <is>
          <t>確認済</t>
        </is>
      </c>
      <c r="P24" s="13" t="inlineStr">
        <is>
          <t>未確認</t>
        </is>
      </c>
      <c r="Q24" s="14" t="inlineStr">
        <is>
          <t>https://www.city.hitachiomiya.lg.jp/data/doc/1673312876_doc_1_0.pdf</t>
        </is>
      </c>
      <c r="R24" s="11"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5" t="inlineStr">
        <is>
          <t>調査済</t>
        </is>
      </c>
      <c r="T24" s="11" t="inlineStr">
        <is>
          <t>掲載</t>
        </is>
      </c>
    </row>
    <row r="25">
      <c r="A25" s="11" t="n">
        <v>22</v>
      </c>
      <c r="B25" s="11" t="inlineStr">
        <is>
          <t>那珂市</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inlineStr">
        <is>
          <t>第3次那珂市環境基本計画</t>
        </is>
      </c>
      <c r="M25" s="11" t="inlineStr">
        <is>
          <t>R5〜R14</t>
        </is>
      </c>
      <c r="N25" s="13" t="n">
        <v>14</v>
      </c>
      <c r="O25" s="13" t="inlineStr">
        <is>
          <t>確認済</t>
        </is>
      </c>
      <c r="P25" s="13" t="inlineStr">
        <is>
          <t>未確認</t>
        </is>
      </c>
      <c r="Q25" s="14" t="inlineStr">
        <is>
          <t>https://www.city.naka.lg.jp/gyousei/keikaku/page009444.html</t>
        </is>
      </c>
      <c r="R25" s="11"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t>
        </is>
      </c>
      <c r="S25" s="18" t="inlineStr">
        <is>
          <t>環境のみ調査</t>
        </is>
      </c>
      <c r="T25" s="17" t="inlineStr">
        <is>
          <t>掲載【当方未把握】</t>
        </is>
      </c>
    </row>
    <row r="26">
      <c r="A26" s="11" t="n">
        <v>23</v>
      </c>
      <c r="B26" s="11" t="inlineStr">
        <is>
          <t>筑西市</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t>
        </is>
      </c>
      <c r="S26" s="15" t="inlineStr">
        <is>
          <t>調査済</t>
        </is>
      </c>
      <c r="T26" s="11" t="inlineStr">
        <is>
          <t>掲載</t>
        </is>
      </c>
    </row>
    <row r="27">
      <c r="A27" s="11" t="n">
        <v>24</v>
      </c>
      <c r="B27" s="11" t="inlineStr">
        <is>
          <t>坂東市</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c r="T27" s="11" t="inlineStr">
        <is>
          <t>掲載</t>
        </is>
      </c>
    </row>
    <row r="28">
      <c r="A28" s="11" t="n">
        <v>25</v>
      </c>
      <c r="B28" s="11" t="inlineStr">
        <is>
          <t>稲敷市</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t>
        </is>
      </c>
      <c r="N28" s="16" t="n"/>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t>
        </is>
      </c>
      <c r="S28" s="15" t="inlineStr">
        <is>
          <t>調査済</t>
        </is>
      </c>
      <c r="T28" s="11" t="inlineStr">
        <is>
          <t>掲載</t>
        </is>
      </c>
    </row>
    <row r="29">
      <c r="A29" s="11" t="n">
        <v>26</v>
      </c>
      <c r="B29" s="11" t="inlineStr">
        <is>
          <t>かすみがうら市</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かすみがうら市地域公共交通計画</t>
        </is>
      </c>
      <c r="G29" s="11" t="inlineStr">
        <is>
          <t>R3〜R7（R8まで1年延長を検討）</t>
        </is>
      </c>
      <c r="H29" s="16" t="n">
        <v>8</v>
      </c>
      <c r="I29" s="13" t="inlineStr">
        <is>
          <t>推定</t>
        </is>
      </c>
      <c r="J29" s="13" t="inlineStr">
        <is>
          <t>着手済</t>
        </is>
      </c>
      <c r="K29" s="14" t="inlineStr">
        <is>
          <t>https://www.city.kasumigaura.lg.jp/data/doc/1605678793_doc_10_1.pdf</t>
        </is>
      </c>
      <c r="L29" s="11" t="inlineStr">
        <is>
          <t>かすみがうら市第Ⅱ期環境基本計画（気候変動適応計画・生物多様性地域戦略を包含）</t>
        </is>
      </c>
      <c r="M29" s="11" t="inlineStr">
        <is>
          <t>R7〜R16</t>
        </is>
      </c>
      <c r="N29" s="13" t="n">
        <v>16</v>
      </c>
      <c r="O29" s="13" t="inlineStr">
        <is>
          <t>確認済</t>
        </is>
      </c>
      <c r="P29" s="13" t="inlineStr">
        <is>
          <t>策定済</t>
        </is>
      </c>
      <c r="Q29" s="14" t="inlineStr">
        <is>
          <t>https://www.city.kasumigaura.lg.jp/data/doc/1736999768_doc_11_0.pdf</t>
        </is>
      </c>
      <c r="R29" s="11"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5" t="inlineStr">
        <is>
          <t>調査済</t>
        </is>
      </c>
      <c r="T29" s="11" t="inlineStr">
        <is>
          <t>掲載</t>
        </is>
      </c>
    </row>
    <row r="30">
      <c r="A30" s="11" t="n">
        <v>27</v>
      </c>
      <c r="B30" s="11" t="inlineStr">
        <is>
          <t>桜川市</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桜川市地域公共交通計画</t>
        </is>
      </c>
      <c r="G30" s="11" t="inlineStr">
        <is>
          <t>R4〜R8</t>
        </is>
      </c>
      <c r="H30" s="16" t="n">
        <v>8</v>
      </c>
      <c r="I30" s="13" t="inlineStr">
        <is>
          <t>推定</t>
        </is>
      </c>
      <c r="J30" s="13" t="inlineStr">
        <is>
          <t>未確認</t>
        </is>
      </c>
      <c r="K30" s="14" t="inlineStr">
        <is>
          <t>https://www.city.sakuragawa.lg.jp/sys/public/data/doc/1641257134_0.pdf</t>
        </is>
      </c>
      <c r="L30" s="11" t="inlineStr">
        <is>
          <t>第2次桜川市環境基本計画</t>
        </is>
      </c>
      <c r="M30" s="11" t="inlineStr">
        <is>
          <t>R2〜R11</t>
        </is>
      </c>
      <c r="N30" s="13" t="n">
        <v>11</v>
      </c>
      <c r="O30" s="13" t="inlineStr">
        <is>
          <t>確認済</t>
        </is>
      </c>
      <c r="P30" s="13" t="inlineStr">
        <is>
          <t>未確認</t>
        </is>
      </c>
      <c r="Q30" s="14" t="inlineStr">
        <is>
          <t>https://www.city.sakuragawa.lg.jp/sys/public/data/doc/1578273137_0.pdf</t>
        </is>
      </c>
      <c r="R30" s="11" t="inlineStr">
        <is>
          <t>交通: 令和4年1月策定（期間は5年と推定、終期R8なら次期計画策定がR8に進行中の可能性あるが根拠未確認）。前身は網形成計画(H28.3)。環境: 第2次R2〜R11（2020〜2029年度）。</t>
        </is>
      </c>
      <c r="S30" s="15" t="inlineStr">
        <is>
          <t>調査済</t>
        </is>
      </c>
      <c r="T30" s="11" t="inlineStr">
        <is>
          <t>掲載</t>
        </is>
      </c>
    </row>
    <row r="31">
      <c r="A31" s="11" t="n">
        <v>28</v>
      </c>
      <c r="B31" s="11" t="inlineStr">
        <is>
          <t>神栖市</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神栖市地域公共交通計画（第2期）</t>
        </is>
      </c>
      <c r="G31" s="11" t="inlineStr">
        <is>
          <t>R8〜R12</t>
        </is>
      </c>
      <c r="H31" s="16" t="n">
        <v>12</v>
      </c>
      <c r="I31" s="13" t="inlineStr">
        <is>
          <t>推定</t>
        </is>
      </c>
      <c r="J31" s="13" t="inlineStr">
        <is>
          <t>策定済</t>
        </is>
      </c>
      <c r="K31" s="14" t="inlineStr">
        <is>
          <t>https://www.city.kamisu.ibaraki.jp/_res/projects/default_project/_page_/001/003/540/kokeikaku2.pdf</t>
        </is>
      </c>
      <c r="L31" s="11" t="inlineStr">
        <is>
          <t>神栖市環境基本計画</t>
        </is>
      </c>
      <c r="M31" s="11" t="inlineStr">
        <is>
          <t>R1〜R10</t>
        </is>
      </c>
      <c r="N31" s="16" t="n">
        <v>10</v>
      </c>
      <c r="O31" s="13" t="inlineStr">
        <is>
          <t>推定</t>
        </is>
      </c>
      <c r="P31" s="13" t="inlineStr">
        <is>
          <t>未確認</t>
        </is>
      </c>
      <c r="Q31" s="14" t="inlineStr">
        <is>
          <t>https://www.city.kamisu.ibaraki.jp/_res/projects/default_project/_page_/001/004/216/kamisushikankyoukihonkeikaku.pdf</t>
        </is>
      </c>
      <c r="R31" s="11"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5" t="inlineStr">
        <is>
          <t>調査済</t>
        </is>
      </c>
      <c r="T31" s="11" t="inlineStr">
        <is>
          <t>掲載</t>
        </is>
      </c>
    </row>
    <row r="32">
      <c r="A32" s="11" t="n">
        <v>29</v>
      </c>
      <c r="B32" s="11" t="inlineStr">
        <is>
          <t>行方市</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行方市地域公共交通計画</t>
        </is>
      </c>
      <c r="G32" s="11" t="inlineStr">
        <is>
          <t>不明</t>
        </is>
      </c>
      <c r="H32" s="13" t="n"/>
      <c r="I32" s="13" t="inlineStr">
        <is>
          <t>不明</t>
        </is>
      </c>
      <c r="J32" s="13" t="inlineStr">
        <is>
          <t>未確認</t>
        </is>
      </c>
      <c r="K32" s="11" t="n"/>
      <c r="L32" s="11" t="inlineStr">
        <is>
          <t>行方市環境基本計画</t>
        </is>
      </c>
      <c r="M32" s="11" t="inlineStr">
        <is>
          <t>H28〜R7（推定）</t>
        </is>
      </c>
      <c r="N32" s="16" t="n">
        <v>7</v>
      </c>
      <c r="O32" s="13" t="inlineStr">
        <is>
          <t>推定</t>
        </is>
      </c>
      <c r="P32" s="13" t="inlineStr">
        <is>
          <t>未確認</t>
        </is>
      </c>
      <c r="Q32" s="14" t="inlineStr">
        <is>
          <t>https://www.city.namegata.ibaraki.jp/page/page010706.html</t>
        </is>
      </c>
      <c r="R32" s="11"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5" t="inlineStr">
        <is>
          <t>調査済</t>
        </is>
      </c>
      <c r="T32" s="11" t="inlineStr">
        <is>
          <t>掲載</t>
        </is>
      </c>
    </row>
    <row r="33">
      <c r="A33" s="11" t="n">
        <v>30</v>
      </c>
      <c r="B33" s="11" t="inlineStr">
        <is>
          <t>鉾田市</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n"/>
      <c r="G33" s="11" t="inlineStr">
        <is>
          <t>不明</t>
        </is>
      </c>
      <c r="H33" s="13" t="n"/>
      <c r="I33" s="13" t="inlineStr">
        <is>
          <t>不明</t>
        </is>
      </c>
      <c r="J33" s="13" t="inlineStr">
        <is>
          <t>未確認</t>
        </is>
      </c>
      <c r="K33" s="11" t="n"/>
      <c r="L33" s="11" t="inlineStr">
        <is>
          <t>鉾田市環境基本計画（改定）</t>
        </is>
      </c>
      <c r="M33" s="11" t="inlineStr">
        <is>
          <t>H29〜R8</t>
        </is>
      </c>
      <c r="N33" s="13" t="n">
        <v>8</v>
      </c>
      <c r="O33" s="13" t="inlineStr">
        <is>
          <t>確認済</t>
        </is>
      </c>
      <c r="P33" s="13" t="inlineStr">
        <is>
          <t>未確認</t>
        </is>
      </c>
      <c r="Q33" s="14" t="inlineStr">
        <is>
          <t>https://www.city.hokota.lg.jp/data/doc/1654669803_doc_37_0.pdf</t>
        </is>
      </c>
      <c r="R33"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t>
        </is>
      </c>
      <c r="S33" s="18" t="inlineStr">
        <is>
          <t>環境のみ調査</t>
        </is>
      </c>
      <c r="T33" s="17" t="inlineStr">
        <is>
          <t>掲載【当方未把握】</t>
        </is>
      </c>
    </row>
    <row r="34">
      <c r="A34" s="11" t="n">
        <v>31</v>
      </c>
      <c r="B34" s="11" t="inlineStr">
        <is>
          <t>つくばみらい市</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未確認</t>
        </is>
      </c>
      <c r="K34" s="11" t="n"/>
      <c r="L34" s="11" t="inlineStr">
        <is>
          <t>つくばみらい市環境基本計画（改訂版）</t>
        </is>
      </c>
      <c r="M34" s="11" t="inlineStr">
        <is>
          <t>H29〜R8（推定）</t>
        </is>
      </c>
      <c r="N34" s="16" t="n">
        <v>8</v>
      </c>
      <c r="O34" s="13" t="inlineStr">
        <is>
          <t>推定</t>
        </is>
      </c>
      <c r="P34" s="13" t="inlineStr">
        <is>
          <t>未確認</t>
        </is>
      </c>
      <c r="Q34" s="14" t="inlineStr">
        <is>
          <t>https://www.city.tsukubamirai.lg.jp/jyumin/gomi-kankyou-doubutsu/kankyouhozen/page000080.html</t>
        </is>
      </c>
      <c r="R34"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t>
        </is>
      </c>
      <c r="S34" s="18" t="inlineStr">
        <is>
          <t>環境のみ調査</t>
        </is>
      </c>
      <c r="T34" s="17" t="inlineStr">
        <is>
          <t>掲載【当方未把握】</t>
        </is>
      </c>
    </row>
    <row r="35">
      <c r="A35" s="11" t="n">
        <v>32</v>
      </c>
      <c r="B35" s="11" t="inlineStr">
        <is>
          <t>小美玉市</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n"/>
      <c r="G35" s="11" t="inlineStr">
        <is>
          <t>不明</t>
        </is>
      </c>
      <c r="H35" s="13" t="n"/>
      <c r="I35" s="13" t="inlineStr">
        <is>
          <t>不明</t>
        </is>
      </c>
      <c r="J35" s="13" t="inlineStr">
        <is>
          <t>未確認</t>
        </is>
      </c>
      <c r="K35" s="11" t="n"/>
      <c r="L35" s="11" t="inlineStr">
        <is>
          <t>小美玉市環境基本計画</t>
        </is>
      </c>
      <c r="M35" s="11" t="inlineStr">
        <is>
          <t>R3〜R12（推定）</t>
        </is>
      </c>
      <c r="N35" s="16" t="n">
        <v>12</v>
      </c>
      <c r="O35" s="13" t="inlineStr">
        <is>
          <t>推定</t>
        </is>
      </c>
      <c r="P35" s="13" t="inlineStr">
        <is>
          <t>未確認</t>
        </is>
      </c>
      <c r="Q35" s="14" t="inlineStr">
        <is>
          <t>https://www.city.omitama.lg.jp/manage/contents/upload/602de700e73ca.pdf</t>
        </is>
      </c>
      <c r="R35"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t>
        </is>
      </c>
      <c r="S35" s="18" t="inlineStr">
        <is>
          <t>環境のみ調査</t>
        </is>
      </c>
      <c r="T35" s="17" t="inlineStr">
        <is>
          <t>掲載【当方未把握】</t>
        </is>
      </c>
    </row>
    <row r="36">
      <c r="A36" s="11" t="n">
        <v>33</v>
      </c>
      <c r="B36" s="11" t="inlineStr">
        <is>
          <t>茨城町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inlineStr">
        <is>
          <t>茨城町環境基本計画</t>
        </is>
      </c>
      <c r="M36" s="11" t="inlineStr">
        <is>
          <t>H25〜R4</t>
        </is>
      </c>
      <c r="N36" s="13" t="n">
        <v>4</v>
      </c>
      <c r="O36" s="13" t="inlineStr">
        <is>
          <t>確認済</t>
        </is>
      </c>
      <c r="P36" s="13" t="inlineStr">
        <is>
          <t>未確認</t>
        </is>
      </c>
      <c r="Q36" s="14" t="inlineStr">
        <is>
          <t>https://www.town.ibaraki.lg.jp/gyousei/kurashitetuduki/gomirisaikle/keikaku/index.html</t>
        </is>
      </c>
      <c r="R36" s="11"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8" t="inlineStr">
        <is>
          <t>環境のみ調査</t>
        </is>
      </c>
      <c r="T36" s="11" t="inlineStr">
        <is>
          <t>未掲載</t>
        </is>
      </c>
    </row>
    <row r="37">
      <c r="A37" s="11" t="n">
        <v>34</v>
      </c>
      <c r="B37" s="11" t="inlineStr">
        <is>
          <t>大洗町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c r="T37" s="11" t="inlineStr">
        <is>
          <t>掲載</t>
        </is>
      </c>
    </row>
    <row r="38">
      <c r="A38" s="11" t="n">
        <v>35</v>
      </c>
      <c r="B38" s="11" t="inlineStr">
        <is>
          <t>城里町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c r="T38" s="11" t="inlineStr">
        <is>
          <t>掲載</t>
        </is>
      </c>
    </row>
    <row r="39">
      <c r="A39" s="11" t="n">
        <v>36</v>
      </c>
      <c r="B39" s="11" t="inlineStr">
        <is>
          <t>東海村</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c r="T39" s="11" t="inlineStr">
        <is>
          <t>掲載</t>
        </is>
      </c>
    </row>
    <row r="40">
      <c r="A40" s="11" t="n">
        <v>37</v>
      </c>
      <c r="B40" s="11" t="inlineStr">
        <is>
          <t>大子町</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n"/>
      <c r="G40" s="11" t="inlineStr">
        <is>
          <t>不明</t>
        </is>
      </c>
      <c r="H40" s="13" t="n"/>
      <c r="I40" s="13" t="inlineStr">
        <is>
          <t>不明</t>
        </is>
      </c>
      <c r="J40" s="13" t="inlineStr">
        <is>
          <t>未確認</t>
        </is>
      </c>
      <c r="K40" s="11" t="n"/>
      <c r="L40" s="11" t="n"/>
      <c r="M40" s="11" t="inlineStr">
        <is>
          <t>不明</t>
        </is>
      </c>
      <c r="N40" s="13" t="n"/>
      <c r="O40" s="13" t="inlineStr">
        <is>
          <t>不明</t>
        </is>
      </c>
      <c r="P40" s="13" t="inlineStr">
        <is>
          <t>未確認</t>
        </is>
      </c>
      <c r="Q40" s="11" t="n"/>
      <c r="R40" s="11"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t>
        </is>
      </c>
      <c r="S40" s="18" t="inlineStr">
        <is>
          <t>未調査</t>
        </is>
      </c>
      <c r="T40" s="17" t="inlineStr">
        <is>
          <t>掲載【当方未把握】</t>
        </is>
      </c>
    </row>
    <row r="41">
      <c r="A41" s="11" t="n">
        <v>38</v>
      </c>
      <c r="B41" s="11" t="inlineStr">
        <is>
          <t>美浦村</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n"/>
      <c r="G41" s="11" t="inlineStr">
        <is>
          <t>不明</t>
        </is>
      </c>
      <c r="H41" s="13" t="n"/>
      <c r="I41" s="13" t="inlineStr">
        <is>
          <t>不明</t>
        </is>
      </c>
      <c r="J41" s="13" t="inlineStr">
        <is>
          <t>未確認</t>
        </is>
      </c>
      <c r="K41" s="11" t="n"/>
      <c r="L41" s="11" t="n"/>
      <c r="M41" s="11" t="inlineStr">
        <is>
          <t>不明</t>
        </is>
      </c>
      <c r="N41" s="13" t="n"/>
      <c r="O41" s="13" t="inlineStr">
        <is>
          <t>不明</t>
        </is>
      </c>
      <c r="P41" s="13" t="inlineStr">
        <is>
          <t>未確認</t>
        </is>
      </c>
      <c r="Q41" s="11" t="n"/>
      <c r="R41" s="11" t="inlineStr">
        <is>
          <t>村独自の地域公共交通計画・環境基本計画とも検索で確認できず（「美浦村環境基本計画」ヒットなし、未策定の可能性）。要村サイト直接確認。</t>
        </is>
      </c>
      <c r="S41" s="18" t="inlineStr">
        <is>
          <t>未調査</t>
        </is>
      </c>
      <c r="T41" s="11" t="inlineStr">
        <is>
          <t>未掲載</t>
        </is>
      </c>
    </row>
    <row r="42">
      <c r="A42" s="11" t="n">
        <v>39</v>
      </c>
      <c r="B42" s="11" t="inlineStr">
        <is>
          <t>阿見町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阿見町地域公共交通計画</t>
        </is>
      </c>
      <c r="G42" s="11" t="inlineStr">
        <is>
          <t>R5〜R9</t>
        </is>
      </c>
      <c r="H42" s="16" t="n">
        <v>9</v>
      </c>
      <c r="I42" s="13" t="inlineStr">
        <is>
          <t>推定</t>
        </is>
      </c>
      <c r="J42" s="13" t="inlineStr">
        <is>
          <t>未確認</t>
        </is>
      </c>
      <c r="K42" s="14" t="inlineStr">
        <is>
          <t>https://www.town.ami.lg.jp/cmsfiles/contents/0000009/9640/keikaku.pdf</t>
        </is>
      </c>
      <c r="L42" s="11" t="inlineStr">
        <is>
          <t>第2次阿見町環境基本計画</t>
        </is>
      </c>
      <c r="M42" s="11" t="inlineStr">
        <is>
          <t>R3〜R12</t>
        </is>
      </c>
      <c r="N42" s="13" t="n">
        <v>12</v>
      </c>
      <c r="O42" s="13" t="inlineStr">
        <is>
          <t>確認済</t>
        </is>
      </c>
      <c r="P42" s="13" t="inlineStr">
        <is>
          <t>未確認</t>
        </is>
      </c>
      <c r="Q42" s="14" t="inlineStr">
        <is>
          <t>https://www.town.ami.lg.jp/cmsfiles/contents/0000012/12659/1syou.pdf</t>
        </is>
      </c>
      <c r="R42" s="11"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t>
        </is>
      </c>
      <c r="S42" s="15" t="inlineStr">
        <is>
          <t>調査済</t>
        </is>
      </c>
      <c r="T42" s="11" t="inlineStr">
        <is>
          <t>掲載</t>
        </is>
      </c>
    </row>
    <row r="43">
      <c r="A43" s="11" t="n">
        <v>40</v>
      </c>
      <c r="B43" s="11" t="inlineStr">
        <is>
          <t>河内町</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n"/>
      <c r="G43" s="11" t="inlineStr">
        <is>
          <t>不明</t>
        </is>
      </c>
      <c r="H43" s="13" t="n"/>
      <c r="I43" s="13" t="inlineStr">
        <is>
          <t>不明</t>
        </is>
      </c>
      <c r="J43" s="13" t="inlineStr">
        <is>
          <t>未確認</t>
        </is>
      </c>
      <c r="K43" s="11" t="n"/>
      <c r="L43" s="11" t="n"/>
      <c r="M43" s="11" t="inlineStr">
        <is>
          <t>不明</t>
        </is>
      </c>
      <c r="N43" s="13" t="n"/>
      <c r="O43" s="13" t="inlineStr">
        <is>
          <t>不明</t>
        </is>
      </c>
      <c r="P43" s="13" t="inlineStr">
        <is>
          <t>未確認</t>
        </is>
      </c>
      <c r="Q43" s="11" t="n"/>
      <c r="R43" s="11" t="inlineStr">
        <is>
          <t>町独自の地域公共交通計画・環境基本計画とも検索で確認できず（県計画・地域再生計画のみヒット）。未策定の可能性。大阪府河内長野市等の誤ヒットに注意。</t>
        </is>
      </c>
      <c r="S43" s="18" t="inlineStr">
        <is>
          <t>未調査</t>
        </is>
      </c>
      <c r="T43" s="11" t="inlineStr">
        <is>
          <t>未掲載</t>
        </is>
      </c>
    </row>
    <row r="44">
      <c r="A44" s="11" t="n">
        <v>41</v>
      </c>
      <c r="B44" s="11" t="inlineStr">
        <is>
          <t>八千代町</t>
        </is>
      </c>
      <c r="C44" s="12">
        <f>IF(OR(D44="◎",E44="◎"),"◎ 営業",IF(OR(D44="△",E44="△"),"△ 着手済・要確認",IF(OR(D44="？",E44="？"),"？ 期間要確認","✕ 対象外")))</f>
        <v/>
      </c>
      <c r="D44" s="13">
        <f>IF(J44="計画なし","－",IF(J44="策定済","✕",IF(H44="","？",IF(AND(H44&gt;=TGT_MIN,H44&lt;=TGT_MAX),IF(J44="着手済","△","◎"),"✕"))))</f>
        <v/>
      </c>
      <c r="E44" s="13">
        <f>IF(P44="計画なし","－",IF(P44="策定済","✕",IF(N44="","？",IF(AND(N44&gt;=TGT_MIN,N44&lt;=TGT_MAX),IF(P44="着手済","△","◎"),"✕"))))</f>
        <v/>
      </c>
      <c r="F44" s="11" t="inlineStr">
        <is>
          <t>八千代町地域公共交通計画（策定事業・名称未確認）</t>
        </is>
      </c>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t>
        </is>
      </c>
      <c r="S44" s="18" t="inlineStr">
        <is>
          <t>交通のみ調査</t>
        </is>
      </c>
      <c r="T44" s="11" t="inlineStr">
        <is>
          <t>掲載</t>
        </is>
      </c>
    </row>
    <row r="45">
      <c r="A45" s="11" t="n">
        <v>42</v>
      </c>
      <c r="B45" s="11" t="inlineStr">
        <is>
          <t>五霞町</t>
        </is>
      </c>
      <c r="C45" s="12">
        <f>IF(OR(D45="◎",E45="◎"),"◎ 営業",IF(OR(D45="△",E45="△"),"△ 着手済・要確認",IF(OR(D45="？",E45="？"),"？ 期間要確認","✕ 対象外")))</f>
        <v/>
      </c>
      <c r="D45" s="13">
        <f>IF(J45="計画なし","－",IF(J45="策定済","✕",IF(H45="","？",IF(AND(H45&gt;=TGT_MIN,H45&lt;=TGT_MAX),IF(J45="着手済","△","◎"),"✕"))))</f>
        <v/>
      </c>
      <c r="E45" s="13">
        <f>IF(P45="計画なし","－",IF(P45="策定済","✕",IF(N45="","？",IF(AND(N45&gt;=TGT_MIN,N45&lt;=TGT_MAX),IF(P45="着手済","△","◎"),"✕"))))</f>
        <v/>
      </c>
      <c r="F45" s="11" t="inlineStr">
        <is>
          <t>五霞町地域公共交通計画</t>
        </is>
      </c>
      <c r="G45" s="11" t="inlineStr">
        <is>
          <t>R5〜R9</t>
        </is>
      </c>
      <c r="H45" s="16" t="n">
        <v>9</v>
      </c>
      <c r="I45" s="13" t="inlineStr">
        <is>
          <t>推定</t>
        </is>
      </c>
      <c r="J45" s="13" t="inlineStr">
        <is>
          <t>未確認</t>
        </is>
      </c>
      <c r="K45" s="14" t="inlineStr">
        <is>
          <t>https://www.town.goka.lg.jp/data/doc/1690350530_doc_20_0.pdf</t>
        </is>
      </c>
      <c r="L45" s="11" t="inlineStr">
        <is>
          <t>五霞町環境基本計画（改定版）</t>
        </is>
      </c>
      <c r="M45" s="11" t="inlineStr">
        <is>
          <t>R5〜R14</t>
        </is>
      </c>
      <c r="N45" s="13" t="n">
        <v>14</v>
      </c>
      <c r="O45" s="13" t="inlineStr">
        <is>
          <t>確認済</t>
        </is>
      </c>
      <c r="P45" s="13" t="inlineStr">
        <is>
          <t>未確認</t>
        </is>
      </c>
      <c r="Q45" s="14" t="inlineStr">
        <is>
          <t>https://www.town.goka.lg.jp/data/doc/1684388643_doc_20_0.pdf</t>
        </is>
      </c>
      <c r="R45" s="11"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t>
        </is>
      </c>
      <c r="S45" s="15" t="inlineStr">
        <is>
          <t>調査済</t>
        </is>
      </c>
      <c r="T45" s="11" t="inlineStr">
        <is>
          <t>掲載</t>
        </is>
      </c>
    </row>
    <row r="46">
      <c r="A46" s="11" t="n">
        <v>43</v>
      </c>
      <c r="B46" s="11" t="inlineStr">
        <is>
          <t>境町</t>
        </is>
      </c>
      <c r="C46" s="12">
        <f>IF(OR(D46="◎",E46="◎"),"◎ 営業",IF(OR(D46="△",E46="△"),"△ 着手済・要確認",IF(OR(D46="？",E46="？"),"？ 期間要確認","✕ 対象外")))</f>
        <v/>
      </c>
      <c r="D46" s="13">
        <f>IF(J46="計画なし","－",IF(J46="策定済","✕",IF(H46="","？",IF(AND(H46&gt;=TGT_MIN,H46&lt;=TGT_MAX),IF(J46="着手済","△","◎"),"✕"))))</f>
        <v/>
      </c>
      <c r="E46" s="13">
        <f>IF(P46="計画なし","－",IF(P46="策定済","✕",IF(N46="","？",IF(AND(N46&gt;=TGT_MIN,N46&lt;=TGT_MAX),IF(P46="着手済","△","◎"),"✕"))))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茨城県猿島郡境町。町独自の地域公共交通計画・環境基本計画とも検索で確認できず。自動運転バス定常運行(2020.11〜)の先進事例だが法定計画は未確認。鳥取県境港市・大阪府堺市の誤ヒットに注意。</t>
        </is>
      </c>
      <c r="S46" s="18" t="inlineStr">
        <is>
          <t>未調査</t>
        </is>
      </c>
      <c r="T46" s="11" t="inlineStr">
        <is>
          <t>未掲載</t>
        </is>
      </c>
    </row>
    <row r="47">
      <c r="A47" s="11" t="n">
        <v>44</v>
      </c>
      <c r="B47" s="11" t="inlineStr">
        <is>
          <t>利根町</t>
        </is>
      </c>
      <c r="C47" s="12">
        <f>IF(OR(D47="◎",E47="◎"),"◎ 営業",IF(OR(D47="△",E47="△"),"△ 着手済・要確認",IF(OR(D47="？",E47="？"),"？ 期間要確認","✕ 対象外")))</f>
        <v/>
      </c>
      <c r="D47" s="13">
        <f>IF(J47="計画なし","－",IF(J47="策定済","✕",IF(H47="","？",IF(AND(H47&gt;=TGT_MIN,H47&lt;=TGT_MAX),IF(J47="着手済","△","◎"),"✕"))))</f>
        <v/>
      </c>
      <c r="E47" s="13">
        <f>IF(P47="計画なし","－",IF(P47="策定済","✕",IF(N47="","？",IF(AND(N47&gt;=TGT_MIN,N47&lt;=TGT_MAX),IF(P47="着手済","△","◎"),"✕"))))</f>
        <v/>
      </c>
      <c r="F47" s="11" t="inlineStr">
        <is>
          <t>利根町地域公共交通計画（策定事業・名称未確認）</t>
        </is>
      </c>
      <c r="G47" s="11" t="inlineStr">
        <is>
          <t>不明</t>
        </is>
      </c>
      <c r="H47" s="13" t="n"/>
      <c r="I47" s="13" t="inlineStr">
        <is>
          <t>不明</t>
        </is>
      </c>
      <c r="J47" s="13" t="inlineStr">
        <is>
          <t>着手済</t>
        </is>
      </c>
      <c r="K47" s="11" t="n"/>
      <c r="L47" s="11" t="n"/>
      <c r="M47" s="11" t="inlineStr">
        <is>
          <t>不明</t>
        </is>
      </c>
      <c r="N47" s="13" t="n"/>
      <c r="O47" s="13" t="inlineStr">
        <is>
          <t>不明</t>
        </is>
      </c>
      <c r="P47" s="13" t="inlineStr">
        <is>
          <t>未確認</t>
        </is>
      </c>
      <c r="Q47" s="11" t="n"/>
      <c r="R47" s="11"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t>
        </is>
      </c>
      <c r="S47" s="18" t="inlineStr">
        <is>
          <t>交通のみ調査</t>
        </is>
      </c>
      <c r="T47" s="11" t="inlineStr">
        <is>
          <t>掲載</t>
        </is>
      </c>
    </row>
  </sheetData>
  <autoFilter ref="A3:T47"/>
  <conditionalFormatting sqref="A4:T47">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7">
    <cfRule type="expression" priority="1" dxfId="4" stopIfTrue="1">
      <formula>AND(ISNUMBER(H4),H4&gt;=TGT_MIN,H4&lt;=TGT_MAX)</formula>
    </cfRule>
    <cfRule type="expression" priority="2" dxfId="5">
      <formula>AND(ISNUMBER(H4),H4=TGT_MAX+1)</formula>
    </cfRule>
  </conditionalFormatting>
  <conditionalFormatting sqref="N4:N47">
    <cfRule type="expression" priority="3" dxfId="4" stopIfTrue="1">
      <formula>AND(ISNUMBER(N4),N4&gt;=TGT_MIN,N4&lt;=TGT_MAX)</formula>
    </cfRule>
    <cfRule type="expression" priority="4" dxfId="5">
      <formula>AND(ISNUMBER(N4),N4=TGT_MAX+1)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Q9" r:id="rId11"/>
    <hyperlink xmlns:r="http://schemas.openxmlformats.org/officeDocument/2006/relationships" ref="K10" r:id="rId12"/>
    <hyperlink xmlns:r="http://schemas.openxmlformats.org/officeDocument/2006/relationships" ref="Q10" r:id="rId13"/>
    <hyperlink xmlns:r="http://schemas.openxmlformats.org/officeDocument/2006/relationships" ref="K13" r:id="rId14"/>
    <hyperlink xmlns:r="http://schemas.openxmlformats.org/officeDocument/2006/relationships" ref="Q13" r:id="rId15"/>
    <hyperlink xmlns:r="http://schemas.openxmlformats.org/officeDocument/2006/relationships" ref="Q14" r:id="rId16"/>
    <hyperlink xmlns:r="http://schemas.openxmlformats.org/officeDocument/2006/relationships" ref="K15" r:id="rId17"/>
    <hyperlink xmlns:r="http://schemas.openxmlformats.org/officeDocument/2006/relationships" ref="Q15" r:id="rId18"/>
    <hyperlink xmlns:r="http://schemas.openxmlformats.org/officeDocument/2006/relationships" ref="K16" r:id="rId19"/>
    <hyperlink xmlns:r="http://schemas.openxmlformats.org/officeDocument/2006/relationships" ref="Q16" r:id="rId20"/>
    <hyperlink xmlns:r="http://schemas.openxmlformats.org/officeDocument/2006/relationships" ref="K17" r:id="rId21"/>
    <hyperlink xmlns:r="http://schemas.openxmlformats.org/officeDocument/2006/relationships" ref="Q17" r:id="rId22"/>
    <hyperlink xmlns:r="http://schemas.openxmlformats.org/officeDocument/2006/relationships" ref="K18" r:id="rId23"/>
    <hyperlink xmlns:r="http://schemas.openxmlformats.org/officeDocument/2006/relationships" ref="Q18" r:id="rId24"/>
    <hyperlink xmlns:r="http://schemas.openxmlformats.org/officeDocument/2006/relationships" ref="Q19" r:id="rId25"/>
    <hyperlink xmlns:r="http://schemas.openxmlformats.org/officeDocument/2006/relationships" ref="K20" r:id="rId26"/>
    <hyperlink xmlns:r="http://schemas.openxmlformats.org/officeDocument/2006/relationships" ref="Q20" r:id="rId27"/>
    <hyperlink xmlns:r="http://schemas.openxmlformats.org/officeDocument/2006/relationships" ref="K21" r:id="rId28"/>
    <hyperlink xmlns:r="http://schemas.openxmlformats.org/officeDocument/2006/relationships" ref="Q21" r:id="rId29"/>
    <hyperlink xmlns:r="http://schemas.openxmlformats.org/officeDocument/2006/relationships" ref="Q23" r:id="rId30"/>
    <hyperlink xmlns:r="http://schemas.openxmlformats.org/officeDocument/2006/relationships" ref="K24" r:id="rId31"/>
    <hyperlink xmlns:r="http://schemas.openxmlformats.org/officeDocument/2006/relationships" ref="Q24" r:id="rId32"/>
    <hyperlink xmlns:r="http://schemas.openxmlformats.org/officeDocument/2006/relationships" ref="Q25" r:id="rId33"/>
    <hyperlink xmlns:r="http://schemas.openxmlformats.org/officeDocument/2006/relationships" ref="K26" r:id="rId34"/>
    <hyperlink xmlns:r="http://schemas.openxmlformats.org/officeDocument/2006/relationships" ref="K27" r:id="rId35"/>
    <hyperlink xmlns:r="http://schemas.openxmlformats.org/officeDocument/2006/relationships" ref="Q27" r:id="rId36"/>
    <hyperlink xmlns:r="http://schemas.openxmlformats.org/officeDocument/2006/relationships" ref="K28" r:id="rId37"/>
    <hyperlink xmlns:r="http://schemas.openxmlformats.org/officeDocument/2006/relationships" ref="Q28" r:id="rId38"/>
    <hyperlink xmlns:r="http://schemas.openxmlformats.org/officeDocument/2006/relationships" ref="K29" r:id="rId39"/>
    <hyperlink xmlns:r="http://schemas.openxmlformats.org/officeDocument/2006/relationships" ref="Q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Q31" r:id="rId44"/>
    <hyperlink xmlns:r="http://schemas.openxmlformats.org/officeDocument/2006/relationships" ref="Q32" r:id="rId45"/>
    <hyperlink xmlns:r="http://schemas.openxmlformats.org/officeDocument/2006/relationships" ref="Q33" r:id="rId46"/>
    <hyperlink xmlns:r="http://schemas.openxmlformats.org/officeDocument/2006/relationships" ref="Q34" r:id="rId47"/>
    <hyperlink xmlns:r="http://schemas.openxmlformats.org/officeDocument/2006/relationships" ref="Q35" r:id="rId48"/>
    <hyperlink xmlns:r="http://schemas.openxmlformats.org/officeDocument/2006/relationships" ref="Q36" r:id="rId49"/>
    <hyperlink xmlns:r="http://schemas.openxmlformats.org/officeDocument/2006/relationships" ref="K37" r:id="rId50"/>
    <hyperlink xmlns:r="http://schemas.openxmlformats.org/officeDocument/2006/relationships" ref="Q37" r:id="rId51"/>
    <hyperlink xmlns:r="http://schemas.openxmlformats.org/officeDocument/2006/relationships" ref="K38" r:id="rId52"/>
    <hyperlink xmlns:r="http://schemas.openxmlformats.org/officeDocument/2006/relationships" ref="Q38" r:id="rId53"/>
    <hyperlink xmlns:r="http://schemas.openxmlformats.org/officeDocument/2006/relationships" ref="K39" r:id="rId54"/>
    <hyperlink xmlns:r="http://schemas.openxmlformats.org/officeDocument/2006/relationships" ref="Q39" r:id="rId55"/>
    <hyperlink xmlns:r="http://schemas.openxmlformats.org/officeDocument/2006/relationships" ref="K42" r:id="rId56"/>
    <hyperlink xmlns:r="http://schemas.openxmlformats.org/officeDocument/2006/relationships" ref="Q42" r:id="rId57"/>
    <hyperlink xmlns:r="http://schemas.openxmlformats.org/officeDocument/2006/relationships" ref="K45" r:id="rId58"/>
    <hyperlink xmlns:r="http://schemas.openxmlformats.org/officeDocument/2006/relationships" ref="Q45" r:id="rId5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栃木県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宇都宮市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c r="T4" s="11" t="inlineStr">
        <is>
          <t>掲載（広域：芳賀・宇都宮）</t>
        </is>
      </c>
    </row>
    <row r="5">
      <c r="A5" s="11" t="n">
        <v>2</v>
      </c>
      <c r="B5" s="11" t="inlineStr">
        <is>
          <t>足利市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c r="T5" s="11" t="inlineStr">
        <is>
          <t>掲載</t>
        </is>
      </c>
    </row>
    <row r="6">
      <c r="A6" s="11" t="n">
        <v>3</v>
      </c>
      <c r="B6" s="11" t="inlineStr">
        <is>
          <t>栃木市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栃木市地域公共交通計画（R6.6改定）</t>
        </is>
      </c>
      <c r="G6" s="11" t="inlineStr">
        <is>
          <t>R6.6〜R9</t>
        </is>
      </c>
      <c r="H6" s="13" t="n">
        <v>9</v>
      </c>
      <c r="I6" s="13" t="inlineStr">
        <is>
          <t>確認済</t>
        </is>
      </c>
      <c r="J6" s="13" t="inlineStr">
        <is>
          <t>着手済</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5" t="inlineStr">
        <is>
          <t>調査済</t>
        </is>
      </c>
      <c r="T6" s="11" t="inlineStr">
        <is>
          <t>掲載</t>
        </is>
      </c>
    </row>
    <row r="7">
      <c r="A7" s="11" t="n">
        <v>4</v>
      </c>
      <c r="B7" s="11" t="inlineStr">
        <is>
          <t>佐野市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c r="T7" s="11" t="inlineStr">
        <is>
          <t>掲載</t>
        </is>
      </c>
    </row>
    <row r="8">
      <c r="A8" s="11" t="n">
        <v>5</v>
      </c>
      <c r="B8" s="11" t="inlineStr">
        <is>
          <t>鹿沼市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5" t="inlineStr">
        <is>
          <t>調査済</t>
        </is>
      </c>
      <c r="T8" s="11" t="inlineStr">
        <is>
          <t>掲載</t>
        </is>
      </c>
    </row>
    <row r="9">
      <c r="A9" s="11" t="n">
        <v>6</v>
      </c>
      <c r="B9" s="11" t="inlineStr">
        <is>
          <t>日光市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5" t="inlineStr">
        <is>
          <t>調査済</t>
        </is>
      </c>
      <c r="T9" s="11" t="inlineStr">
        <is>
          <t>掲載</t>
        </is>
      </c>
    </row>
    <row r="10">
      <c r="A10" s="11" t="n">
        <v>7</v>
      </c>
      <c r="B10" s="11" t="inlineStr">
        <is>
          <t>小山市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c r="T10" s="11" t="inlineStr">
        <is>
          <t>掲載</t>
        </is>
      </c>
    </row>
    <row r="11">
      <c r="A11" s="11" t="n">
        <v>8</v>
      </c>
      <c r="B11" s="11" t="inlineStr">
        <is>
          <t>真岡市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c r="T11" s="11" t="inlineStr">
        <is>
          <t>掲載</t>
        </is>
      </c>
    </row>
    <row r="12">
      <c r="A12" s="11" t="n">
        <v>9</v>
      </c>
      <c r="B12" s="11" t="inlineStr">
        <is>
          <t>大田原市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5" t="inlineStr">
        <is>
          <t>調査済</t>
        </is>
      </c>
      <c r="T12" s="11" t="inlineStr">
        <is>
          <t>掲載（広域：第2次那須地域定住自立圏）</t>
        </is>
      </c>
    </row>
    <row r="13">
      <c r="A13" s="11" t="n">
        <v>10</v>
      </c>
      <c r="B13" s="11" t="inlineStr">
        <is>
          <t>矢板市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R4〜（終期不明）</t>
        </is>
      </c>
      <c r="N13" s="13" t="n"/>
      <c r="O13" s="13" t="inlineStr">
        <is>
          <t>不明</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t>
        </is>
      </c>
      <c r="S13" s="15" t="inlineStr">
        <is>
          <t>調査済</t>
        </is>
      </c>
      <c r="T13" s="11" t="inlineStr">
        <is>
          <t>掲載</t>
        </is>
      </c>
    </row>
    <row r="14">
      <c r="A14" s="11" t="n">
        <v>11</v>
      </c>
      <c r="B14" s="11" t="inlineStr">
        <is>
          <t>那須塩原市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5" t="inlineStr">
        <is>
          <t>調査済</t>
        </is>
      </c>
      <c r="T14" s="11" t="inlineStr">
        <is>
          <t>掲載（広域：第2次那須地域定住自立圏）</t>
        </is>
      </c>
    </row>
    <row r="15">
      <c r="A15" s="11" t="n">
        <v>12</v>
      </c>
      <c r="B15" s="11" t="inlineStr">
        <is>
          <t>さくら市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5" t="inlineStr">
        <is>
          <t>調査済</t>
        </is>
      </c>
      <c r="T15" s="11" t="inlineStr">
        <is>
          <t>掲載</t>
        </is>
      </c>
    </row>
    <row r="16">
      <c r="A16" s="11" t="n">
        <v>13</v>
      </c>
      <c r="B16" s="11" t="inlineStr">
        <is>
          <t>那須烏山市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第2次那須烏山市環境基本計画（R4頃策定）</t>
        </is>
      </c>
      <c r="M16" s="11" t="inlineStr">
        <is>
          <t>不明</t>
        </is>
      </c>
      <c r="N16" s="13" t="n"/>
      <c r="O16" s="13" t="inlineStr">
        <is>
          <t>不明</t>
        </is>
      </c>
      <c r="P16" s="13" t="inlineStr">
        <is>
          <t>未確認</t>
        </is>
      </c>
      <c r="Q16" s="14" t="inlineStr">
        <is>
          <t>https://www.city.nasukarasuyama.lg.jp/page/page000773.html</t>
        </is>
      </c>
      <c r="R16" s="11" t="inlineStr">
        <is>
          <t>交通：R7で終了とみられるが、次の計画の状況（策定済・延長・作業中）を確認できず。直接確認が必要。</t>
        </is>
      </c>
      <c r="S16" s="15" t="inlineStr">
        <is>
          <t>調査済</t>
        </is>
      </c>
      <c r="T16" s="11" t="inlineStr">
        <is>
          <t>掲載</t>
        </is>
      </c>
    </row>
    <row r="17">
      <c r="A17" s="11" t="n">
        <v>14</v>
      </c>
      <c r="B17" s="11" t="inlineStr">
        <is>
          <t>下野市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第2次下野市環境基本計画</t>
        </is>
      </c>
      <c r="M17" s="11" t="inlineStr">
        <is>
          <t>不明</t>
        </is>
      </c>
      <c r="N17" s="13" t="n"/>
      <c r="O17" s="13" t="inlineStr">
        <is>
          <t>不明</t>
        </is>
      </c>
      <c r="P17" s="13" t="inlineStr">
        <is>
          <t>未確認</t>
        </is>
      </c>
      <c r="Q17" s="14" t="inlineStr">
        <is>
          <t>https://www.city.shimotsuke.lg.jp/office0109/section-3.html</t>
        </is>
      </c>
      <c r="R17" s="11" t="inlineStr">
        <is>
          <t>交通：新計画をR8.3策定済。環境：期間を確認できず。</t>
        </is>
      </c>
      <c r="S17" s="15" t="inlineStr">
        <is>
          <t>調査済</t>
        </is>
      </c>
      <c r="T17" s="11" t="inlineStr">
        <is>
          <t>掲載</t>
        </is>
      </c>
    </row>
    <row r="18">
      <c r="A18" s="11" t="n">
        <v>15</v>
      </c>
      <c r="B18" s="11" t="inlineStr">
        <is>
          <t>上三川町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c r="T18" s="11" t="inlineStr">
        <is>
          <t>掲載</t>
        </is>
      </c>
    </row>
    <row r="19">
      <c r="A19" s="11" t="n">
        <v>16</v>
      </c>
      <c r="B19" s="11" t="inlineStr">
        <is>
          <t>益子町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c r="T19" s="11" t="inlineStr">
        <is>
          <t>掲載</t>
        </is>
      </c>
    </row>
    <row r="20">
      <c r="A20" s="11" t="n">
        <v>17</v>
      </c>
      <c r="B20" s="11" t="inlineStr">
        <is>
          <t>茂木町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c r="T20" s="11" t="inlineStr">
        <is>
          <t>掲載</t>
        </is>
      </c>
    </row>
    <row r="21">
      <c r="A21" s="11" t="n">
        <v>18</v>
      </c>
      <c r="B21" s="11" t="inlineStr">
        <is>
          <t>市貝町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t>
        </is>
      </c>
      <c r="M21" s="11" t="inlineStr">
        <is>
          <t>不明</t>
        </is>
      </c>
      <c r="N21" s="13" t="n"/>
      <c r="O21" s="13" t="inlineStr">
        <is>
          <t>不明</t>
        </is>
      </c>
      <c r="P21" s="13" t="inlineStr">
        <is>
          <t>未確認</t>
        </is>
      </c>
      <c r="Q21" s="14" t="inlineStr">
        <is>
          <t>https://www.town.ichikai.tochigi.jp/info/1814</t>
        </is>
      </c>
      <c r="R21" s="11" t="inlineStr">
        <is>
          <t>どちらも期間を確認できず。</t>
        </is>
      </c>
      <c r="S21" s="15" t="inlineStr">
        <is>
          <t>調査済</t>
        </is>
      </c>
      <c r="T21" s="11" t="inlineStr">
        <is>
          <t>掲載</t>
        </is>
      </c>
    </row>
    <row r="22">
      <c r="A22" s="11" t="n">
        <v>19</v>
      </c>
      <c r="B22" s="11" t="inlineStr">
        <is>
          <t>芳賀町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c r="T22" s="11" t="inlineStr">
        <is>
          <t>掲載（広域：芳賀・宇都宮）</t>
        </is>
      </c>
    </row>
    <row r="23">
      <c r="A23" s="11" t="n">
        <v>20</v>
      </c>
      <c r="B23" s="11" t="inlineStr">
        <is>
          <t>壬生町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c r="T23" s="11" t="inlineStr">
        <is>
          <t>掲載</t>
        </is>
      </c>
    </row>
    <row r="24">
      <c r="A24" s="11" t="n">
        <v>21</v>
      </c>
      <c r="B24" s="11" t="inlineStr">
        <is>
          <t>野木町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c r="T24" s="11" t="inlineStr">
        <is>
          <t>掲載</t>
        </is>
      </c>
    </row>
    <row r="25">
      <c r="A25" s="11" t="n">
        <v>22</v>
      </c>
      <c r="B25" s="11" t="inlineStr">
        <is>
          <t>塩谷町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c r="T25" s="11" t="inlineStr">
        <is>
          <t>掲載</t>
        </is>
      </c>
    </row>
    <row r="26">
      <c r="A26" s="11" t="n">
        <v>23</v>
      </c>
      <c r="B26" s="11" t="inlineStr">
        <is>
          <t>高根沢町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c r="T26" s="11" t="inlineStr">
        <is>
          <t>掲載</t>
        </is>
      </c>
    </row>
    <row r="27">
      <c r="A27" s="11" t="n">
        <v>24</v>
      </c>
      <c r="B27" s="11" t="inlineStr">
        <is>
          <t>那須町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5" t="inlineStr">
        <is>
          <t>調査済</t>
        </is>
      </c>
      <c r="T27" s="11" t="inlineStr">
        <is>
          <t>掲載（広域：第2次那須地域定住自立圏）</t>
        </is>
      </c>
    </row>
    <row r="28">
      <c r="A28" s="11" t="n">
        <v>25</v>
      </c>
      <c r="B28" s="11" t="inlineStr">
        <is>
          <t>那珂川町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不明</t>
        </is>
      </c>
      <c r="N28" s="13" t="n"/>
      <c r="O28" s="13" t="inlineStr">
        <is>
          <t>不明</t>
        </is>
      </c>
      <c r="P28" s="13" t="inlineStr">
        <is>
          <t>未確認</t>
        </is>
      </c>
      <c r="Q28" s="14" t="inlineStr">
        <is>
          <t>https://www.town.tochigi-nakagawa.lg.jp/35kankyo/01keikaku/index.html</t>
        </is>
      </c>
      <c r="R28" s="11"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t>
        </is>
      </c>
      <c r="S28" s="15" t="inlineStr">
        <is>
          <t>調査済</t>
        </is>
      </c>
      <c r="T28" s="11" t="inlineStr">
        <is>
          <t>掲載（広域：第2次那須地域定住自立圏）</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2026-10-02T01:37:11Z</dcterms:created>
  <dcterms:modified xsi:type="dcterms:W3CDTF">2026-10-02T01:37:11Z</dcterms:modified>
</cp:coreProperties>
</file>