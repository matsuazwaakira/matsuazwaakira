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栃木県" sheetId="2" state="visible" r:id="rId2"/>
    <sheet name="茨城県" sheetId="3" state="visible" r:id="rId3"/>
    <sheet name="福島県" sheetId="4" state="visible" r:id="rId4"/>
    <sheet name="青森県" sheetId="5" state="visible" r:id="rId5"/>
  </sheets>
  <definedNames>
    <definedName name="_xlnm._FilterDatabase" localSheetId="1" hidden="1">'栃木県'!$A$3:$S$28</definedName>
    <definedName name="_xlnm._FilterDatabase" localSheetId="2" hidden="1">'茨城県'!$A$3:$S$47</definedName>
    <definedName name="_xlnm._FilterDatabase" localSheetId="3" hidden="1">'福島県'!$A$3:$S$62</definedName>
    <definedName name="_xlnm._FilterDatabase" localSheetId="4" hidden="1">'青森県'!$A$3:$S$43</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s>
  <fills count="4">
    <fill>
      <patternFill/>
    </fill>
    <fill>
      <patternFill patternType="gray125"/>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horizontal="center" vertical="top"/>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utsunomiya.lg.jp/_res/projects/default_project/_page_/001/035/885/chiikikeikaku.pdf" TargetMode="External" Id="rId1" /><Relationship Type="http://schemas.openxmlformats.org/officeDocument/2006/relationships/hyperlink" Target="https://www.city.utsunomiya.lg.jp/_res/projects/default_project/_page_/001/045/465/4ji_sasshi.pdf" TargetMode="External" Id="rId2" /><Relationship Type="http://schemas.openxmlformats.org/officeDocument/2006/relationships/hyperlink" Target="https://www.city.ashikaga.tochigi.jp/manage/contents/upload/64dc71a539bc0.pdf" TargetMode="External" Id="rId3" /><Relationship Type="http://schemas.openxmlformats.org/officeDocument/2006/relationships/hyperlink" Target="https://www.city.ashikaga.tochigi.jp/manage/contents/upload/633fd39cd506a.pdf" TargetMode="External" Id="rId4" /><Relationship Type="http://schemas.openxmlformats.org/officeDocument/2006/relationships/hyperlink" Target="https://www.city.tochigi.lg.jp/uploaded/attachment/56361.pdf" TargetMode="External" Id="rId5" /><Relationship Type="http://schemas.openxmlformats.org/officeDocument/2006/relationships/hyperlink" Target="https://www.city.tochigi.lg.jp/uploaded/attachment/60576.pdf" TargetMode="External" Id="rId6" /><Relationship Type="http://schemas.openxmlformats.org/officeDocument/2006/relationships/hyperlink" Target="https://www.city.sano.lg.jp/material/files/group/1/koutuukeikaku2.pdf" TargetMode="External" Id="rId7" /><Relationship Type="http://schemas.openxmlformats.org/officeDocument/2006/relationships/hyperlink" Target="https://www.city.sano.lg.jp/material/files/group/1/kankyoukouki2.pdf" TargetMode="External" Id="rId8" /><Relationship Type="http://schemas.openxmlformats.org/officeDocument/2006/relationships/hyperlink" Target="https://www.city.kanuma.tochigi.jp/manage/contents/upload/623824c0af645.pdf" TargetMode="External" Id="rId9" /><Relationship Type="http://schemas.openxmlformats.org/officeDocument/2006/relationships/hyperlink" Target="https://www.city.kanuma.tochigi.jp/0097/info-0000007871-1.html" TargetMode="External" Id="rId10" /><Relationship Type="http://schemas.openxmlformats.org/officeDocument/2006/relationships/hyperlink" Target="https://www.city.nikko.lg.jp/material/files/group/33/tiikikoukyoukoutuukeikaku.pdf" TargetMode="External" Id="rId11" /><Relationship Type="http://schemas.openxmlformats.org/officeDocument/2006/relationships/hyperlink" Target="https://www.city.nikko.lg.jp/soshiki/6/1031/5/1/1/125.html" TargetMode="External" Id="rId12" /><Relationship Type="http://schemas.openxmlformats.org/officeDocument/2006/relationships/hyperlink" Target="https://www.city.oyama.tochigi.jp/o-bus/news/page011195.html" TargetMode="External" Id="rId13" /><Relationship Type="http://schemas.openxmlformats.org/officeDocument/2006/relationships/hyperlink" Target="https://www.city.oyama.tochigi.jp/data/doc/1700382745_doc_21_0.pdf" TargetMode="External" Id="rId14" /><Relationship Type="http://schemas.openxmlformats.org/officeDocument/2006/relationships/hyperlink" Target="https://www.city.moka.lg.jp/material/files/group/47/kotsu_plan_r8.pdf" TargetMode="External" Id="rId15" /><Relationship Type="http://schemas.openxmlformats.org/officeDocument/2006/relationships/hyperlink" Target="https://www.city.moka.lg.jp/material/files/group/22/20260416kankyougaiyouban.pdf" TargetMode="External" Id="rId16" /><Relationship Type="http://schemas.openxmlformats.org/officeDocument/2006/relationships/hyperlink" Target="https://www.city.ohtawara.tochigi.jp/docs/2026073100056" TargetMode="External" Id="rId17" /><Relationship Type="http://schemas.openxmlformats.org/officeDocument/2006/relationships/hyperlink" Target="https://www.city.ohtawara.tochigi.jp/docs/2026013000019" TargetMode="External" Id="rId18" /><Relationship Type="http://schemas.openxmlformats.org/officeDocument/2006/relationships/hyperlink" Target="https://www.city.yaita.tochigi.jp/soshiki/toshiseibi/koukyoukoutsu-plan.html" TargetMode="External" Id="rId19" /><Relationship Type="http://schemas.openxmlformats.org/officeDocument/2006/relationships/hyperlink" Target="https://www.city.yaita.tochigi.jp/soshiki/seikatsukankyou/kankyo-kihon.html" TargetMode="External" Id="rId20" /><Relationship Type="http://schemas.openxmlformats.org/officeDocument/2006/relationships/hyperlink" Target="https://www.city.nasushiobara.tochigi.jp/material/files/group/15/nasushiobaracity_2nd_publictransportation.pdf" TargetMode="External" Id="rId21" /><Relationship Type="http://schemas.openxmlformats.org/officeDocument/2006/relationships/hyperlink" Target="https://www.city.nasushiobara.tochigi.jp/material/files/group/13/dai2ki_kankyokihonkeikaku_an.pdf" TargetMode="External" Id="rId22" /><Relationship Type="http://schemas.openxmlformats.org/officeDocument/2006/relationships/hyperlink" Target="https://www.city.tochigi-sakura.lg.jp/life/000017/p003140.html" TargetMode="External" Id="rId23" /><Relationship Type="http://schemas.openxmlformats.org/officeDocument/2006/relationships/hyperlink" Target="https://www.city.tochigi-sakura.lg.jp/life/000014/000121/000403/p001957.html" TargetMode="External" Id="rId24" /><Relationship Type="http://schemas.openxmlformats.org/officeDocument/2006/relationships/hyperlink" Target="https://www.city.nasukarasuyama.lg.jp/page/page000722.html" TargetMode="External" Id="rId25" /><Relationship Type="http://schemas.openxmlformats.org/officeDocument/2006/relationships/hyperlink" Target="https://www.city.nasukarasuyama.lg.jp/page/page000773.html" TargetMode="External" Id="rId26" /><Relationship Type="http://schemas.openxmlformats.org/officeDocument/2006/relationships/hyperlink" Target="https://www.city.shimotsuke.lg.jp/0170/info-0000005122-3.html" TargetMode="External" Id="rId27" /><Relationship Type="http://schemas.openxmlformats.org/officeDocument/2006/relationships/hyperlink" Target="https://www.city.shimotsuke.lg.jp/office0109/section-3.html" TargetMode="External" Id="rId28" /><Relationship Type="http://schemas.openxmlformats.org/officeDocument/2006/relationships/hyperlink" Target="https://www.town.kaminokawa.lg.jp/0166/info-0000001338-0.html" TargetMode="External" Id="rId29" /><Relationship Type="http://schemas.openxmlformats.org/officeDocument/2006/relationships/hyperlink" Target="https://www.town.kaminokawa.lg.jp/0003/info-0000003247-0.html" TargetMode="External" Id="rId30" /><Relationship Type="http://schemas.openxmlformats.org/officeDocument/2006/relationships/hyperlink" Target="https://www.town.mashiko.lg.jp/page/page003396.html" TargetMode="External" Id="rId31" /><Relationship Type="http://schemas.openxmlformats.org/officeDocument/2006/relationships/hyperlink" Target="https://www.town.mashiko.lg.jp/page/page000467.html" TargetMode="External" Id="rId32" /><Relationship Type="http://schemas.openxmlformats.org/officeDocument/2006/relationships/hyperlink" Target="https://www.town.motegi.tochigi.jp/motegi/nextpage.php?cd=6374&amp;syurui=2" TargetMode="External" Id="rId33" /><Relationship Type="http://schemas.openxmlformats.org/officeDocument/2006/relationships/hyperlink" Target="https://www.town.motegi.tochigi.jp/motegi/nextpage.php?cd=7672&amp;syurui=2" TargetMode="External" Id="rId34" /><Relationship Type="http://schemas.openxmlformats.org/officeDocument/2006/relationships/hyperlink" Target="https://www.town.ichikai.tochigi.jp/info/785" TargetMode="External" Id="rId35" /><Relationship Type="http://schemas.openxmlformats.org/officeDocument/2006/relationships/hyperlink" Target="https://www.town.ichikai.tochigi.jp/info/1814" TargetMode="External" Id="rId36" /><Relationship Type="http://schemas.openxmlformats.org/officeDocument/2006/relationships/hyperlink" Target="https://www.town.tochigi-haga.lg.jp/kurashi/sekatsu/kokyokotsu/koukyoukoutsuu/koukyoukoutsuu6.html" TargetMode="External" Id="rId37" /><Relationship Type="http://schemas.openxmlformats.org/officeDocument/2006/relationships/hyperlink" Target="https://www.town.tochigi-haga.lg.jp/kurashi/kurashi/ka-bonnyu-toraru/documents/jitugennkeikaku1.pdf" TargetMode="External" Id="rId38" /><Relationship Type="http://schemas.openxmlformats.org/officeDocument/2006/relationships/hyperlink" Target="https://www.town.mibu.tochigi.jp/docs/2026042000042" TargetMode="External" Id="rId39" /><Relationship Type="http://schemas.openxmlformats.org/officeDocument/2006/relationships/hyperlink" Target="https://www.town.mibu.tochigi.jp/docs/2025032700030/file_contents/mibumachikankyokihonkeikaku.pdf" TargetMode="External" Id="rId40" /><Relationship Type="http://schemas.openxmlformats.org/officeDocument/2006/relationships/hyperlink" Target="https://www.town.nogi.lg.jp/cyousei/cyousei_jyouhou/keikaku/keikaku_toshiseibi/page005745.html" TargetMode="External" Id="rId41" /><Relationship Type="http://schemas.openxmlformats.org/officeDocument/2006/relationships/hyperlink" Target="https://www.town.nogi.lg.jp/kurashi/kankyou/ondanka/hojo/" TargetMode="External" Id="rId42" /><Relationship Type="http://schemas.openxmlformats.org/officeDocument/2006/relationships/hyperlink" Target="https://www.town.shioya.tochigi.jp/info/2531" TargetMode="External" Id="rId43" /><Relationship Type="http://schemas.openxmlformats.org/officeDocument/2006/relationships/hyperlink" Target="https://www.town.shioya.tochigi.jp/info/2490" TargetMode="External" Id="rId44" /><Relationship Type="http://schemas.openxmlformats.org/officeDocument/2006/relationships/hyperlink" Target="https://www.town.takanezawa.tochigi.jp/gyosei/plan/bunya/documents/202604koutsukeikaku.pdf" TargetMode="External" Id="rId45" /><Relationship Type="http://schemas.openxmlformats.org/officeDocument/2006/relationships/hyperlink" Target="https://www.town.takanezawa.tochigi.jp/life/kankyo/keikaku/documents/kankyoukihon2026gaiyou.pdf" TargetMode="External" Id="rId46" /><Relationship Type="http://schemas.openxmlformats.org/officeDocument/2006/relationships/hyperlink" Target="https://www.town.nasu.lg.jp/manage/contents/upload/6243b2b07f368.pdf" TargetMode="External" Id="rId47" /><Relationship Type="http://schemas.openxmlformats.org/officeDocument/2006/relationships/hyperlink" Target="http://www.town.nasu.lg.jp/0076/info-0000004347-1.html" TargetMode="External" Id="rId48" /><Relationship Type="http://schemas.openxmlformats.org/officeDocument/2006/relationships/hyperlink" Target="https://www.city.nasushiobara.tochigi.jp/soshikikarasagasu/kb/shinoseisakutokeikaku/1/5504.html" TargetMode="External" Id="rId49" /><Relationship Type="http://schemas.openxmlformats.org/officeDocument/2006/relationships/hyperlink" Target="https://www.town.tochigi-nakagawa.lg.jp/35kankyo/01keikaku/index.html" TargetMode="External" Id="rId50" /></Relationships>
</file>

<file path=xl/worksheets/_rels/sheet3.xml.rels><Relationships xmlns="http://schemas.openxmlformats.org/package/2006/relationships"><Relationship Type="http://schemas.openxmlformats.org/officeDocument/2006/relationships/hyperlink" Target="https://www.city.mito.lg.jp/page/117784.html" TargetMode="External" Id="rId1" /><Relationship Type="http://schemas.openxmlformats.org/officeDocument/2006/relationships/hyperlink" Target="https://www.city.mito.lg.jp/page/3982.html" TargetMode="External" Id="rId2" /><Relationship Type="http://schemas.openxmlformats.org/officeDocument/2006/relationships/hyperlink" Target="https://www.city.hitachi.lg.jp/machizukuri_kankyo/kotsu_doro/1002832/1012175.html" TargetMode="External" Id="rId3" /><Relationship Type="http://schemas.openxmlformats.org/officeDocument/2006/relationships/hyperlink" Target="https://www.city.hitachi.lg.jp/_res/projects/default_project/_page_/001/011/987/keikakuhonpen.pdf" TargetMode="External" Id="rId4" /><Relationship Type="http://schemas.openxmlformats.org/officeDocument/2006/relationships/hyperlink" Target="https://www.city.tsuchiura.lg.jp/page/page009677.html" TargetMode="External" Id="rId5" /><Relationship Type="http://schemas.openxmlformats.org/officeDocument/2006/relationships/hyperlink" Target="https://www.city.tsuchiura.lg.jp/shisei/shinokeikaku/kankyo-kotsu-machizukuri/page017189.html" TargetMode="External" Id="rId6" /><Relationship Type="http://schemas.openxmlformats.org/officeDocument/2006/relationships/hyperlink" Target="https://www.city.ibaraki-koga.lg.jp/material/files/group/80/kogasikoukyoukoutuukeikaku2.pdf" TargetMode="External" Id="rId7" /><Relationship Type="http://schemas.openxmlformats.org/officeDocument/2006/relationships/hyperlink" Target="https://www.city.ibaraki-koga.lg.jp/material/files/group/21/kankyoukeikakuhyousi.pdf" TargetMode="External" Id="rId8" /><Relationship Type="http://schemas.openxmlformats.org/officeDocument/2006/relationships/hyperlink" Target="https://www.city.ishioka.lg.jp/data/doc/1712650110_doc_103_0.pdf" TargetMode="External" Id="rId9" /><Relationship Type="http://schemas.openxmlformats.org/officeDocument/2006/relationships/hyperlink" Target="https://www.city.ishioka.lg.jp/data/doc/1749196597_doc_45_0.pdf" TargetMode="External" Id="rId10" /><Relationship Type="http://schemas.openxmlformats.org/officeDocument/2006/relationships/hyperlink" Target="https://www.city.yuki.lg.jp/shisei/publiccomment/r02/page006785.html" TargetMode="External" Id="rId11" /><Relationship Type="http://schemas.openxmlformats.org/officeDocument/2006/relationships/hyperlink" Target="https://www.city.ryugasaki.ibaraki.jp/kurashi/seikatsu/kokyokotsu/keikaku/20220329131428914.files/01.pdf" TargetMode="External" Id="rId12" /><Relationship Type="http://schemas.openxmlformats.org/officeDocument/2006/relationships/hyperlink" Target="https://www.city.ryugasaki.ibaraki.jp/kurashi/kankyo/kankyo/kankyohakusyo/r7-kakyohakusyo.files/R7kankyo-hakusyo.pdf" TargetMode="External" Id="rId13" /><Relationship Type="http://schemas.openxmlformats.org/officeDocument/2006/relationships/hyperlink" Target="https://www.city.hitachiota.ibaraki.jp/data/doc/1651137157_doc_40_0.pdf" TargetMode="External" Id="rId14" /><Relationship Type="http://schemas.openxmlformats.org/officeDocument/2006/relationships/hyperlink" Target="https://www.city.hitachiota.ibaraki.jp/page/page009600.html" TargetMode="External" Id="rId15" /><Relationship Type="http://schemas.openxmlformats.org/officeDocument/2006/relationships/hyperlink" Target="https://www.city.takahagi.ibaraki.jp/kurashi/sumai/kankyou/ondanka/page004519.html" TargetMode="External" Id="rId16" /><Relationship Type="http://schemas.openxmlformats.org/officeDocument/2006/relationships/hyperlink" Target="https://www.city.kitaibaraki.lg.jp/docs/2024013000015" TargetMode="External" Id="rId17" /><Relationship Type="http://schemas.openxmlformats.org/officeDocument/2006/relationships/hyperlink" Target="https://cms.city.kitaibaraki.lg.jp/docs/2025060500022/file_contents/file_20256113161234_1.pdf" TargetMode="External" Id="rId18" /><Relationship Type="http://schemas.openxmlformats.org/officeDocument/2006/relationships/hyperlink" Target="https://www.city.kasama.lg.jp/data/doc/1758843883_doc_70_0.pdf" TargetMode="External" Id="rId19" /><Relationship Type="http://schemas.openxmlformats.org/officeDocument/2006/relationships/hyperlink" Target="https://www.city.kasama.lg.jp/data/doc/1774510801_doc_207_0.pdf" TargetMode="External" Id="rId20" /><Relationship Type="http://schemas.openxmlformats.org/officeDocument/2006/relationships/hyperlink" Target="https://www.city.toride.ibaraki.jp/seisaku/shise/machizukuri/sogo/plan2024/kanrenkeikaku.html" TargetMode="External" Id="rId21" /><Relationship Type="http://schemas.openxmlformats.org/officeDocument/2006/relationships/hyperlink" Target="https://www.city.toride.ibaraki.jp/seisaku/shise/machizukuri/sogo/plan2024/documents/33dai2jikannkyoukihonkeikaku.pdf" TargetMode="External" Id="rId22" /><Relationship Type="http://schemas.openxmlformats.org/officeDocument/2006/relationships/hyperlink" Target="https://www.city.ushiku.lg.jp/kurashi-tetsuduki/seikatsu/kokyokotsu/page014651.html" TargetMode="External" Id="rId23" /><Relationship Type="http://schemas.openxmlformats.org/officeDocument/2006/relationships/hyperlink" Target="https://www.city.ushiku.lg.jp/page/page002088.html" TargetMode="External" Id="rId24" /><Relationship Type="http://schemas.openxmlformats.org/officeDocument/2006/relationships/hyperlink" Target="https://www.city.tsukuba.lg.jp/material/files/group/137/3honpen.pdf" TargetMode="External" Id="rId25" /><Relationship Type="http://schemas.openxmlformats.org/officeDocument/2006/relationships/hyperlink" Target="https://www.city.hitachinaka.lg.jp/_res/projects/default_project/_page_/001/016/190/hitachinakashi_chiikikoukyoukoutuukeikakuan.pdf" TargetMode="External" Id="rId26" /><Relationship Type="http://schemas.openxmlformats.org/officeDocument/2006/relationships/hyperlink" Target="https://www.city.hitachinaka.lg.jp/_res/projects/default_project/_page_/001/017/041/kaiteigaiyoubann.pdf" TargetMode="External" Id="rId27" /><Relationship Type="http://schemas.openxmlformats.org/officeDocument/2006/relationships/hyperlink" Target="https://www.city.kashima.ibaraki.jp/uploaded/attachment/60268.pdf" TargetMode="External" Id="rId28" /><Relationship Type="http://schemas.openxmlformats.org/officeDocument/2006/relationships/hyperlink" Target="https://www.city.kashima.ibaraki.jp/uploaded/life/87842_130084_misc.pdf" TargetMode="External" Id="rId29" /><Relationship Type="http://schemas.openxmlformats.org/officeDocument/2006/relationships/hyperlink" Target="https://www.city.moriya.ibaraki.jp/kurashi_tetsuzuki/kankyo_gomi/1001993/1002006.html" TargetMode="External" Id="rId30" /><Relationship Type="http://schemas.openxmlformats.org/officeDocument/2006/relationships/hyperlink" Target="https://www.city.hitachiomiya.lg.jp/data/doc/1685520960_doc_100_0.pdf" TargetMode="External" Id="rId31" /><Relationship Type="http://schemas.openxmlformats.org/officeDocument/2006/relationships/hyperlink" Target="https://www.city.hitachiomiya.lg.jp/data/doc/1673312876_doc_1_0.pdf" TargetMode="External" Id="rId32" /><Relationship Type="http://schemas.openxmlformats.org/officeDocument/2006/relationships/hyperlink" Target="https://www.city.naka.lg.jp/gyousei/keikaku/page009444.html" TargetMode="External" Id="rId33" /><Relationship Type="http://schemas.openxmlformats.org/officeDocument/2006/relationships/hyperlink" Target="https://www.city.chikusei.lg.jp/machidukuri/traffic/page009177.html" TargetMode="External" Id="rId34" /><Relationship Type="http://schemas.openxmlformats.org/officeDocument/2006/relationships/hyperlink" Target="https://www.city.bando.lg.jp/page/page006076.html" TargetMode="External" Id="rId35" /><Relationship Type="http://schemas.openxmlformats.org/officeDocument/2006/relationships/hyperlink" Target="https://www.city.bando.lg.jp/page/page010074.html" TargetMode="External" Id="rId36" /><Relationship Type="http://schemas.openxmlformats.org/officeDocument/2006/relationships/hyperlink" Target="https://www.city.inashiki.lg.jp/page/page004756.html" TargetMode="External" Id="rId37" /><Relationship Type="http://schemas.openxmlformats.org/officeDocument/2006/relationships/hyperlink" Target="https://www.city.inashiki.lg.jp/page/page007577.html" TargetMode="External" Id="rId38" /><Relationship Type="http://schemas.openxmlformats.org/officeDocument/2006/relationships/hyperlink" Target="https://www.city.kasumigaura.lg.jp/data/doc/1605678793_doc_10_1.pdf" TargetMode="External" Id="rId39" /><Relationship Type="http://schemas.openxmlformats.org/officeDocument/2006/relationships/hyperlink" Target="https://www.city.kasumigaura.lg.jp/data/doc/1736999768_doc_11_0.pdf" TargetMode="External" Id="rId40" /><Relationship Type="http://schemas.openxmlformats.org/officeDocument/2006/relationships/hyperlink" Target="https://www.city.sakuragawa.lg.jp/sys/public/data/doc/1641257134_0.pdf" TargetMode="External" Id="rId41" /><Relationship Type="http://schemas.openxmlformats.org/officeDocument/2006/relationships/hyperlink" Target="https://www.city.sakuragawa.lg.jp/sys/public/data/doc/1578273137_0.pdf" TargetMode="External" Id="rId42" /><Relationship Type="http://schemas.openxmlformats.org/officeDocument/2006/relationships/hyperlink" Target="https://www.city.kamisu.ibaraki.jp/_res/projects/default_project/_page_/001/003/540/kokeikaku2.pdf" TargetMode="External" Id="rId43" /><Relationship Type="http://schemas.openxmlformats.org/officeDocument/2006/relationships/hyperlink" Target="https://www.city.kamisu.ibaraki.jp/_res/projects/default_project/_page_/001/004/216/kamisushikankyoukihonkeikaku.pdf" TargetMode="External" Id="rId44" /><Relationship Type="http://schemas.openxmlformats.org/officeDocument/2006/relationships/hyperlink" Target="https://www.city.namegata.ibaraki.jp/page/page010706.html" TargetMode="External" Id="rId45" /><Relationship Type="http://schemas.openxmlformats.org/officeDocument/2006/relationships/hyperlink" Target="https://www.city.hokota.lg.jp/data/doc/1654669803_doc_37_0.pdf" TargetMode="External" Id="rId46" /><Relationship Type="http://schemas.openxmlformats.org/officeDocument/2006/relationships/hyperlink" Target="https://www.city.tsukubamirai.lg.jp/jyumin/gomi-kankyou-doubutsu/kankyouhozen/page000080.html" TargetMode="External" Id="rId47" /><Relationship Type="http://schemas.openxmlformats.org/officeDocument/2006/relationships/hyperlink" Target="https://www.city.omitama.lg.jp/manage/contents/upload/602de700e73ca.pdf" TargetMode="External" Id="rId48" /><Relationship Type="http://schemas.openxmlformats.org/officeDocument/2006/relationships/hyperlink" Target="https://www.town.ibaraki.lg.jp/gyousei/kurashitetuduki/gomirisaikle/keikaku/index.html" TargetMode="External" Id="rId49" /><Relationship Type="http://schemas.openxmlformats.org/officeDocument/2006/relationships/hyperlink" Target="https://www.town.oarai.lg.jp/wp/wp-content/uploads/2023/07/%E5%A4%A7%E6%B4%97%E7%94%BA%E5%9C%B0%E5%9F%9F%E5%85%AC%E5%85%B1%E4%BA%A4%E9%80%9A%E8%A8%88%E7%94%BB.pdf" TargetMode="External" Id="rId50" /><Relationship Type="http://schemas.openxmlformats.org/officeDocument/2006/relationships/hyperlink" Target="https://www.town.oarai.lg.jp/wp/wp-content/uploads/2021/03/%E7%AC%AC2%E6%AC%A1%E5%A4%A7%E6%B4%97%E7%94%BA%E7%92%B0%E5%A2%83%E5%9F%BA%E6%9C%AC%E8%A8%88%E7%94%BB%EF%BC%88PDF%EF%BC%89.pdf" TargetMode="External" Id="rId51" /><Relationship Type="http://schemas.openxmlformats.org/officeDocument/2006/relationships/hyperlink" Target="https://www.town.shirosato.lg.jp/page/page006784.html" TargetMode="External" Id="rId52" /><Relationship Type="http://schemas.openxmlformats.org/officeDocument/2006/relationships/hyperlink" Target="https://www.town.shirosato.lg.jp/data/doc/1630301878_doc_711_0.pdf" TargetMode="External" Id="rId53" /><Relationship Type="http://schemas.openxmlformats.org/officeDocument/2006/relationships/hyperlink" Target="https://www.vill.tokai.ibaraki.jp/soshikikarasagasu/sangyobu/sangyoseisakuka/1/1_2/2/5673.html" TargetMode="External" Id="rId54" /><Relationship Type="http://schemas.openxmlformats.org/officeDocument/2006/relationships/hyperlink" Target="https://www.vill.tokai.ibaraki.jp/soshikikarasagasu/somminseikatsubu/kankyoseisakuka/1/1/4/11386.html" TargetMode="External" Id="rId55" /><Relationship Type="http://schemas.openxmlformats.org/officeDocument/2006/relationships/hyperlink" Target="https://www.town.ami.lg.jp/cmsfiles/contents/0000009/9640/keikaku.pdf" TargetMode="External" Id="rId56" /><Relationship Type="http://schemas.openxmlformats.org/officeDocument/2006/relationships/hyperlink" Target="https://www.town.ami.lg.jp/cmsfiles/contents/0000012/12659/1syou.pdf" TargetMode="External" Id="rId57" /><Relationship Type="http://schemas.openxmlformats.org/officeDocument/2006/relationships/hyperlink" Target="https://www.town.goka.lg.jp/data/doc/1690350530_doc_20_0.pdf" TargetMode="External" Id="rId58" /><Relationship Type="http://schemas.openxmlformats.org/officeDocument/2006/relationships/hyperlink" Target="https://www.town.goka.lg.jp/data/doc/1684388643_doc_20_0.pdf" TargetMode="External" Id="rId59" /></Relationships>
</file>

<file path=xl/worksheets/_rels/sheet4.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nihonmatsu.lg.jp/kurashi_tetsuduki/koutsu/page011927.html" TargetMode="External" Id="rId14" /><Relationship Type="http://schemas.openxmlformats.org/officeDocument/2006/relationships/hyperlink" Target="https://www.city.nihonmatsu.lg.jp/data/doc/1716164612_doc_33_0.pdf" TargetMode="External" Id="rId15" /><Relationship Type="http://schemas.openxmlformats.org/officeDocument/2006/relationships/hyperlink" Target="https://www.city.tamura.lg.jp/soshiki/1/assets/&#12304;set&#12305;&#30000;&#26449;&#24066;&#22320;&#22495;&#20844;&#20849;&#20132;&#36890;&#35336;&#30011;&#27010;&#35201;&#29256;2406&#25913;&#35330;.pdf" TargetMode="External" Id="rId16" /><Relationship Type="http://schemas.openxmlformats.org/officeDocument/2006/relationships/hyperlink" Target="https://www.city.minamisoma.lg.jp/material/files/group/3/202601281245.pdf" TargetMode="External" Id="rId17" /><Relationship Type="http://schemas.openxmlformats.org/officeDocument/2006/relationships/hyperlink" Target="https://www.city.minamisoma.lg.jp/material/files/group/3/20231024_co148.pdf" TargetMode="External" Id="rId18" /><Relationship Type="http://schemas.openxmlformats.org/officeDocument/2006/relationships/hyperlink" Target="https://www.city.fukushima-date.lg.jp/soshiki/86/47231.html" TargetMode="External" Id="rId19" /><Relationship Type="http://schemas.openxmlformats.org/officeDocument/2006/relationships/hyperlink" Target="https://www.city.fukushima-date.lg.jp/soshiki/86/47604.html" TargetMode="External" Id="rId20" /><Relationship Type="http://schemas.openxmlformats.org/officeDocument/2006/relationships/hyperlink" Target="https://www.city.motomiya.lg.jp/soshiki/10/tiikikoukyoukoutsuukeikaku.html" TargetMode="External" Id="rId21" /><Relationship Type="http://schemas.openxmlformats.org/officeDocument/2006/relationships/hyperlink" Target="https://www.vill.otama.fukushima.jp/gyousei_jouhou/keikaku/" TargetMode="External" Id="rId22" /><Relationship Type="http://schemas.openxmlformats.org/officeDocument/2006/relationships/hyperlink" Target="https://www.town.minamiaizu.lg.jp/official/soshikikarasagasu/sogoseisakuka/kakushukeikaku/1/3114.html" TargetMode="External" Id="rId23" /><Relationship Type="http://schemas.openxmlformats.org/officeDocument/2006/relationships/hyperlink" Target="https://www.town.minamiaizu.lg.jp/official/soshikikarasagasu/kankyosuidoka/kakushukeikaku/1/450.html" TargetMode="External" Id="rId24" /><Relationship Type="http://schemas.openxmlformats.org/officeDocument/2006/relationships/hyperlink" Target="https://www.pref.fukushima.lg.jp/sec/16005d/aizukeniki-keikaku-ribenkeikaku.html" TargetMode="External" Id="rId25" /><Relationship Type="http://schemas.openxmlformats.org/officeDocument/2006/relationships/hyperlink" Target="https://www.pref.fukushima.lg.jp/sec/16005d/aizukeniki-keikaku-ribenkeikaku.html" TargetMode="External" Id="rId26" /><Relationship Type="http://schemas.openxmlformats.org/officeDocument/2006/relationships/hyperlink" Target="https://www.pref.fukushima.lg.jp/sec/16005d/aizukeniki-keikaku-ribenkeikaku.html" TargetMode="External" Id="rId27" /><Relationship Type="http://schemas.openxmlformats.org/officeDocument/2006/relationships/hyperlink" Target="https://www.pref.fukushima.lg.jp/sec/16005d/aizukeniki-keikaku-ribenkeikaku.html" TargetMode="External" Id="rId28" /><Relationship Type="http://schemas.openxmlformats.org/officeDocument/2006/relationships/hyperlink" Target="https://www.vill.nishigo.fukushima.jp/material/files/group/3/koutsuukeikaku_soan_2026.pdf" TargetMode="External" Id="rId29" /><Relationship Type="http://schemas.openxmlformats.org/officeDocument/2006/relationships/hyperlink" Target="https://www.vill.nishigo.fukushima.jp/soshiki/kankyohozenka/kankyo_gomi/2/4547.html" TargetMode="External" Id="rId30" /><Relationship Type="http://schemas.openxmlformats.org/officeDocument/2006/relationships/hyperlink" Target="https://www.pref.fukushima.lg.jp/uploaded/attachment/622613.pdf" TargetMode="External" Id="rId31" /><Relationship Type="http://schemas.openxmlformats.org/officeDocument/2006/relationships/hyperlink" Target="https://www.pref.fukushima.lg.jp/uploaded/attachment/622613.pdf" TargetMode="External" Id="rId32" /><Relationship Type="http://schemas.openxmlformats.org/officeDocument/2006/relationships/hyperlink" Target="https://www.town.yabuki.fukushima.jp/page/page009573.html" TargetMode="External" Id="rId33" /><Relationship Type="http://schemas.openxmlformats.org/officeDocument/2006/relationships/hyperlink" Target="https://www.pref.fukushima.lg.jp/uploaded/attachment/622613.pdf" TargetMode="External" Id="rId34" /><Relationship Type="http://schemas.openxmlformats.org/officeDocument/2006/relationships/hyperlink" Target="https://www.town.tanagura.fukushima.jp/page/page001917.html"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pref.fukushima.lg.jp/uploaded/attachment/622613.pdf" TargetMode="External" Id="rId37" /><Relationship Type="http://schemas.openxmlformats.org/officeDocument/2006/relationships/hyperlink" Target="https://www.vill.samegawa.fukushima.jp/sp/page/page002592.html" TargetMode="External" Id="rId38" /><Relationship Type="http://schemas.openxmlformats.org/officeDocument/2006/relationships/hyperlink" Target="https://www.town.ishikawa.fukushima.jp/admin/project/03/24.html"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pref.fukushima.lg.jp/uploaded/attachment/622613.pdf" TargetMode="External" Id="rId41" /><Relationship Type="http://schemas.openxmlformats.org/officeDocument/2006/relationships/hyperlink" Target="https://www.pref.fukushima.lg.jp/uploaded/attachment/622613.pdf" TargetMode="External" Id="rId42" /><Relationship Type="http://schemas.openxmlformats.org/officeDocument/2006/relationships/hyperlink" Target="https://www.pref.fukushima.lg.jp/uploaded/attachment/622613.pdf" TargetMode="External" Id="rId43" /><Relationship Type="http://schemas.openxmlformats.org/officeDocument/2006/relationships/hyperlink" Target="https://www.pref.fukushima.lg.jp/sec/16005d/chiikikoukyoukasseikakyougikai.html" TargetMode="External" Id="rId44" /><Relationship Type="http://schemas.openxmlformats.org/officeDocument/2006/relationships/hyperlink" Target="https://www.pref.fukushima.lg.jp/sec/16005d/chiikikoukyoukasseikakyougikai.html" TargetMode="External" Id="rId45" /><Relationship Type="http://schemas.openxmlformats.org/officeDocument/2006/relationships/hyperlink" Target="https://www.pref.fukushima.lg.jp/sec/16005d/hinan-koutsuu-keikaku.html" TargetMode="External" Id="rId46" /><Relationship Type="http://schemas.openxmlformats.org/officeDocument/2006/relationships/hyperlink" Target="https://www.town.hirono.fukushima.jp/chousei/machidukuri/1003877/1005075.html" TargetMode="External" Id="rId47" /><Relationship Type="http://schemas.openxmlformats.org/officeDocument/2006/relationships/hyperlink" Target="https://www.pref.fukushima.lg.jp/sec/16005d/hinan-koutsuu-keikaku.html" TargetMode="External" Id="rId48" /><Relationship Type="http://schemas.openxmlformats.org/officeDocument/2006/relationships/hyperlink" Target="https://www.pref.fukushima.lg.jp/sec/16005d/hinan-koutsuu-keikaku.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pref.fukushima.lg.jp/sec/16005d/hinan-koutsuu-keikaku.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chiikikoukyoukasseikakyougikai.html" TargetMode="External" Id="rId55" /><Relationship Type="http://schemas.openxmlformats.org/officeDocument/2006/relationships/hyperlink" Target="https://www.pref.fukushima.lg.jp/sec/16005d/hinan-koutsuu-keikaku.html" TargetMode="External" Id="rId56" /></Relationships>
</file>

<file path=xl/worksheets/_rels/sheet5.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s>
</file>

<file path=xl/worksheets/sheet1.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自治体 地域公共交通計画・環境基本計画 終期一覧　集計・設定</t>
        </is>
      </c>
    </row>
    <row r="3">
      <c r="A3" s="2" t="inlineStr">
        <is>
          <t>■ 営業対象とする終期（令和年度）</t>
        </is>
      </c>
    </row>
    <row r="4">
      <c r="B4" s="3" t="inlineStr">
        <is>
          <t>下限</t>
        </is>
      </c>
      <c r="C4" s="4" t="n">
        <v>9</v>
      </c>
      <c r="D4" s="5" t="inlineStr">
        <is>
          <t>R8年度で終わる計画は作成中のため対象外（下限9）。数字を変えると全シートの判定が再計算されます。</t>
        </is>
      </c>
    </row>
    <row r="5">
      <c r="B5" s="3" t="inlineStr">
        <is>
          <t>上限</t>
        </is>
      </c>
      <c r="C5" s="4" t="n">
        <v>9</v>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栃木県</t>
        </is>
      </c>
      <c r="C9" s="3">
        <f>COUNTA('栃木県'!$C$4:$C$28)</f>
        <v/>
      </c>
      <c r="D9" s="3">
        <f>COUNTIF('栃木県'!$C$4:$C$28,"◎ 営業")</f>
        <v/>
      </c>
      <c r="E9" s="3">
        <f>COUNTIF('栃木県'!$C$4:$C$28,"△ 着手済・要確認")</f>
        <v/>
      </c>
      <c r="F9" s="3">
        <f>COUNTIF('栃木県'!$C$4:$C$28,"？ 期間要確認")</f>
        <v/>
      </c>
      <c r="G9" s="3">
        <f>COUNTIF('栃木県'!$C$4:$C$28,"✕ 対象外")</f>
        <v/>
      </c>
      <c r="H9" s="3">
        <f>COUNTIF('栃木県'!$S$4:$S$28,"未調査")</f>
        <v/>
      </c>
      <c r="I9" s="3">
        <f>COUNTIF('栃木県'!$S$4:$S$28,"交通のみ調査")+COUNTIF('栃木県'!$S$4:$S$28,"環境のみ調査")</f>
        <v/>
      </c>
    </row>
    <row r="10">
      <c r="B10" s="3" t="inlineStr">
        <is>
          <t>茨城県</t>
        </is>
      </c>
      <c r="C10" s="3">
        <f>COUNTA('茨城県'!$C$4:$C$47)</f>
        <v/>
      </c>
      <c r="D10" s="3">
        <f>COUNTIF('茨城県'!$C$4:$C$47,"◎ 営業")</f>
        <v/>
      </c>
      <c r="E10" s="3">
        <f>COUNTIF('茨城県'!$C$4:$C$47,"△ 着手済・要確認")</f>
        <v/>
      </c>
      <c r="F10" s="3">
        <f>COUNTIF('茨城県'!$C$4:$C$47,"？ 期間要確認")</f>
        <v/>
      </c>
      <c r="G10" s="3">
        <f>COUNTIF('茨城県'!$C$4:$C$47,"✕ 対象外")</f>
        <v/>
      </c>
      <c r="H10" s="3">
        <f>COUNTIF('茨城県'!$S$4:$S$47,"未調査")</f>
        <v/>
      </c>
      <c r="I10" s="3">
        <f>COUNTIF('茨城県'!$S$4:$S$47,"交通のみ調査")+COUNTIF('茨城県'!$S$4:$S$47,"環境のみ調査")</f>
        <v/>
      </c>
    </row>
    <row r="11">
      <c r="B11" s="3" t="inlineStr">
        <is>
          <t>福島県</t>
        </is>
      </c>
      <c r="C11" s="3">
        <f>COUNTA('福島県'!$C$4:$C$62)</f>
        <v/>
      </c>
      <c r="D11" s="3">
        <f>COUNTIF('福島県'!$C$4:$C$62,"◎ 営業")</f>
        <v/>
      </c>
      <c r="E11" s="3">
        <f>COUNTIF('福島県'!$C$4:$C$62,"△ 着手済・要確認")</f>
        <v/>
      </c>
      <c r="F11" s="3">
        <f>COUNTIF('福島県'!$C$4:$C$62,"？ 期間要確認")</f>
        <v/>
      </c>
      <c r="G11" s="3">
        <f>COUNTIF('福島県'!$C$4:$C$62,"✕ 対象外")</f>
        <v/>
      </c>
      <c r="H11" s="3">
        <f>COUNTIF('福島県'!$S$4:$S$62,"未調査")</f>
        <v/>
      </c>
      <c r="I11" s="3">
        <f>COUNTIF('福島県'!$S$4:$S$62,"交通のみ調査")+COUNTIF('福島県'!$S$4:$S$62,"環境のみ調査")</f>
        <v/>
      </c>
    </row>
    <row r="12">
      <c r="B12" s="3" t="inlineStr">
        <is>
          <t>青森県</t>
        </is>
      </c>
      <c r="C12" s="3">
        <f>COUNTA('青森県'!$C$4:$C$43)</f>
        <v/>
      </c>
      <c r="D12" s="3">
        <f>COUNTIF('青森県'!$C$4:$C$43,"◎ 営業")</f>
        <v/>
      </c>
      <c r="E12" s="3">
        <f>COUNTIF('青森県'!$C$4:$C$43,"△ 着手済・要確認")</f>
        <v/>
      </c>
      <c r="F12" s="3">
        <f>COUNTIF('青森県'!$C$4:$C$43,"？ 期間要確認")</f>
        <v/>
      </c>
      <c r="G12" s="3">
        <f>COUNTIF('青森県'!$C$4:$C$43,"✕ 対象外")</f>
        <v/>
      </c>
      <c r="H12" s="3">
        <f>COUNTIF('青森県'!$S$4:$S$43,"未調査")</f>
        <v/>
      </c>
      <c r="I12" s="3">
        <f>COUNTIF('青森県'!$S$4:$S$43,"交通のみ調査")+COUNTIF('青森県'!$S$4:$S$43,"環境のみ調査")</f>
        <v/>
      </c>
    </row>
    <row r="13">
      <c r="B13" s="2" t="inlineStr">
        <is>
          <t>合計</t>
        </is>
      </c>
      <c r="C13" s="2">
        <f>SUM(C9:C12)</f>
        <v/>
      </c>
      <c r="D13" s="2">
        <f>SUM(D9:D12)</f>
        <v/>
      </c>
      <c r="E13" s="2">
        <f>SUM(E9:E12)</f>
        <v/>
      </c>
      <c r="F13" s="2">
        <f>SUM(F9:F12)</f>
        <v/>
      </c>
      <c r="G13" s="2">
        <f>SUM(G9:G12)</f>
        <v/>
      </c>
      <c r="H13" s="2">
        <f>SUM(H9:H12)</f>
        <v/>
      </c>
      <c r="I13" s="2">
        <f>SUM(I9:I12)</f>
        <v/>
      </c>
    </row>
    <row r="15">
      <c r="A15" s="7" t="inlineStr">
        <is>
          <t>■ 判定の見方</t>
        </is>
      </c>
    </row>
    <row r="16">
      <c r="A16" s="8" t="inlineStr">
        <is>
          <t>◎ 営業：どちらかの計画の終期が対象年度（初期値R9）で、次の計画の作業は見つかっていない</t>
        </is>
      </c>
    </row>
    <row r="17">
      <c r="A17" s="8" t="inlineStr">
        <is>
          <t>△ 着手済・要確認：終期は対象年度だが、次期計画の策定業務委託やパブコメをすでに確認済。委託先が決まっている可能性が高い</t>
        </is>
      </c>
    </row>
    <row r="18">
      <c r="A18" s="8" t="inlineStr">
        <is>
          <t>？ 期間要確認：終期がわからないため判定できない</t>
        </is>
      </c>
    </row>
    <row r="19">
      <c r="A19" s="8" t="inlineStr">
        <is>
          <t>✕ 対象外：終期が対象年度の外（R8以前は作成中または終了、R10以降は先）、または新計画を策定済</t>
        </is>
      </c>
    </row>
    <row r="20">
      <c r="A20" s="8" t="inlineStr">
        <is>
          <t>－：その計画がない（環境基本計画を作っていない町村など）</t>
        </is>
      </c>
    </row>
    <row r="21">
      <c r="A21" s="8" t="inlineStr"/>
    </row>
    <row r="22">
      <c r="A22" s="7" t="inlineStr">
        <is>
          <t>■ 入力する列</t>
        </is>
      </c>
    </row>
    <row r="23">
      <c r="A23" s="8" t="inlineStr">
        <is>
          <t>各県シートの「終期(令和年度)」と「改定状況」（未確認／着手済／策定済／計画なし）を直すと、判定が自動で変わります。</t>
        </is>
      </c>
    </row>
    <row r="24">
      <c r="A24" s="8" t="inlineStr">
        <is>
          <t>「未確認」は、改定の動きが検索で見つからなかったという意味です。動きがないと確かめたわけではありません。</t>
        </is>
      </c>
    </row>
    <row r="25">
      <c r="A25" s="8" t="inlineStr">
        <is>
          <t>確度：確認済＝検索結果の本文に期間が書かれていた／推定＝策定時期などから推測（終期のセルは茶色の斜体）／不明＝確認できなかった</t>
        </is>
      </c>
    </row>
    <row r="26">
      <c r="A26" s="8" t="inlineStr"/>
    </row>
    <row r="27">
      <c r="A27" s="7" t="inlineStr">
        <is>
          <t>■ 調査の方法と限界</t>
        </is>
      </c>
    </row>
    <row r="28">
      <c r="A28" s="8" t="inlineStr">
        <is>
          <t>【重要】茨城・福島・青森は、検索回数の上限（1セッション200回）に達したため途中までしか調べられていません。「調査状況」列が「未調査」「交通のみ調査」の行は空欄・？になっていますが、計画がないという意味ではありません。</t>
        </is>
      </c>
    </row>
    <row r="29">
      <c r="A29" s="8" t="inlineStr">
        <is>
          <t>2026年9月30日時点でWeb検索して調べました。自治体サイトやPDFを直接開けない環境だったため、期間は検索結果の本文・要約から取っています。</t>
        </is>
      </c>
    </row>
    <row r="30">
      <c r="A30" s="8" t="inlineStr">
        <is>
          <t>計画リンクはエビデンスとして検索結果に出たURLを載せています。営業に行く前に、リンク先の計画書で計画期間を確かめてください。特に「推定」「不明」の行は必ず確認してください。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栃木県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宇都宮市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芳賀・宇都宮地域公共交通計画（芳賀町と共同）</t>
        </is>
      </c>
      <c r="G4" s="11" t="inlineStr">
        <is>
          <t>R6〜R15</t>
        </is>
      </c>
      <c r="H4" s="13" t="n">
        <v>15</v>
      </c>
      <c r="I4" s="13" t="inlineStr">
        <is>
          <t>確認済</t>
        </is>
      </c>
      <c r="J4" s="13" t="inlineStr">
        <is>
          <t>未確認</t>
        </is>
      </c>
      <c r="K4" s="14" t="inlineStr">
        <is>
          <t>https://www.city.utsunomiya.lg.jp/_res/projects/default_project/_page_/001/035/885/chiikikeikaku.pdf</t>
        </is>
      </c>
      <c r="L4" s="11" t="inlineStr">
        <is>
          <t>第4次宇都宮市環境基本計画</t>
        </is>
      </c>
      <c r="M4" s="11" t="inlineStr">
        <is>
          <t>R8〜R12</t>
        </is>
      </c>
      <c r="N4" s="13" t="n">
        <v>12</v>
      </c>
      <c r="O4" s="13" t="inlineStr">
        <is>
          <t>確認済</t>
        </is>
      </c>
      <c r="P4" s="13" t="inlineStr">
        <is>
          <t>策定済</t>
        </is>
      </c>
      <c r="Q4" s="14" t="inlineStr">
        <is>
          <t>https://www.city.utsunomiya.lg.jp/_res/projects/default_project/_page_/001/045/465/4ji_sasshi.pdf</t>
        </is>
      </c>
      <c r="R4" s="11" t="inlineStr">
        <is>
          <t>環境：第4次をR8.3策定済（R7.6諮問）。交通：R15まで、改定の動きなし。</t>
        </is>
      </c>
      <c r="S4" s="15" t="inlineStr">
        <is>
          <t>調査済</t>
        </is>
      </c>
    </row>
    <row r="5">
      <c r="A5" s="11" t="n">
        <v>2</v>
      </c>
      <c r="B5" s="11" t="inlineStr">
        <is>
          <t>足利市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足利市地域公共交通計画</t>
        </is>
      </c>
      <c r="G5" s="11" t="inlineStr">
        <is>
          <t>R5〜R11</t>
        </is>
      </c>
      <c r="H5" s="13" t="n">
        <v>11</v>
      </c>
      <c r="I5" s="13" t="inlineStr">
        <is>
          <t>確認済</t>
        </is>
      </c>
      <c r="J5" s="13" t="inlineStr">
        <is>
          <t>未確認</t>
        </is>
      </c>
      <c r="K5" s="14" t="inlineStr">
        <is>
          <t>https://www.city.ashikaga.tochigi.jp/manage/contents/upload/64dc71a539bc0.pdf</t>
        </is>
      </c>
      <c r="L5" s="11" t="inlineStr">
        <is>
          <t>第3次足利市環境基本計画</t>
        </is>
      </c>
      <c r="M5" s="11" t="inlineStr">
        <is>
          <t>R4〜R11</t>
        </is>
      </c>
      <c r="N5" s="13" t="n">
        <v>11</v>
      </c>
      <c r="O5" s="13" t="inlineStr">
        <is>
          <t>確認済</t>
        </is>
      </c>
      <c r="P5" s="13" t="inlineStr">
        <is>
          <t>未確認</t>
        </is>
      </c>
      <c r="Q5" s="14" t="inlineStr">
        <is>
          <t>https://www.city.ashikaga.tochigi.jp/manage/contents/upload/633fd39cd506a.pdf</t>
        </is>
      </c>
      <c r="R5" s="11" t="inlineStr">
        <is>
          <t>どちらもR11まで。改定の動きは見つからず。</t>
        </is>
      </c>
      <c r="S5" s="15" t="inlineStr">
        <is>
          <t>調査済</t>
        </is>
      </c>
    </row>
    <row r="6">
      <c r="A6" s="11" t="n">
        <v>3</v>
      </c>
      <c r="B6" s="11" t="inlineStr">
        <is>
          <t>栃木市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栃木市地域公共交通計画（R6.6改定）</t>
        </is>
      </c>
      <c r="G6" s="11" t="inlineStr">
        <is>
          <t>R6.6〜R9</t>
        </is>
      </c>
      <c r="H6" s="13" t="n">
        <v>9</v>
      </c>
      <c r="I6" s="13" t="inlineStr">
        <is>
          <t>確認済</t>
        </is>
      </c>
      <c r="J6" s="13" t="inlineStr">
        <is>
          <t>未確認</t>
        </is>
      </c>
      <c r="K6" s="14" t="inlineStr">
        <is>
          <t>https://www.city.tochigi.lg.jp/uploaded/attachment/56361.pdf</t>
        </is>
      </c>
      <c r="L6" s="11" t="inlineStr">
        <is>
          <t>第2次栃木市環境基本計画</t>
        </is>
      </c>
      <c r="M6" s="11" t="inlineStr">
        <is>
          <t>R5〜R14</t>
        </is>
      </c>
      <c r="N6" s="13" t="n">
        <v>14</v>
      </c>
      <c r="O6" s="13" t="inlineStr">
        <is>
          <t>確認済</t>
        </is>
      </c>
      <c r="P6" s="13" t="inlineStr">
        <is>
          <t>未確認</t>
        </is>
      </c>
      <c r="Q6" s="14" t="inlineStr">
        <is>
          <t>https://www.city.tochigi.lg.jp/uploaded/attachment/60576.pdf</t>
        </is>
      </c>
      <c r="R6" s="11" t="inlineStr">
        <is>
          <t>交通：次期「第2次」をR10〜R14で予定。策定業務の公告はまだ見つからず。</t>
        </is>
      </c>
      <c r="S6" s="15" t="inlineStr">
        <is>
          <t>調査済</t>
        </is>
      </c>
    </row>
    <row r="7">
      <c r="A7" s="11" t="n">
        <v>4</v>
      </c>
      <c r="B7" s="11" t="inlineStr">
        <is>
          <t>佐野市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第2次佐野市地域公共交通計画</t>
        </is>
      </c>
      <c r="G7" s="11" t="inlineStr">
        <is>
          <t>R8〜R12</t>
        </is>
      </c>
      <c r="H7" s="13" t="n">
        <v>12</v>
      </c>
      <c r="I7" s="13" t="inlineStr">
        <is>
          <t>確認済</t>
        </is>
      </c>
      <c r="J7" s="13" t="inlineStr">
        <is>
          <t>策定済</t>
        </is>
      </c>
      <c r="K7" s="14" t="inlineStr">
        <is>
          <t>https://www.city.sano.lg.jp/material/files/group/1/koutuukeikaku2.pdf</t>
        </is>
      </c>
      <c r="L7" s="11" t="inlineStr">
        <is>
          <t>第2次佐野市環境基本計画（後期計画）</t>
        </is>
      </c>
      <c r="M7" s="11" t="inlineStr">
        <is>
          <t>R8〜R11</t>
        </is>
      </c>
      <c r="N7" s="13" t="n">
        <v>11</v>
      </c>
      <c r="O7" s="13" t="inlineStr">
        <is>
          <t>確認済</t>
        </is>
      </c>
      <c r="P7" s="13" t="inlineStr">
        <is>
          <t>策定済</t>
        </is>
      </c>
      <c r="Q7" s="14" t="inlineStr">
        <is>
          <t>https://www.city.sano.lg.jp/material/files/group/1/kankyoukouki2.pdf</t>
        </is>
      </c>
      <c r="R7" s="11" t="inlineStr">
        <is>
          <t>交通・環境とも新計画をR8.3策定済。</t>
        </is>
      </c>
      <c r="S7" s="15" t="inlineStr">
        <is>
          <t>調査済</t>
        </is>
      </c>
    </row>
    <row r="8">
      <c r="A8" s="11" t="n">
        <v>5</v>
      </c>
      <c r="B8" s="11" t="inlineStr">
        <is>
          <t>鹿沼市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鹿沼市地域公共交通計画</t>
        </is>
      </c>
      <c r="G8" s="11" t="inlineStr">
        <is>
          <t>R4〜R9</t>
        </is>
      </c>
      <c r="H8" s="13" t="n">
        <v>9</v>
      </c>
      <c r="I8" s="13" t="inlineStr">
        <is>
          <t>確認済</t>
        </is>
      </c>
      <c r="J8" s="13" t="inlineStr">
        <is>
          <t>未確認</t>
        </is>
      </c>
      <c r="K8" s="14" t="inlineStr">
        <is>
          <t>https://www.city.kanuma.tochigi.jp/manage/contents/upload/623824c0af645.pdf</t>
        </is>
      </c>
      <c r="L8" s="11" t="inlineStr">
        <is>
          <t>第5次鹿沼市環境基本計画</t>
        </is>
      </c>
      <c r="M8" s="11" t="inlineStr">
        <is>
          <t>R4〜R8</t>
        </is>
      </c>
      <c r="N8" s="13" t="n">
        <v>8</v>
      </c>
      <c r="O8" s="13" t="inlineStr">
        <is>
          <t>確認済</t>
        </is>
      </c>
      <c r="P8" s="13" t="inlineStr">
        <is>
          <t>未確認</t>
        </is>
      </c>
      <c r="Q8" s="14" t="inlineStr">
        <is>
          <t>https://www.city.kanuma.tochigi.jp/0097/info-0000007871-1.html</t>
        </is>
      </c>
      <c r="R8" s="11" t="inlineStr">
        <is>
          <t>環境は今年度（R8）で終了。第6次の業務委託・パブコメ等は見つからず（延長の可能性もあり、環境課に要確認）。交通は予約バス運行事業者選定プロポ（R9〜R11）のみ。</t>
        </is>
      </c>
      <c r="S8" s="15" t="inlineStr">
        <is>
          <t>調査済</t>
        </is>
      </c>
    </row>
    <row r="9">
      <c r="A9" s="11" t="n">
        <v>6</v>
      </c>
      <c r="B9" s="11" t="inlineStr">
        <is>
          <t>日光市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日光市地域公共交通計画</t>
        </is>
      </c>
      <c r="G9" s="11" t="inlineStr">
        <is>
          <t>R5.4〜R10.3</t>
        </is>
      </c>
      <c r="H9" s="13" t="n">
        <v>9</v>
      </c>
      <c r="I9" s="13" t="inlineStr">
        <is>
          <t>確認済</t>
        </is>
      </c>
      <c r="J9" s="13" t="inlineStr">
        <is>
          <t>未確認</t>
        </is>
      </c>
      <c r="K9" s="14" t="inlineStr">
        <is>
          <t>https://www.city.nikko.lg.jp/material/files/group/33/tiikikoukyoukoutuukeikaku.pdf</t>
        </is>
      </c>
      <c r="L9" s="11" t="inlineStr">
        <is>
          <t>第2次日光市環境基本計画（R1.12策定）</t>
        </is>
      </c>
      <c r="M9" s="11" t="inlineStr">
        <is>
          <t>R2〜R11（推定）</t>
        </is>
      </c>
      <c r="N9" s="16" t="n">
        <v>11</v>
      </c>
      <c r="O9" s="13" t="inlineStr">
        <is>
          <t>推定</t>
        </is>
      </c>
      <c r="P9" s="13" t="inlineStr">
        <is>
          <t>未確認</t>
        </is>
      </c>
      <c r="Q9" s="14" t="inlineStr">
        <is>
          <t>https://www.city.nikko.lg.jp/soshiki/6/1031/5/1/1/125.html</t>
        </is>
      </c>
      <c r="R9" s="11" t="inlineStr">
        <is>
          <t>交通：R8施政方針は現計画の継続のみ。次期計画の業務委託は見つからず。</t>
        </is>
      </c>
      <c r="S9" s="15" t="inlineStr">
        <is>
          <t>調査済</t>
        </is>
      </c>
    </row>
    <row r="10">
      <c r="A10" s="11" t="n">
        <v>7</v>
      </c>
      <c r="B10" s="11" t="inlineStr">
        <is>
          <t>小山市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小山市地域公共交通計画</t>
        </is>
      </c>
      <c r="G10" s="11" t="inlineStr">
        <is>
          <t>R5.10〜R8.9</t>
        </is>
      </c>
      <c r="H10" s="13" t="n">
        <v>8</v>
      </c>
      <c r="I10" s="13" t="inlineStr">
        <is>
          <t>確認済</t>
        </is>
      </c>
      <c r="J10" s="13" t="inlineStr">
        <is>
          <t>着手済</t>
        </is>
      </c>
      <c r="K10" s="14" t="inlineStr">
        <is>
          <t>https://www.city.oyama.tochigi.jp/o-bus/news/page011195.html</t>
        </is>
      </c>
      <c r="L10" s="11" t="inlineStr">
        <is>
          <t>第4次小山市環境基本計画</t>
        </is>
      </c>
      <c r="M10" s="11" t="inlineStr">
        <is>
          <t>R5〜R14</t>
        </is>
      </c>
      <c r="N10" s="13" t="n">
        <v>14</v>
      </c>
      <c r="O10" s="13" t="inlineStr">
        <is>
          <t>確認済</t>
        </is>
      </c>
      <c r="P10" s="13" t="inlineStr">
        <is>
          <t>未確認</t>
        </is>
      </c>
      <c r="Q10" s="14" t="inlineStr">
        <is>
          <t>https://www.city.oyama.tochigi.jp/data/doc/1700382745_doc_21_0.pdf</t>
        </is>
      </c>
      <c r="R10" s="11" t="inlineStr">
        <is>
          <t>【改定作業中】交通：改訂支援業務をR7.6に公告、R8.5〜6に案のパブコメ。次期計画はR8.10〜R14.3。委託先は決定済。</t>
        </is>
      </c>
      <c r="S10" s="15" t="inlineStr">
        <is>
          <t>調査済</t>
        </is>
      </c>
    </row>
    <row r="11">
      <c r="A11" s="11" t="n">
        <v>8</v>
      </c>
      <c r="B11" s="11" t="inlineStr">
        <is>
          <t>真岡市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真岡市地域公共交通計画（R8.3策定）</t>
        </is>
      </c>
      <c r="G11" s="11" t="inlineStr">
        <is>
          <t>R8〜R12</t>
        </is>
      </c>
      <c r="H11" s="13" t="n">
        <v>12</v>
      </c>
      <c r="I11" s="13" t="inlineStr">
        <is>
          <t>確認済</t>
        </is>
      </c>
      <c r="J11" s="13" t="inlineStr">
        <is>
          <t>策定済</t>
        </is>
      </c>
      <c r="K11" s="14" t="inlineStr">
        <is>
          <t>https://www.city.moka.lg.jp/material/files/group/47/kotsu_plan_r8.pdf</t>
        </is>
      </c>
      <c r="L11" s="11" t="inlineStr">
        <is>
          <t>第3次真岡市環境基本計画</t>
        </is>
      </c>
      <c r="M11" s="11" t="inlineStr">
        <is>
          <t>R8〜R17</t>
        </is>
      </c>
      <c r="N11" s="13" t="n">
        <v>17</v>
      </c>
      <c r="O11" s="13" t="inlineStr">
        <is>
          <t>確認済</t>
        </is>
      </c>
      <c r="P11" s="13" t="inlineStr">
        <is>
          <t>策定済</t>
        </is>
      </c>
      <c r="Q11" s="14" t="inlineStr">
        <is>
          <t>https://www.city.moka.lg.jp/material/files/group/22/20260416kankyougaiyouban.pdf</t>
        </is>
      </c>
      <c r="R11" s="11" t="inlineStr">
        <is>
          <t>交通・環境とも新計画をR8策定済。</t>
        </is>
      </c>
      <c r="S11" s="15" t="inlineStr">
        <is>
          <t>調査済</t>
        </is>
      </c>
    </row>
    <row r="12">
      <c r="A12" s="11" t="n">
        <v>9</v>
      </c>
      <c r="B12" s="11" t="inlineStr">
        <is>
          <t>大田原市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大田原市地域公共交通計画</t>
        </is>
      </c>
      <c r="G12" s="11" t="inlineStr">
        <is>
          <t>R4〜R9</t>
        </is>
      </c>
      <c r="H12" s="13" t="n">
        <v>9</v>
      </c>
      <c r="I12" s="13" t="inlineStr">
        <is>
          <t>確認済</t>
        </is>
      </c>
      <c r="J12" s="13" t="inlineStr">
        <is>
          <t>着手済</t>
        </is>
      </c>
      <c r="K12" s="14" t="inlineStr">
        <is>
          <t>https://www.city.ohtawara.tochigi.jp/docs/2026073100056</t>
        </is>
      </c>
      <c r="L12" s="11" t="inlineStr">
        <is>
          <t>大田原市環境基本計画（第三次計画）</t>
        </is>
      </c>
      <c r="M12" s="11" t="inlineStr">
        <is>
          <t>R8〜（終期はR17と推定）</t>
        </is>
      </c>
      <c r="N12" s="16" t="n">
        <v>17</v>
      </c>
      <c r="O12" s="13" t="inlineStr">
        <is>
          <t>推定</t>
        </is>
      </c>
      <c r="P12" s="13" t="inlineStr">
        <is>
          <t>策定済</t>
        </is>
      </c>
      <c r="Q12" s="14" t="inlineStr">
        <is>
          <t>https://www.city.ohtawara.tochigi.jp/docs/2026013000019</t>
        </is>
      </c>
      <c r="R12" s="11" t="inlineStr">
        <is>
          <t>【改定作業中】交通：次期計画（R10〜5年間）の策定調査業務の公募型プロポを2026-07-31に公告。環境：第三次をR8策定済。</t>
        </is>
      </c>
      <c r="S12" s="15" t="inlineStr">
        <is>
          <t>調査済</t>
        </is>
      </c>
    </row>
    <row r="13">
      <c r="A13" s="11" t="n">
        <v>10</v>
      </c>
      <c r="B13" s="11" t="inlineStr">
        <is>
          <t>矢板市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矢板市地域公共交通計画（R8.4策定）</t>
        </is>
      </c>
      <c r="G13" s="11" t="inlineStr">
        <is>
          <t>R8〜（終期不明）</t>
        </is>
      </c>
      <c r="H13" s="13" t="n"/>
      <c r="I13" s="13" t="inlineStr">
        <is>
          <t>不明</t>
        </is>
      </c>
      <c r="J13" s="13" t="inlineStr">
        <is>
          <t>策定済</t>
        </is>
      </c>
      <c r="K13" s="14" t="inlineStr">
        <is>
          <t>https://www.city.yaita.tochigi.jp/soshiki/toshiseibi/koukyoukoutsu-plan.html</t>
        </is>
      </c>
      <c r="L13" s="11" t="inlineStr">
        <is>
          <t>矢板市環境基本計画（R4.3策定）</t>
        </is>
      </c>
      <c r="M13" s="11" t="inlineStr">
        <is>
          <t>R4〜（終期不明）</t>
        </is>
      </c>
      <c r="N13" s="13" t="n"/>
      <c r="O13" s="13" t="inlineStr">
        <is>
          <t>不明</t>
        </is>
      </c>
      <c r="P13" s="13" t="inlineStr">
        <is>
          <t>未確認</t>
        </is>
      </c>
      <c r="Q13" s="14" t="inlineStr">
        <is>
          <t>https://www.city.yaita.tochigi.jp/soshiki/seikatsukankyou/kankyo-kihon.html</t>
        </is>
      </c>
      <c r="R13" s="11" t="inlineStr">
        <is>
          <t>交通：新計画をR8.4策定済。環境：期間を確認できず（温暖化対策は別の気候変動対策計画 R5〜R13）。</t>
        </is>
      </c>
      <c r="S13" s="15" t="inlineStr">
        <is>
          <t>調査済</t>
        </is>
      </c>
    </row>
    <row r="14">
      <c r="A14" s="11" t="n">
        <v>11</v>
      </c>
      <c r="B14" s="11" t="inlineStr">
        <is>
          <t>那須塩原市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第2次那須塩原市地域公共交通計画／那須地域定住自立圏計画</t>
        </is>
      </c>
      <c r="G14" s="11" t="inlineStr">
        <is>
          <t>R5〜R9</t>
        </is>
      </c>
      <c r="H14" s="13" t="n">
        <v>9</v>
      </c>
      <c r="I14" s="13" t="inlineStr">
        <is>
          <t>確認済</t>
        </is>
      </c>
      <c r="J14" s="13" t="inlineStr">
        <is>
          <t>未確認</t>
        </is>
      </c>
      <c r="K14" s="14" t="inlineStr">
        <is>
          <t>https://www.city.nasushiobara.tochigi.jp/material/files/group/15/nasushiobaracity_2nd_publictransportation.pdf</t>
        </is>
      </c>
      <c r="L14" s="11" t="inlineStr">
        <is>
          <t>第2期那須塩原市環境基本計画【改定版】</t>
        </is>
      </c>
      <c r="M14" s="11" t="inlineStr">
        <is>
          <t>H29〜R12（延長）</t>
        </is>
      </c>
      <c r="N14" s="13" t="n">
        <v>12</v>
      </c>
      <c r="O14" s="13" t="inlineStr">
        <is>
          <t>確認済</t>
        </is>
      </c>
      <c r="P14" s="13" t="inlineStr">
        <is>
          <t>策定済</t>
        </is>
      </c>
      <c r="Q14" s="14" t="inlineStr">
        <is>
          <t>https://www.city.nasushiobara.tochigi.jp/material/files/group/13/dai2ki_kankyokihonkeikaku_an.pdf</t>
        </is>
      </c>
      <c r="R14" s="11" t="inlineStr">
        <is>
          <t>環境：改定版で終期をR9からR12へ延長（R7.11審議会報告。最終策定は要確認）。交通：第3次の策定業務は見つからず。定住自立圏計画（4市町共同）もR9で終了。</t>
        </is>
      </c>
      <c r="S14" s="15" t="inlineStr">
        <is>
          <t>調査済</t>
        </is>
      </c>
    </row>
    <row r="15">
      <c r="A15" s="11" t="n">
        <v>12</v>
      </c>
      <c r="B15" s="11" t="inlineStr">
        <is>
          <t>さくら市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さくら市地域公共交通計画（R6.3策定）</t>
        </is>
      </c>
      <c r="G15" s="11" t="inlineStr">
        <is>
          <t>R6〜R10（推定）</t>
        </is>
      </c>
      <c r="H15" s="16" t="n">
        <v>10</v>
      </c>
      <c r="I15" s="13" t="inlineStr">
        <is>
          <t>推定</t>
        </is>
      </c>
      <c r="J15" s="13" t="inlineStr">
        <is>
          <t>未確認</t>
        </is>
      </c>
      <c r="K15" s="14" t="inlineStr">
        <is>
          <t>https://www.city.tochigi-sakura.lg.jp/life/000017/p003140.html</t>
        </is>
      </c>
      <c r="L15" s="11" t="inlineStr">
        <is>
          <t>第2次さくら市環境基本計画</t>
        </is>
      </c>
      <c r="M15" s="11" t="inlineStr">
        <is>
          <t>H30〜R9</t>
        </is>
      </c>
      <c r="N15" s="13" t="n">
        <v>9</v>
      </c>
      <c r="O15" s="13" t="inlineStr">
        <is>
          <t>確認済</t>
        </is>
      </c>
      <c r="P15" s="13" t="inlineStr">
        <is>
          <t>未確認</t>
        </is>
      </c>
      <c r="Q15" s="14" t="inlineStr">
        <is>
          <t>https://www.city.tochigi-sakura.lg.jp/life/000014/000121/000403/p001957.html</t>
        </is>
      </c>
      <c r="R15" s="11" t="inlineStr">
        <is>
          <t>環境はR9で終了。第3次の業務委託・アンケートは見つからず。</t>
        </is>
      </c>
      <c r="S15" s="15" t="inlineStr">
        <is>
          <t>調査済</t>
        </is>
      </c>
    </row>
    <row r="16">
      <c r="A16" s="11" t="n">
        <v>13</v>
      </c>
      <c r="B16" s="11" t="inlineStr">
        <is>
          <t>那須烏山市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那須烏山市地域公共交通計画</t>
        </is>
      </c>
      <c r="G16" s="11" t="inlineStr">
        <is>
          <t>R3〜R7（推定）</t>
        </is>
      </c>
      <c r="H16" s="16" t="n">
        <v>7</v>
      </c>
      <c r="I16" s="13" t="inlineStr">
        <is>
          <t>推定</t>
        </is>
      </c>
      <c r="J16" s="13" t="inlineStr">
        <is>
          <t>未確認</t>
        </is>
      </c>
      <c r="K16" s="14" t="inlineStr">
        <is>
          <t>https://www.city.nasukarasuyama.lg.jp/page/page000722.html</t>
        </is>
      </c>
      <c r="L16" s="11" t="inlineStr">
        <is>
          <t>第2次那須烏山市環境基本計画（R4頃策定）</t>
        </is>
      </c>
      <c r="M16" s="11" t="inlineStr">
        <is>
          <t>不明</t>
        </is>
      </c>
      <c r="N16" s="13" t="n"/>
      <c r="O16" s="13" t="inlineStr">
        <is>
          <t>不明</t>
        </is>
      </c>
      <c r="P16" s="13" t="inlineStr">
        <is>
          <t>未確認</t>
        </is>
      </c>
      <c r="Q16" s="14" t="inlineStr">
        <is>
          <t>https://www.city.nasukarasuyama.lg.jp/page/page000773.html</t>
        </is>
      </c>
      <c r="R16" s="11" t="inlineStr">
        <is>
          <t>交通：R7で終了とみられるが、次の計画の状況（策定済・延長・作業中）を確認できず。直接確認が必要。</t>
        </is>
      </c>
      <c r="S16" s="15" t="inlineStr">
        <is>
          <t>調査済</t>
        </is>
      </c>
    </row>
    <row r="17">
      <c r="A17" s="11" t="n">
        <v>14</v>
      </c>
      <c r="B17" s="11" t="inlineStr">
        <is>
          <t>下野市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下野市地域公共交通計画（R8.3策定）</t>
        </is>
      </c>
      <c r="G17" s="11" t="inlineStr">
        <is>
          <t>R8〜R12（推定）</t>
        </is>
      </c>
      <c r="H17" s="16" t="n">
        <v>12</v>
      </c>
      <c r="I17" s="13" t="inlineStr">
        <is>
          <t>推定</t>
        </is>
      </c>
      <c r="J17" s="13" t="inlineStr">
        <is>
          <t>策定済</t>
        </is>
      </c>
      <c r="K17" s="14" t="inlineStr">
        <is>
          <t>https://www.city.shimotsuke.lg.jp/0170/info-0000005122-3.html</t>
        </is>
      </c>
      <c r="L17" s="11" t="inlineStr">
        <is>
          <t>第2次下野市環境基本計画</t>
        </is>
      </c>
      <c r="M17" s="11" t="inlineStr">
        <is>
          <t>不明</t>
        </is>
      </c>
      <c r="N17" s="13" t="n"/>
      <c r="O17" s="13" t="inlineStr">
        <is>
          <t>不明</t>
        </is>
      </c>
      <c r="P17" s="13" t="inlineStr">
        <is>
          <t>未確認</t>
        </is>
      </c>
      <c r="Q17" s="14" t="inlineStr">
        <is>
          <t>https://www.city.shimotsuke.lg.jp/office0109/section-3.html</t>
        </is>
      </c>
      <c r="R17" s="11" t="inlineStr">
        <is>
          <t>交通：新計画をR8.3策定済。環境：期間を確認できず。</t>
        </is>
      </c>
      <c r="S17" s="15" t="inlineStr">
        <is>
          <t>調査済</t>
        </is>
      </c>
    </row>
    <row r="18">
      <c r="A18" s="11" t="n">
        <v>15</v>
      </c>
      <c r="B18" s="11" t="inlineStr">
        <is>
          <t>上三川町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上三川町地域公共交通計画（R4.6改定）</t>
        </is>
      </c>
      <c r="G18" s="11" t="inlineStr">
        <is>
          <t>H30〜（終期不明）</t>
        </is>
      </c>
      <c r="H18" s="13" t="n"/>
      <c r="I18" s="13" t="inlineStr">
        <is>
          <t>不明</t>
        </is>
      </c>
      <c r="J18" s="13" t="inlineStr">
        <is>
          <t>未確認</t>
        </is>
      </c>
      <c r="K18" s="14" t="inlineStr">
        <is>
          <t>https://www.town.kaminokawa.lg.jp/0166/info-0000001338-0.html</t>
        </is>
      </c>
      <c r="L18" s="11" t="inlineStr">
        <is>
          <t>（環境基本計画なし）区域施策編・適応計画</t>
        </is>
      </c>
      <c r="M18" s="11" t="inlineStr">
        <is>
          <t>R6〜R12</t>
        </is>
      </c>
      <c r="N18" s="13" t="n">
        <v>12</v>
      </c>
      <c r="O18" s="13" t="inlineStr">
        <is>
          <t>確認済</t>
        </is>
      </c>
      <c r="P18" s="13" t="inlineStr">
        <is>
          <t>計画なし</t>
        </is>
      </c>
      <c r="Q18" s="14" t="inlineStr">
        <is>
          <t>https://www.town.kaminokawa.lg.jp/0003/info-0000003247-0.html</t>
        </is>
      </c>
      <c r="R18" s="11" t="inlineStr">
        <is>
          <t>交通：R7の協議会資料に計画改定の報告あり（中程度の確度・要確認）。</t>
        </is>
      </c>
      <c r="S18" s="15" t="inlineStr">
        <is>
          <t>調査済</t>
        </is>
      </c>
    </row>
    <row r="19">
      <c r="A19" s="11" t="n">
        <v>16</v>
      </c>
      <c r="B19" s="11" t="inlineStr">
        <is>
          <t>益子町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益子町地域公共交通計画（R4.3策定）</t>
        </is>
      </c>
      <c r="G19" s="11" t="inlineStr">
        <is>
          <t>R4〜R8（推定）</t>
        </is>
      </c>
      <c r="H19" s="16" t="n">
        <v>8</v>
      </c>
      <c r="I19" s="13" t="inlineStr">
        <is>
          <t>推定</t>
        </is>
      </c>
      <c r="J19" s="13" t="inlineStr">
        <is>
          <t>未確認</t>
        </is>
      </c>
      <c r="K19" s="14" t="inlineStr">
        <is>
          <t>https://www.town.mashiko.lg.jp/page/page003396.html</t>
        </is>
      </c>
      <c r="L19" s="11" t="inlineStr">
        <is>
          <t>益子町第3次環境基本計画</t>
        </is>
      </c>
      <c r="M19" s="11" t="inlineStr">
        <is>
          <t>R5〜R14</t>
        </is>
      </c>
      <c r="N19" s="13" t="n">
        <v>14</v>
      </c>
      <c r="O19" s="13" t="inlineStr">
        <is>
          <t>確認済</t>
        </is>
      </c>
      <c r="P19" s="13" t="inlineStr">
        <is>
          <t>未確認</t>
        </is>
      </c>
      <c r="Q19" s="14" t="inlineStr">
        <is>
          <t>https://www.town.mashiko.lg.jp/page/page000467.html</t>
        </is>
      </c>
      <c r="R19" s="11" t="inlineStr">
        <is>
          <t>交通：R8で終了とみられるが、次の計画の業務委託は見つからず。</t>
        </is>
      </c>
      <c r="S19" s="15" t="inlineStr">
        <is>
          <t>調査済</t>
        </is>
      </c>
    </row>
    <row r="20">
      <c r="A20" s="11" t="n">
        <v>17</v>
      </c>
      <c r="B20" s="11" t="inlineStr">
        <is>
          <t>茂木町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茂木町地域公共交通計画</t>
        </is>
      </c>
      <c r="G20" s="11" t="inlineStr">
        <is>
          <t>不明</t>
        </is>
      </c>
      <c r="H20" s="13" t="n"/>
      <c r="I20" s="13" t="inlineStr">
        <is>
          <t>不明</t>
        </is>
      </c>
      <c r="J20" s="13" t="inlineStr">
        <is>
          <t>未確認</t>
        </is>
      </c>
      <c r="K20" s="14" t="inlineStr">
        <is>
          <t>https://www.town.motegi.tochigi.jp/motegi/nextpage.php?cd=6374&amp;syurui=2</t>
        </is>
      </c>
      <c r="L20" s="11" t="inlineStr">
        <is>
          <t>（環境基本計画なし）区域施策編</t>
        </is>
      </c>
      <c r="M20" s="11" t="inlineStr">
        <is>
          <t>R6〜R12</t>
        </is>
      </c>
      <c r="N20" s="13" t="n">
        <v>12</v>
      </c>
      <c r="O20" s="13" t="inlineStr">
        <is>
          <t>確認済</t>
        </is>
      </c>
      <c r="P20" s="13" t="inlineStr">
        <is>
          <t>計画なし</t>
        </is>
      </c>
      <c r="Q20" s="14" t="inlineStr">
        <is>
          <t>https://www.town.motegi.tochigi.jp/motegi/nextpage.php?cd=7672&amp;syurui=2</t>
        </is>
      </c>
      <c r="R20" s="11" t="inlineStr">
        <is>
          <t>交通：期間を確認できず。</t>
        </is>
      </c>
      <c r="S20" s="15" t="inlineStr">
        <is>
          <t>調査済</t>
        </is>
      </c>
    </row>
    <row r="21">
      <c r="A21" s="11" t="n">
        <v>18</v>
      </c>
      <c r="B21" s="11" t="inlineStr">
        <is>
          <t>市貝町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市貝町地域公共交通計画（R6.3頃策定）</t>
        </is>
      </c>
      <c r="G21" s="11" t="inlineStr">
        <is>
          <t>不明</t>
        </is>
      </c>
      <c r="H21" s="13" t="n"/>
      <c r="I21" s="13" t="inlineStr">
        <is>
          <t>不明</t>
        </is>
      </c>
      <c r="J21" s="13" t="inlineStr">
        <is>
          <t>未確認</t>
        </is>
      </c>
      <c r="K21" s="14" t="inlineStr">
        <is>
          <t>https://www.town.ichikai.tochigi.jp/info/785</t>
        </is>
      </c>
      <c r="L21" s="11" t="inlineStr">
        <is>
          <t>市貝町環境基本計画及び地球温暖化対策実行計画</t>
        </is>
      </c>
      <c r="M21" s="11" t="inlineStr">
        <is>
          <t>不明</t>
        </is>
      </c>
      <c r="N21" s="13" t="n"/>
      <c r="O21" s="13" t="inlineStr">
        <is>
          <t>不明</t>
        </is>
      </c>
      <c r="P21" s="13" t="inlineStr">
        <is>
          <t>未確認</t>
        </is>
      </c>
      <c r="Q21" s="14" t="inlineStr">
        <is>
          <t>https://www.town.ichikai.tochigi.jp/info/1814</t>
        </is>
      </c>
      <c r="R21" s="11" t="inlineStr">
        <is>
          <t>どちらも期間を確認できず。</t>
        </is>
      </c>
      <c r="S21" s="15" t="inlineStr">
        <is>
          <t>調査済</t>
        </is>
      </c>
    </row>
    <row r="22">
      <c r="A22" s="11" t="n">
        <v>19</v>
      </c>
      <c r="B22" s="11" t="inlineStr">
        <is>
          <t>芳賀町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芳賀・宇都宮地域公共交通計画（宇都宮市と共同）</t>
        </is>
      </c>
      <c r="G22" s="11" t="inlineStr">
        <is>
          <t>R6〜R15</t>
        </is>
      </c>
      <c r="H22" s="13" t="n">
        <v>15</v>
      </c>
      <c r="I22" s="13" t="inlineStr">
        <is>
          <t>確認済</t>
        </is>
      </c>
      <c r="J22" s="13" t="inlineStr">
        <is>
          <t>未確認</t>
        </is>
      </c>
      <c r="K22" s="14" t="inlineStr">
        <is>
          <t>https://www.town.tochigi-haga.lg.jp/kurashi/sekatsu/kokyokotsu/koukyoukoutsuu/koukyoukoutsuu6.html</t>
        </is>
      </c>
      <c r="L22" s="11" t="inlineStr">
        <is>
          <t>（環境基本計画なし）2050カーボンニュートラル実現計画（R6.4）</t>
        </is>
      </c>
      <c r="M22" s="11" t="inlineStr">
        <is>
          <t>〜R12（2030目標）</t>
        </is>
      </c>
      <c r="N22" s="13" t="n"/>
      <c r="O22" s="13" t="inlineStr">
        <is>
          <t>不明</t>
        </is>
      </c>
      <c r="P22" s="13" t="inlineStr">
        <is>
          <t>計画なし</t>
        </is>
      </c>
      <c r="Q22" s="14" t="inlineStr">
        <is>
          <t>https://www.town.tochigi-haga.lg.jp/kurashi/kurashi/ka-bonnyu-toraru/documents/jitugennkeikaku1.pdf</t>
        </is>
      </c>
      <c r="R22" s="11" t="inlineStr">
        <is>
          <t>交通はR15まで。環境基本計画はなし。</t>
        </is>
      </c>
      <c r="S22" s="15" t="inlineStr">
        <is>
          <t>調査済</t>
        </is>
      </c>
    </row>
    <row r="23">
      <c r="A23" s="11" t="n">
        <v>20</v>
      </c>
      <c r="B23" s="11" t="inlineStr">
        <is>
          <t>壬生町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壬生町地域公共交通計画</t>
        </is>
      </c>
      <c r="G23" s="11" t="inlineStr">
        <is>
          <t>R4〜R8</t>
        </is>
      </c>
      <c r="H23" s="13" t="n">
        <v>8</v>
      </c>
      <c r="I23" s="13" t="inlineStr">
        <is>
          <t>確認済</t>
        </is>
      </c>
      <c r="J23" s="13" t="inlineStr">
        <is>
          <t>着手済</t>
        </is>
      </c>
      <c r="K23" s="14" t="inlineStr">
        <is>
          <t>https://www.town.mibu.tochigi.jp/docs/2026042000042</t>
        </is>
      </c>
      <c r="L23" s="11" t="inlineStr">
        <is>
          <t>壬生町環境基本計画（温対・適応計画を兼ねる）</t>
        </is>
      </c>
      <c r="M23" s="11" t="inlineStr">
        <is>
          <t>R7〜R12</t>
        </is>
      </c>
      <c r="N23" s="13" t="n">
        <v>12</v>
      </c>
      <c r="O23" s="13" t="inlineStr">
        <is>
          <t>確認済</t>
        </is>
      </c>
      <c r="P23" s="13" t="inlineStr">
        <is>
          <t>策定済</t>
        </is>
      </c>
      <c r="Q23" s="14" t="inlineStr">
        <is>
          <t>https://www.town.mibu.tochigi.jp/docs/2025032700030/file_contents/mibumachikankyokihonkeikaku.pdf</t>
        </is>
      </c>
      <c r="R23" s="11" t="inlineStr">
        <is>
          <t>【改定作業中】交通：次期計画の策定業務委託の公募型プロポをR8.4.23に公告（事業者はR8.6に選定済）。</t>
        </is>
      </c>
      <c r="S23" s="15" t="inlineStr">
        <is>
          <t>調査済</t>
        </is>
      </c>
    </row>
    <row r="24">
      <c r="A24" s="11" t="n">
        <v>21</v>
      </c>
      <c r="B24" s="11" t="inlineStr">
        <is>
          <t>野木町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野木町地域公共交通計画</t>
        </is>
      </c>
      <c r="G24" s="11" t="inlineStr">
        <is>
          <t>R6〜R10</t>
        </is>
      </c>
      <c r="H24" s="16" t="n">
        <v>10</v>
      </c>
      <c r="I24" s="13" t="inlineStr">
        <is>
          <t>推定</t>
        </is>
      </c>
      <c r="J24" s="13" t="inlineStr">
        <is>
          <t>未確認</t>
        </is>
      </c>
      <c r="K24" s="14" t="inlineStr">
        <is>
          <t>https://www.town.nogi.lg.jp/cyousei/cyousei_jyouhou/keikaku/keikaku_toshiseibi/page005745.html</t>
        </is>
      </c>
      <c r="L24" s="11" t="inlineStr">
        <is>
          <t>（環境基本計画なし）区域施策編</t>
        </is>
      </c>
      <c r="M24" s="11" t="inlineStr">
        <is>
          <t>不明</t>
        </is>
      </c>
      <c r="N24" s="13" t="n"/>
      <c r="O24" s="13" t="inlineStr">
        <is>
          <t>不明</t>
        </is>
      </c>
      <c r="P24" s="13" t="inlineStr">
        <is>
          <t>計画なし</t>
        </is>
      </c>
      <c r="Q24" s="14" t="inlineStr">
        <is>
          <t>https://www.town.nogi.lg.jp/kurashi/kankyou/ondanka/hojo/</t>
        </is>
      </c>
      <c r="R24" s="11" t="inlineStr">
        <is>
          <t>交通はR10まで（検索結果1件のみで確度は中程度）。</t>
        </is>
      </c>
      <c r="S24" s="15" t="inlineStr">
        <is>
          <t>調査済</t>
        </is>
      </c>
    </row>
    <row r="25">
      <c r="A25" s="11" t="n">
        <v>22</v>
      </c>
      <c r="B25" s="11" t="inlineStr">
        <is>
          <t>塩谷町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塩谷町地域公共交通計画</t>
        </is>
      </c>
      <c r="G25" s="11" t="inlineStr">
        <is>
          <t>不明</t>
        </is>
      </c>
      <c r="H25" s="13" t="n"/>
      <c r="I25" s="13" t="inlineStr">
        <is>
          <t>不明</t>
        </is>
      </c>
      <c r="J25" s="13" t="inlineStr">
        <is>
          <t>未確認</t>
        </is>
      </c>
      <c r="K25" s="14" t="inlineStr">
        <is>
          <t>https://www.town.shioya.tochigi.jp/info/2531</t>
        </is>
      </c>
      <c r="L25" s="11" t="inlineStr">
        <is>
          <t>（環境基本計画なし）区域施策編（R7.3改定）</t>
        </is>
      </c>
      <c r="M25" s="11" t="inlineStr">
        <is>
          <t>不明</t>
        </is>
      </c>
      <c r="N25" s="13" t="n"/>
      <c r="O25" s="13" t="inlineStr">
        <is>
          <t>不明</t>
        </is>
      </c>
      <c r="P25" s="13" t="inlineStr">
        <is>
          <t>計画なし</t>
        </is>
      </c>
      <c r="Q25" s="14" t="inlineStr">
        <is>
          <t>https://www.town.shioya.tochigi.jp/info/2490</t>
        </is>
      </c>
      <c r="R25" s="11" t="inlineStr">
        <is>
          <t>交通：R7に「地域公共交通事業支援業務」のプロポあり（約1,240万円）。計画改定を含むかは要確認。</t>
        </is>
      </c>
      <c r="S25" s="15" t="inlineStr">
        <is>
          <t>調査済</t>
        </is>
      </c>
    </row>
    <row r="26">
      <c r="A26" s="11" t="n">
        <v>23</v>
      </c>
      <c r="B26" s="11" t="inlineStr">
        <is>
          <t>高根沢町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高根沢町地域公共交通計画</t>
        </is>
      </c>
      <c r="G26" s="11" t="inlineStr">
        <is>
          <t>R8〜R12</t>
        </is>
      </c>
      <c r="H26" s="13" t="n">
        <v>12</v>
      </c>
      <c r="I26" s="13" t="inlineStr">
        <is>
          <t>確認済</t>
        </is>
      </c>
      <c r="J26" s="13" t="inlineStr">
        <is>
          <t>策定済</t>
        </is>
      </c>
      <c r="K26" s="14" t="inlineStr">
        <is>
          <t>https://www.town.takanezawa.tochigi.jp/gyosei/plan/bunya/documents/202604koutsukeikaku.pdf</t>
        </is>
      </c>
      <c r="L26" s="11" t="inlineStr">
        <is>
          <t>高根沢町環境基本計画2026</t>
        </is>
      </c>
      <c r="M26" s="11" t="inlineStr">
        <is>
          <t>R8〜R17</t>
        </is>
      </c>
      <c r="N26" s="13" t="n">
        <v>17</v>
      </c>
      <c r="O26" s="13" t="inlineStr">
        <is>
          <t>確認済</t>
        </is>
      </c>
      <c r="P26" s="13" t="inlineStr">
        <is>
          <t>策定済</t>
        </is>
      </c>
      <c r="Q26" s="14" t="inlineStr">
        <is>
          <t>https://www.town.takanezawa.tochigi.jp/life/kankyo/keikaku/documents/kankyoukihon2026gaiyou.pdf</t>
        </is>
      </c>
      <c r="R26" s="11" t="inlineStr">
        <is>
          <t>交通・環境とも新計画をR8策定済。</t>
        </is>
      </c>
      <c r="S26" s="15" t="inlineStr">
        <is>
          <t>調査済</t>
        </is>
      </c>
    </row>
    <row r="27">
      <c r="A27" s="11" t="n">
        <v>24</v>
      </c>
      <c r="B27" s="11" t="inlineStr">
        <is>
          <t>那須町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那須町地域公共交通計画／那須地域定住自立圏計画</t>
        </is>
      </c>
      <c r="G27" s="11" t="inlineStr">
        <is>
          <t>R4〜R9</t>
        </is>
      </c>
      <c r="H27" s="13" t="n">
        <v>9</v>
      </c>
      <c r="I27" s="13" t="inlineStr">
        <is>
          <t>確認済</t>
        </is>
      </c>
      <c r="J27" s="13" t="inlineStr">
        <is>
          <t>未確認</t>
        </is>
      </c>
      <c r="K27" s="14" t="inlineStr">
        <is>
          <t>https://www.town.nasu.lg.jp/manage/contents/upload/6243b2b07f368.pdf</t>
        </is>
      </c>
      <c r="L27" s="11" t="inlineStr">
        <is>
          <t>第3次那須町環境基本計画</t>
        </is>
      </c>
      <c r="M27" s="11" t="inlineStr">
        <is>
          <t>R8〜R17</t>
        </is>
      </c>
      <c r="N27" s="13" t="n">
        <v>17</v>
      </c>
      <c r="O27" s="13" t="inlineStr">
        <is>
          <t>確認済</t>
        </is>
      </c>
      <c r="P27" s="13" t="inlineStr">
        <is>
          <t>策定済</t>
        </is>
      </c>
      <c r="Q27" s="14" t="inlineStr">
        <is>
          <t>http://www.town.nasu.lg.jp/0076/info-0000004347-1.html</t>
        </is>
      </c>
      <c r="R27" s="11" t="inlineStr">
        <is>
          <t>交通：次期計画の業務委託は見つからず。環境：第3次をR8策定済。</t>
        </is>
      </c>
      <c r="S27" s="15" t="inlineStr">
        <is>
          <t>調査済</t>
        </is>
      </c>
    </row>
    <row r="28">
      <c r="A28" s="11" t="n">
        <v>25</v>
      </c>
      <c r="B28" s="11" t="inlineStr">
        <is>
          <t>那珂川町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那須地域定住自立圏地域公共交通計画＋町計画（R5.3策定）</t>
        </is>
      </c>
      <c r="G28" s="11" t="inlineStr">
        <is>
          <t>R5〜R9（定住自立圏）</t>
        </is>
      </c>
      <c r="H28" s="13" t="n">
        <v>9</v>
      </c>
      <c r="I28" s="13" t="inlineStr">
        <is>
          <t>確認済</t>
        </is>
      </c>
      <c r="J28" s="13" t="inlineStr">
        <is>
          <t>未確認</t>
        </is>
      </c>
      <c r="K28" s="14" t="inlineStr">
        <is>
          <t>https://www.city.nasushiobara.tochigi.jp/soshikikarasagasu/kb/shinoseisakutokeikaku/1/5504.html</t>
        </is>
      </c>
      <c r="L28" s="11" t="inlineStr">
        <is>
          <t>第2次那珂川町環境基本計画（後期計画）</t>
        </is>
      </c>
      <c r="M28" s="11" t="inlineStr">
        <is>
          <t>不明</t>
        </is>
      </c>
      <c r="N28" s="13" t="n"/>
      <c r="O28" s="13" t="inlineStr">
        <is>
          <t>不明</t>
        </is>
      </c>
      <c r="P28" s="13" t="inlineStr">
        <is>
          <t>未確認</t>
        </is>
      </c>
      <c r="Q28" s="14" t="inlineStr">
        <is>
          <t>https://www.town.tochigi-nakagawa.lg.jp/35kankyo/01keikaku/index.html</t>
        </is>
      </c>
      <c r="R28" s="11" t="inlineStr">
        <is>
          <t>交通：定住自立圏計画はR9で終了。町計画の期間は不明。環境：期間を確認できず。</t>
        </is>
      </c>
      <c r="S28" s="15" t="inlineStr">
        <is>
          <t>調査済</t>
        </is>
      </c>
    </row>
  </sheetData>
  <autoFilter ref="A3:S28"/>
  <conditionalFormatting sqref="A4:S2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Q16" r:id="rId26"/>
    <hyperlink xmlns:r="http://schemas.openxmlformats.org/officeDocument/2006/relationships" ref="K17" r:id="rId27"/>
    <hyperlink xmlns:r="http://schemas.openxmlformats.org/officeDocument/2006/relationships" ref="Q17" r:id="rId28"/>
    <hyperlink xmlns:r="http://schemas.openxmlformats.org/officeDocument/2006/relationships" ref="K18" r:id="rId29"/>
    <hyperlink xmlns:r="http://schemas.openxmlformats.org/officeDocument/2006/relationships" ref="Q18" r:id="rId30"/>
    <hyperlink xmlns:r="http://schemas.openxmlformats.org/officeDocument/2006/relationships" ref="K19" r:id="rId31"/>
    <hyperlink xmlns:r="http://schemas.openxmlformats.org/officeDocument/2006/relationships" ref="Q19" r:id="rId32"/>
    <hyperlink xmlns:r="http://schemas.openxmlformats.org/officeDocument/2006/relationships" ref="K20" r:id="rId33"/>
    <hyperlink xmlns:r="http://schemas.openxmlformats.org/officeDocument/2006/relationships" ref="Q20" r:id="rId34"/>
    <hyperlink xmlns:r="http://schemas.openxmlformats.org/officeDocument/2006/relationships" ref="K21" r:id="rId35"/>
    <hyperlink xmlns:r="http://schemas.openxmlformats.org/officeDocument/2006/relationships" ref="Q21" r:id="rId36"/>
    <hyperlink xmlns:r="http://schemas.openxmlformats.org/officeDocument/2006/relationships" ref="K22" r:id="rId37"/>
    <hyperlink xmlns:r="http://schemas.openxmlformats.org/officeDocument/2006/relationships" ref="Q22" r:id="rId38"/>
    <hyperlink xmlns:r="http://schemas.openxmlformats.org/officeDocument/2006/relationships" ref="K23" r:id="rId39"/>
    <hyperlink xmlns:r="http://schemas.openxmlformats.org/officeDocument/2006/relationships" ref="Q23" r:id="rId40"/>
    <hyperlink xmlns:r="http://schemas.openxmlformats.org/officeDocument/2006/relationships" ref="K24" r:id="rId41"/>
    <hyperlink xmlns:r="http://schemas.openxmlformats.org/officeDocument/2006/relationships" ref="Q24" r:id="rId42"/>
    <hyperlink xmlns:r="http://schemas.openxmlformats.org/officeDocument/2006/relationships" ref="K25" r:id="rId43"/>
    <hyperlink xmlns:r="http://schemas.openxmlformats.org/officeDocument/2006/relationships" ref="Q25" r:id="rId44"/>
    <hyperlink xmlns:r="http://schemas.openxmlformats.org/officeDocument/2006/relationships" ref="K26" r:id="rId45"/>
    <hyperlink xmlns:r="http://schemas.openxmlformats.org/officeDocument/2006/relationships" ref="Q26" r:id="rId46"/>
    <hyperlink xmlns:r="http://schemas.openxmlformats.org/officeDocument/2006/relationships" ref="K27" r:id="rId47"/>
    <hyperlink xmlns:r="http://schemas.openxmlformats.org/officeDocument/2006/relationships" ref="Q27" r:id="rId48"/>
    <hyperlink xmlns:r="http://schemas.openxmlformats.org/officeDocument/2006/relationships" ref="K28" r:id="rId49"/>
    <hyperlink xmlns:r="http://schemas.openxmlformats.org/officeDocument/2006/relationships" ref="Q28" r:id="rId5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4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茨城県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水戸市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水戸市地域公共交通計画</t>
        </is>
      </c>
      <c r="G4" s="11" t="inlineStr">
        <is>
          <t>R6〜R10</t>
        </is>
      </c>
      <c r="H4" s="13" t="n">
        <v>10</v>
      </c>
      <c r="I4" s="13" t="inlineStr">
        <is>
          <t>確認済</t>
        </is>
      </c>
      <c r="J4" s="13" t="inlineStr">
        <is>
          <t>未確認</t>
        </is>
      </c>
      <c r="K4" s="14" t="inlineStr">
        <is>
          <t>https://www.city.mito.lg.jp/page/117784.html</t>
        </is>
      </c>
      <c r="L4" s="11" t="inlineStr">
        <is>
          <t>水戸市環境基本計画（第3次）</t>
        </is>
      </c>
      <c r="M4" s="11" t="inlineStr">
        <is>
          <t>R7〜R16（推定）</t>
        </is>
      </c>
      <c r="N4" s="16" t="n">
        <v>16</v>
      </c>
      <c r="O4" s="13" t="inlineStr">
        <is>
          <t>推定</t>
        </is>
      </c>
      <c r="P4" s="13" t="inlineStr">
        <is>
          <t>未確認</t>
        </is>
      </c>
      <c r="Q4" s="14" t="inlineStr">
        <is>
          <t>https://www.city.mito.lg.jp/page/3982.html</t>
        </is>
      </c>
      <c r="R4" s="11" t="inlineStr">
        <is>
          <t>交通計画本文PDF: https://www.city.mito.lg.jp/uploaded/attachment/51687.pdf（素案パブコメ結果 https://www.city.mito.lg.jp/page/93836.html）。環境基本計画第3次は2024年12月策定との検索結果あり、期間は未確認（10年と推定）。次期計画作業は未確認。</t>
        </is>
      </c>
      <c r="S4" s="15" t="inlineStr">
        <is>
          <t>調査済</t>
        </is>
      </c>
    </row>
    <row r="5">
      <c r="A5" s="11" t="n">
        <v>2</v>
      </c>
      <c r="B5" s="11" t="inlineStr">
        <is>
          <t>日立市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日立市地域公共交通計画</t>
        </is>
      </c>
      <c r="G5" s="11" t="inlineStr">
        <is>
          <t>R6〜R10</t>
        </is>
      </c>
      <c r="H5" s="13" t="n">
        <v>10</v>
      </c>
      <c r="I5" s="13" t="inlineStr">
        <is>
          <t>確認済</t>
        </is>
      </c>
      <c r="J5" s="13" t="inlineStr">
        <is>
          <t>未確認</t>
        </is>
      </c>
      <c r="K5" s="14" t="inlineStr">
        <is>
          <t>https://www.city.hitachi.lg.jp/machizukuri_kankyo/kotsu_doro/1002832/1012175.html</t>
        </is>
      </c>
      <c r="L5" s="11" t="inlineStr">
        <is>
          <t>第4次日立市環境基本計画</t>
        </is>
      </c>
      <c r="M5" s="11" t="inlineStr">
        <is>
          <t>R5〜R12</t>
        </is>
      </c>
      <c r="N5" s="13" t="n">
        <v>12</v>
      </c>
      <c r="O5" s="13" t="inlineStr">
        <is>
          <t>確認済</t>
        </is>
      </c>
      <c r="P5" s="13" t="inlineStr">
        <is>
          <t>未確認</t>
        </is>
      </c>
      <c r="Q5" s="14" t="inlineStr">
        <is>
          <t>https://www.city.hitachi.lg.jp/_res/projects/default_project/_page_/001/011/987/keikakuhonpen.pdf</t>
        </is>
      </c>
      <c r="R5" s="11" t="inlineStr">
        <is>
          <t>交通計画PDF: https://www.city.hitachi.lg.jp/_res/projects/default_project/_page_/001/012/175/hitachikotukeikaku.pdf 。日立製作所と2035年公共交通グランドデザインを策定（https://www.city.hitachi.lg.jp/machizukuri_kankyo/kotsu_doro/1002832/1014747.html）。次期計画作業は未確認。</t>
        </is>
      </c>
      <c r="S5" s="15" t="inlineStr">
        <is>
          <t>調査済</t>
        </is>
      </c>
    </row>
    <row r="6">
      <c r="A6" s="11" t="n">
        <v>3</v>
      </c>
      <c r="B6" s="11" t="inlineStr">
        <is>
          <t>土浦市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土浦市地域公共交通計画</t>
        </is>
      </c>
      <c r="G6" s="11" t="inlineStr">
        <is>
          <t>R4〜R8</t>
        </is>
      </c>
      <c r="H6" s="16" t="n">
        <v>8</v>
      </c>
      <c r="I6" s="13" t="inlineStr">
        <is>
          <t>推定</t>
        </is>
      </c>
      <c r="J6" s="13" t="inlineStr">
        <is>
          <t>未確認</t>
        </is>
      </c>
      <c r="K6" s="14" t="inlineStr">
        <is>
          <t>https://www.city.tsuchiura.lg.jp/page/page009677.html</t>
        </is>
      </c>
      <c r="L6" s="11" t="inlineStr">
        <is>
          <t>第三期土浦市環境基本計画</t>
        </is>
      </c>
      <c r="M6" s="11" t="inlineStr">
        <is>
          <t>R4〜R13</t>
        </is>
      </c>
      <c r="N6" s="13" t="n">
        <v>13</v>
      </c>
      <c r="O6" s="13" t="inlineStr">
        <is>
          <t>確認済</t>
        </is>
      </c>
      <c r="P6" s="13" t="inlineStr">
        <is>
          <t>未確認</t>
        </is>
      </c>
      <c r="Q6" s="14" t="inlineStr">
        <is>
          <t>https://www.city.tsuchiura.lg.jp/shisei/shinokeikaku/kankyo-kotsu-machizukuri/page017189.html</t>
        </is>
      </c>
      <c r="R6" s="11" t="inlineStr">
        <is>
          <t>交通計画はR4年3月策定（網形成計画の後継）。期間R4〜R8は5年と推定（検索要約で示唆されたが原文未確認）。R8終了なら次期計画作業が今年度進行中の可能性大だが、検索上限到達のため未確認。要確認。</t>
        </is>
      </c>
      <c r="S6" s="15" t="inlineStr">
        <is>
          <t>調査済</t>
        </is>
      </c>
    </row>
    <row r="7">
      <c r="A7" s="11" t="n">
        <v>4</v>
      </c>
      <c r="B7" s="11" t="inlineStr">
        <is>
          <t>古河市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古河市地域公共交通計画</t>
        </is>
      </c>
      <c r="G7" s="11" t="inlineStr">
        <is>
          <t>R6〜R10</t>
        </is>
      </c>
      <c r="H7" s="13" t="n">
        <v>10</v>
      </c>
      <c r="I7" s="13" t="inlineStr">
        <is>
          <t>確認済</t>
        </is>
      </c>
      <c r="J7" s="13" t="inlineStr">
        <is>
          <t>未確認</t>
        </is>
      </c>
      <c r="K7" s="14" t="inlineStr">
        <is>
          <t>https://www.city.ibaraki-koga.lg.jp/material/files/group/80/kogasikoukyoukoutuukeikaku2.pdf</t>
        </is>
      </c>
      <c r="L7" s="11" t="inlineStr">
        <is>
          <t>第2次古河市環境基本計画</t>
        </is>
      </c>
      <c r="M7" s="11" t="inlineStr">
        <is>
          <t>R4〜R13</t>
        </is>
      </c>
      <c r="N7" s="13" t="n">
        <v>13</v>
      </c>
      <c r="O7" s="13" t="inlineStr">
        <is>
          <t>確認済</t>
        </is>
      </c>
      <c r="P7" s="13" t="inlineStr">
        <is>
          <t>未確認</t>
        </is>
      </c>
      <c r="Q7" s="14" t="inlineStr">
        <is>
          <t>https://www.city.ibaraki-koga.lg.jp/material/files/group/21/kankyoukeikakuhyousi.pdf</t>
        </is>
      </c>
      <c r="R7" s="11" t="inlineStr">
        <is>
          <t>交通計画はR6.3策定・R7.2変更（概要版 https://www.city.ibaraki-koga.lg.jp/material/files/group/80/kogasitiikikoukyoukoutuukeikakugaiyou.pdf）。環境基本計画はR4〜R13の10年（第1次はH23〜R3）。R7実績報告 https://www.city.ibaraki-koga.lg.jp/material/files/group/21/R7_jisseki.pdf。いずれもR9終了ではない。次期計画作業は見当たらず。</t>
        </is>
      </c>
      <c r="S7" s="15" t="inlineStr">
        <is>
          <t>調査済</t>
        </is>
      </c>
    </row>
    <row r="8">
      <c r="A8" s="11" t="n">
        <v>5</v>
      </c>
      <c r="B8" s="11" t="inlineStr">
        <is>
          <t>石岡市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石岡市地域公共交通計画</t>
        </is>
      </c>
      <c r="G8" s="11" t="inlineStr">
        <is>
          <t>R6〜R10</t>
        </is>
      </c>
      <c r="H8" s="13" t="n">
        <v>10</v>
      </c>
      <c r="I8" s="13" t="inlineStr">
        <is>
          <t>確認済</t>
        </is>
      </c>
      <c r="J8" s="13" t="inlineStr">
        <is>
          <t>未確認</t>
        </is>
      </c>
      <c r="K8" s="14" t="inlineStr">
        <is>
          <t>https://www.city.ishioka.lg.jp/data/doc/1712650110_doc_103_0.pdf</t>
        </is>
      </c>
      <c r="L8" s="11" t="inlineStr">
        <is>
          <t>石岡市環境基本計画（いしおかスタイル）</t>
        </is>
      </c>
      <c r="M8" s="11" t="inlineStr">
        <is>
          <t>R4〜R13</t>
        </is>
      </c>
      <c r="N8" s="13" t="n">
        <v>13</v>
      </c>
      <c r="O8" s="13" t="inlineStr">
        <is>
          <t>確認済</t>
        </is>
      </c>
      <c r="P8" s="13" t="inlineStr">
        <is>
          <t>未確認</t>
        </is>
      </c>
      <c r="Q8" s="14" t="inlineStr">
        <is>
          <t>https://www.city.ishioka.lg.jp/data/doc/1749196597_doc_45_0.pdf</t>
        </is>
      </c>
      <c r="R8" s="11" t="inlineStr">
        <is>
          <t>交通計画は網形成計画(H31.3策定,〜R5)の後継でR6〜R10。環境基本計画はR4〜R13の10年（前計画H25.3）。URLは検索結果上位の市PDFで、どのファイルが計画本体かは要確認。R9終了ではない。</t>
        </is>
      </c>
      <c r="S8" s="15" t="inlineStr">
        <is>
          <t>調査済</t>
        </is>
      </c>
    </row>
    <row r="9">
      <c r="A9" s="11" t="n">
        <v>6</v>
      </c>
      <c r="B9" s="11" t="inlineStr">
        <is>
          <t>結城市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n"/>
      <c r="G9" s="11" t="inlineStr">
        <is>
          <t>不明</t>
        </is>
      </c>
      <c r="H9" s="13" t="n"/>
      <c r="I9" s="13" t="inlineStr">
        <is>
          <t>不明</t>
        </is>
      </c>
      <c r="J9" s="13" t="inlineStr">
        <is>
          <t>未確認</t>
        </is>
      </c>
      <c r="K9" s="11" t="n"/>
      <c r="L9" s="11" t="inlineStr">
        <is>
          <t>第2次結城市環境基本計画</t>
        </is>
      </c>
      <c r="M9" s="11" t="inlineStr">
        <is>
          <t>R3〜R12</t>
        </is>
      </c>
      <c r="N9" s="13" t="n">
        <v>12</v>
      </c>
      <c r="O9" s="13" t="inlineStr">
        <is>
          <t>確認済</t>
        </is>
      </c>
      <c r="P9" s="13" t="inlineStr">
        <is>
          <t>未確認</t>
        </is>
      </c>
      <c r="Q9" s="14" t="inlineStr">
        <is>
          <t>https://www.city.yuki.lg.jp/shisei/publiccomment/r02/page006785.html</t>
        </is>
      </c>
      <c r="R9" s="11" t="inlineStr">
        <is>
          <t>検索（計7回）で結城市の交通計画・環境基本計画とも該当資料がヒットせず。県地域交通政策推進協議会の構成員（企画政策課）であることのみ確認（https://www.pref.ibaraki.jp/kikaku/kotsuseisaku/chiikikoutsu/documents/14_r4_1_kyougikai_houkoku.pdf）。環境基本計画の有無自体未確認、要直接確認。 環境：第2次はR3.4〜R13.3（R3〜R12年度）。e_urlは計画案パブコメ結果ページ（計画本体PDFのURLは検索に出ず）。第1次はH25.3〜R3.3。</t>
        </is>
      </c>
      <c r="S9" s="17" t="inlineStr">
        <is>
          <t>環境のみ調査</t>
        </is>
      </c>
    </row>
    <row r="10">
      <c r="A10" s="11" t="n">
        <v>7</v>
      </c>
      <c r="B10" s="11" t="inlineStr">
        <is>
          <t>龍ケ崎市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龍ケ崎市地域公共交通計画</t>
        </is>
      </c>
      <c r="G10" s="11" t="inlineStr">
        <is>
          <t>R5〜R11</t>
        </is>
      </c>
      <c r="H10" s="13" t="n">
        <v>11</v>
      </c>
      <c r="I10" s="13" t="inlineStr">
        <is>
          <t>確認済</t>
        </is>
      </c>
      <c r="J10" s="13" t="inlineStr">
        <is>
          <t>未確認</t>
        </is>
      </c>
      <c r="K10" s="14" t="inlineStr">
        <is>
          <t>https://www.city.ryugasaki.ibaraki.jp/kurashi/seikatsu/kokyokotsu/keikaku/20220329131428914.files/01.pdf</t>
        </is>
      </c>
      <c r="L10" s="11" t="inlineStr">
        <is>
          <t>龍ケ崎市第2次環境基本計画</t>
        </is>
      </c>
      <c r="M10" s="11" t="inlineStr">
        <is>
          <t>H29〜R8</t>
        </is>
      </c>
      <c r="N10" s="13" t="n">
        <v>8</v>
      </c>
      <c r="O10" s="13" t="inlineStr">
        <is>
          <t>確認済</t>
        </is>
      </c>
      <c r="P10" s="13" t="inlineStr">
        <is>
          <t>着手済</t>
        </is>
      </c>
      <c r="Q10" s="14" t="inlineStr">
        <is>
          <t>https://www.city.ryugasaki.ibaraki.jp/kurashi/kankyo/kankyo/kankyohakusyo/r7-kakyohakusyo.files/R7kankyo-hakusyo.pdf</t>
        </is>
      </c>
      <c r="R10" s="11" t="inlineStr">
        <is>
          <t>【有望】第2次環境基本計画(2017〜2026年度)がR8年度末で満了のため『第3次環境基本計画』を策定する旨が市資料に記載（R7環境白書/環境審議会資料 https://www.city.ryugasaki.ibaraki.jp/shisei/johokokai/huzokukikanseido/huzokukikankaigiroku/fuzoku-kaigiroku/kankyou-shingi.files/R60927siryo.pdf）。策定支援業務プロポーザル公告は検索で未発見。交通計画はR5.4.1〜R12.3.31、別途利便増進計画あり。</t>
        </is>
      </c>
      <c r="S10" s="15" t="inlineStr">
        <is>
          <t>調査済</t>
        </is>
      </c>
    </row>
    <row r="11">
      <c r="A11" s="11" t="n">
        <v>8</v>
      </c>
      <c r="B11" s="11" t="inlineStr">
        <is>
          <t>下妻市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下妻市地域公共交通網形成計画（現行計画不明）</t>
        </is>
      </c>
      <c r="G11" s="11" t="inlineStr">
        <is>
          <t>不明</t>
        </is>
      </c>
      <c r="H11" s="13" t="n"/>
      <c r="I11" s="13" t="inlineStr">
        <is>
          <t>不明</t>
        </is>
      </c>
      <c r="J11" s="13" t="inlineStr">
        <is>
          <t>未確認</t>
        </is>
      </c>
      <c r="K11" s="11" t="n"/>
      <c r="L11" s="11" t="inlineStr">
        <is>
          <t>第2次下妻市環境基本計画</t>
        </is>
      </c>
      <c r="M11" s="11" t="inlineStr">
        <is>
          <t>不明</t>
        </is>
      </c>
      <c r="N11" s="13" t="n"/>
      <c r="O11" s="13" t="inlineStr">
        <is>
          <t>不明</t>
        </is>
      </c>
      <c r="P11" s="13" t="inlineStr">
        <is>
          <t>未確認</t>
        </is>
      </c>
      <c r="Q11" s="11" t="n"/>
      <c r="R11" s="11" t="inlineStr">
        <is>
          <t>H28.3に網形成計画を策定した記録あり（関東運輸局資料 https://wwwtb.mlit.go.jp/kanto/content/000164544.pdf）。下妻市地域公共交通活性化協議会あり。後継の地域公共交通計画の期間は未確認。環境基本条例(H24.9制定, https://www.cas.go.jp/jp/seisaku/gmpp/pdf/activities/ordinances/cases/235.pdf)に計画規定はあるが計画本体・期間は検索で未発見。 環境：第2次下妻市環境基本計画（温暖化対策実行計画を包含）の存在のみ確認、期間・本体URLは検索で確認できず。関連：下妻市環境アクションプラン https://www.city.shimotsuma.lg.jp/kurashi-tetsuzuki/kankyo/page003292.html</t>
        </is>
      </c>
      <c r="S11" s="15" t="inlineStr">
        <is>
          <t>調査済</t>
        </is>
      </c>
    </row>
    <row r="12">
      <c r="A12" s="11" t="n">
        <v>9</v>
      </c>
      <c r="B12" s="11" t="inlineStr">
        <is>
          <t>常総市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常総市地域公共交通計画</t>
        </is>
      </c>
      <c r="G12" s="11" t="inlineStr">
        <is>
          <t>不明</t>
        </is>
      </c>
      <c r="H12" s="13" t="n"/>
      <c r="I12" s="13" t="inlineStr">
        <is>
          <t>不明</t>
        </is>
      </c>
      <c r="J12" s="13" t="inlineStr">
        <is>
          <t>未確認</t>
        </is>
      </c>
      <c r="K12" s="11" t="n"/>
      <c r="L12" s="11" t="inlineStr">
        <is>
          <t>常総市環境基本計画</t>
        </is>
      </c>
      <c r="M12" s="11" t="inlineStr">
        <is>
          <t>H30〜（期間不明）</t>
        </is>
      </c>
      <c r="N12" s="13" t="n"/>
      <c r="O12" s="13" t="inlineStr">
        <is>
          <t>不明</t>
        </is>
      </c>
      <c r="P12" s="13" t="inlineStr">
        <is>
          <t>未確認</t>
        </is>
      </c>
      <c r="Q12" s="11" t="n"/>
      <c r="R12" s="11" t="inlineStr">
        <is>
          <t>関東運輸局の策定状況一覧(https://wwwtb.mlit.go.jp/kanto/content/000354212.pdf)に常総市の計画が掲載されている旨のみ確認、期間不明。環境基本条例(H25.3制定, https://www.cas.go.jp/jp/seisaku/gmpp/pdf/activities/ordinances/cases/236.pdf)はあるが環境基本計画の本体・期間は未発見。 環境：H30年度策定との検索結果のみ（期間・URL未確認）。10年計画ならR9〜R10終了の可能性があり要確認。区域施策編R6.3策定。</t>
        </is>
      </c>
      <c r="S12" s="15" t="inlineStr">
        <is>
          <t>調査済</t>
        </is>
      </c>
    </row>
    <row r="13">
      <c r="A13" s="11" t="n">
        <v>10</v>
      </c>
      <c r="B13" s="11" t="inlineStr">
        <is>
          <t>常陸太田市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常陸太田市地域公共交通計画</t>
        </is>
      </c>
      <c r="G13" s="11" t="inlineStr">
        <is>
          <t>R4〜R8（推定）</t>
        </is>
      </c>
      <c r="H13" s="16" t="n">
        <v>8</v>
      </c>
      <c r="I13" s="13" t="inlineStr">
        <is>
          <t>推定</t>
        </is>
      </c>
      <c r="J13" s="13" t="inlineStr">
        <is>
          <t>着手済</t>
        </is>
      </c>
      <c r="K13" s="14" t="inlineStr">
        <is>
          <t>https://www.city.hitachiota.ibaraki.jp/data/doc/1651137157_doc_40_0.pdf</t>
        </is>
      </c>
      <c r="L13" s="11" t="inlineStr">
        <is>
          <t>第4次常陸太田市環境基本計画</t>
        </is>
      </c>
      <c r="M13" s="11" t="inlineStr">
        <is>
          <t>R6〜R10</t>
        </is>
      </c>
      <c r="N13" s="13" t="n">
        <v>10</v>
      </c>
      <c r="O13" s="13" t="inlineStr">
        <is>
          <t>確認済</t>
        </is>
      </c>
      <c r="P13" s="13" t="inlineStr">
        <is>
          <t>未確認</t>
        </is>
      </c>
      <c r="Q13" s="14" t="inlineStr">
        <is>
          <t>https://www.city.hitachiota.ibaraki.jp/page/page009600.html</t>
        </is>
      </c>
      <c r="R13" s="11" t="inlineStr">
        <is>
          <t>利便増進実施計画(R4.3認定)はR8年度末満了、新計画策定予定との記載。日立市資料で日立市・常陸太田市の共同利便増進実施計画をR8年度に作成する必要ありとの記載（https://www-source.city.hitachi.lg.jp/_res/projects/default_project/_page_/001/020/366/3-1.pdf）。上位の地域公共交通計画の名称・期間は未確認。環境基本計画は検索で群馬県太田市ばかりヒットし未発見。 交通計画本体はR4.3策定（期間は利便増進実施計画と同じR4〜R8と推定）、利便増進実施計画 https://www.city.hitachiota.ibaraki.jp/data/doc/1711010535_doc_40_0.pdf 。環境：第4次はR6.4〜R11.3（R6〜R10年度）、第3次はH31〜R5。</t>
        </is>
      </c>
      <c r="S13" s="15" t="inlineStr">
        <is>
          <t>調査済</t>
        </is>
      </c>
    </row>
    <row r="14">
      <c r="A14" s="11" t="n">
        <v>11</v>
      </c>
      <c r="B14" s="11" t="inlineStr">
        <is>
          <t>高萩市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n"/>
      <c r="G14" s="11" t="inlineStr">
        <is>
          <t>不明</t>
        </is>
      </c>
      <c r="H14" s="13" t="n"/>
      <c r="I14" s="13" t="inlineStr">
        <is>
          <t>不明</t>
        </is>
      </c>
      <c r="J14" s="13" t="inlineStr">
        <is>
          <t>未確認</t>
        </is>
      </c>
      <c r="K14" s="11" t="n"/>
      <c r="L14" s="11" t="inlineStr">
        <is>
          <t>第2次高萩市環境基本計画</t>
        </is>
      </c>
      <c r="M14" s="11" t="inlineStr">
        <is>
          <t>R3〜R12</t>
        </is>
      </c>
      <c r="N14" s="13" t="n">
        <v>12</v>
      </c>
      <c r="O14" s="13" t="inlineStr">
        <is>
          <t>確認済</t>
        </is>
      </c>
      <c r="P14" s="13" t="inlineStr">
        <is>
          <t>未確認</t>
        </is>
      </c>
      <c r="Q14" s="14" t="inlineStr">
        <is>
          <t>https://www.city.takahagi.ibaraki.jp/kurashi/sumai/kankyou/ondanka/page004519.html</t>
        </is>
      </c>
      <c r="R14" s="11" t="inlineStr">
        <is>
          <t>交通計画・環境基本計画とも検索で該当資料なし（日高市・高崎市等の類似名ばかり）。計画の有無自体未確認、要直接確認。 環境：第2次はR3〜R12年度、ゼロカーボンシティ宣言を受け策定（e_urlのページに本編・概要版PDFあり）。第5次地球温暖化対策実行計画R7〜R12。</t>
        </is>
      </c>
      <c r="S14" s="17" t="inlineStr">
        <is>
          <t>環境のみ調査</t>
        </is>
      </c>
    </row>
    <row r="15">
      <c r="A15" s="11" t="n">
        <v>12</v>
      </c>
      <c r="B15" s="11" t="inlineStr">
        <is>
          <t>北茨城市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北茨城市地域公共交通計画</t>
        </is>
      </c>
      <c r="G15" s="11" t="inlineStr">
        <is>
          <t>R6〜R10</t>
        </is>
      </c>
      <c r="H15" s="13" t="n">
        <v>10</v>
      </c>
      <c r="I15" s="13" t="inlineStr">
        <is>
          <t>確認済</t>
        </is>
      </c>
      <c r="J15" s="13" t="inlineStr">
        <is>
          <t>未確認</t>
        </is>
      </c>
      <c r="K15" s="14" t="inlineStr">
        <is>
          <t>https://www.city.kitaibaraki.lg.jp/docs/2024013000015</t>
        </is>
      </c>
      <c r="L15" s="11" t="inlineStr">
        <is>
          <t>第2次北茨城市環境基本計画</t>
        </is>
      </c>
      <c r="M15" s="11" t="inlineStr">
        <is>
          <t>R7〜R16</t>
        </is>
      </c>
      <c r="N15" s="13" t="n">
        <v>16</v>
      </c>
      <c r="O15" s="13" t="inlineStr">
        <is>
          <t>確認済</t>
        </is>
      </c>
      <c r="P15" s="13" t="inlineStr">
        <is>
          <t>策定済</t>
        </is>
      </c>
      <c r="Q15" s="14" t="inlineStr">
        <is>
          <t>https://cms.city.kitaibaraki.lg.jp/docs/2025060500022/file_contents/file_20256113161234_1.pdf</t>
        </is>
      </c>
      <c r="R15" s="11" t="inlineStr">
        <is>
          <t>環境基本計画は2025(R7)年3月策定・2025〜2034年度。区域施策編(R3策定)・エネルギービジョン(R6.4)あり。交通計画の次期改定作業は未確認。立地適正化計画素案のパブコメ実施(2026年8月) https://www.city.kitaibaraki.lg.jp/docs/2026080500016</t>
        </is>
      </c>
      <c r="S15" s="15" t="inlineStr">
        <is>
          <t>調査済</t>
        </is>
      </c>
    </row>
    <row r="16">
      <c r="A16" s="11" t="n">
        <v>13</v>
      </c>
      <c r="B16" s="11" t="inlineStr">
        <is>
          <t>笠間市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笠間市地域公共交通計画</t>
        </is>
      </c>
      <c r="G16" s="11" t="inlineStr">
        <is>
          <t>R7〜R11</t>
        </is>
      </c>
      <c r="H16" s="13" t="n">
        <v>11</v>
      </c>
      <c r="I16" s="13" t="inlineStr">
        <is>
          <t>確認済</t>
        </is>
      </c>
      <c r="J16" s="13" t="inlineStr">
        <is>
          <t>策定済</t>
        </is>
      </c>
      <c r="K16" s="14" t="inlineStr">
        <is>
          <t>https://www.city.kasama.lg.jp/data/doc/1758843883_doc_70_0.pdf</t>
        </is>
      </c>
      <c r="L16" s="11" t="inlineStr">
        <is>
          <t>第3次笠間市環境基本計画</t>
        </is>
      </c>
      <c r="M16" s="11" t="inlineStr">
        <is>
          <t>R8〜R12</t>
        </is>
      </c>
      <c r="N16" s="13" t="n">
        <v>12</v>
      </c>
      <c r="O16" s="13" t="inlineStr">
        <is>
          <t>確認済</t>
        </is>
      </c>
      <c r="P16" s="13" t="inlineStr">
        <is>
          <t>策定済</t>
        </is>
      </c>
      <c r="Q16" s="14" t="inlineStr">
        <is>
          <t>https://www.city.kasama.lg.jp/data/doc/1774510801_doc_207_0.pdf</t>
        </is>
      </c>
      <c r="R16" s="11" t="inlineStr">
        <is>
          <t>交通計画はR7年7月策定(2025〜2029年度)。環境基本計画第3次はR8年3月策定。いずれもPDF URLは検索結果上のもので本文の同定は未検証(取得ブロック)。</t>
        </is>
      </c>
      <c r="S16" s="15" t="inlineStr">
        <is>
          <t>調査済</t>
        </is>
      </c>
    </row>
    <row r="17">
      <c r="A17" s="11" t="n">
        <v>14</v>
      </c>
      <c r="B17" s="11" t="inlineStr">
        <is>
          <t>取手市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取手市地域公共交通計画</t>
        </is>
      </c>
      <c r="G17" s="11" t="inlineStr">
        <is>
          <t>不明</t>
        </is>
      </c>
      <c r="H17" s="13" t="n"/>
      <c r="I17" s="13" t="inlineStr">
        <is>
          <t>不明</t>
        </is>
      </c>
      <c r="J17" s="13" t="inlineStr">
        <is>
          <t>未確認</t>
        </is>
      </c>
      <c r="K17" s="14" t="inlineStr">
        <is>
          <t>https://www.city.toride.ibaraki.jp/seisaku/shise/machizukuri/sogo/plan2024/kanrenkeikaku.html</t>
        </is>
      </c>
      <c r="L17" s="11" t="inlineStr">
        <is>
          <t>第二次取手市環境基本計画</t>
        </is>
      </c>
      <c r="M17" s="11" t="inlineStr">
        <is>
          <t>R1〜R10</t>
        </is>
      </c>
      <c r="N17" s="13" t="n">
        <v>10</v>
      </c>
      <c r="O17" s="13" t="inlineStr">
        <is>
          <t>確認済</t>
        </is>
      </c>
      <c r="P17" s="13" t="inlineStr">
        <is>
          <t>未確認</t>
        </is>
      </c>
      <c r="Q17" s="14" t="inlineStr">
        <is>
          <t>https://www.city.toride.ibaraki.jp/seisaku/shise/machizukuri/sogo/plan2024/documents/33dai2jikannkyoukihonkeikaku.pdf</t>
        </is>
      </c>
      <c r="R17" s="11" t="inlineStr">
        <is>
          <t>交通計画は総合計画関連計画ページで存在のみ確認、期間不明(t_urlは関連計画一覧ページ)。環境基本計画は2019〜2028年度(2024年度中間見直し予定)。区域施策編R5〜R12あり。緑の基本計画R8.3改訂。</t>
        </is>
      </c>
      <c r="S17" s="15" t="inlineStr">
        <is>
          <t>調査済</t>
        </is>
      </c>
    </row>
    <row r="18">
      <c r="A18" s="11" t="n">
        <v>15</v>
      </c>
      <c r="B18" s="11" t="inlineStr">
        <is>
          <t>牛久市</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第2次牛久市地域公共交通計画</t>
        </is>
      </c>
      <c r="G18" s="11" t="inlineStr">
        <is>
          <t>R8〜R11</t>
        </is>
      </c>
      <c r="H18" s="13" t="n">
        <v>11</v>
      </c>
      <c r="I18" s="13" t="inlineStr">
        <is>
          <t>確認済</t>
        </is>
      </c>
      <c r="J18" s="13" t="inlineStr">
        <is>
          <t>策定済</t>
        </is>
      </c>
      <c r="K18" s="14" t="inlineStr">
        <is>
          <t>https://www.city.ushiku.lg.jp/kurashi-tetsuduki/seikatsu/kokyokotsu/page014651.html</t>
        </is>
      </c>
      <c r="L18" s="11" t="inlineStr">
        <is>
          <t>牛久市第4期環境基本計画</t>
        </is>
      </c>
      <c r="M18" s="11" t="inlineStr">
        <is>
          <t>R4〜R8</t>
        </is>
      </c>
      <c r="N18" s="13" t="n">
        <v>8</v>
      </c>
      <c r="O18" s="13" t="inlineStr">
        <is>
          <t>確認済</t>
        </is>
      </c>
      <c r="P18" s="13" t="inlineStr">
        <is>
          <t>未確認</t>
        </is>
      </c>
      <c r="Q18" s="14" t="inlineStr">
        <is>
          <t>https://www.city.ushiku.lg.jp/page/page002088.html</t>
        </is>
      </c>
      <c r="R18" s="11" t="inlineStr">
        <is>
          <t>交通計画第2次は素案R8.1→策定済(R8〜R11)、R8.10バス路線再編予定。環境基本計画(第4期)はR8年度末で終了→第5期策定作業がR8年度進行中の可能性大だが検索上限で未確認。e_urlは環境政策課ページ。</t>
        </is>
      </c>
      <c r="S18" s="15" t="inlineStr">
        <is>
          <t>調査済</t>
        </is>
      </c>
    </row>
    <row r="19">
      <c r="A19" s="11" t="n">
        <v>16</v>
      </c>
      <c r="B19" s="11" t="inlineStr">
        <is>
          <t>つくば市</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第2次つくば市地域公共交通計画</t>
        </is>
      </c>
      <c r="G19" s="11" t="inlineStr">
        <is>
          <t>R8〜R12</t>
        </is>
      </c>
      <c r="H19" s="13" t="n">
        <v>12</v>
      </c>
      <c r="I19" s="13" t="inlineStr">
        <is>
          <t>確認済</t>
        </is>
      </c>
      <c r="J19" s="13" t="inlineStr">
        <is>
          <t>策定済</t>
        </is>
      </c>
      <c r="K19" s="11" t="n"/>
      <c r="L19" s="11" t="inlineStr">
        <is>
          <t>第3次つくば市環境基本計画</t>
        </is>
      </c>
      <c r="M19" s="11" t="inlineStr">
        <is>
          <t>R2〜R11</t>
        </is>
      </c>
      <c r="N19" s="13" t="n">
        <v>11</v>
      </c>
      <c r="O19" s="13" t="inlineStr">
        <is>
          <t>確認済</t>
        </is>
      </c>
      <c r="P19" s="13" t="inlineStr">
        <is>
          <t>未確認</t>
        </is>
      </c>
      <c r="Q19" s="14" t="inlineStr">
        <is>
          <t>https://www.city.tsukuba.lg.jp/material/files/group/137/3honpen.pdf</t>
        </is>
      </c>
      <c r="R19" s="11" t="inlineStr">
        <is>
          <t>交通：検索結果テキストで『第2次つくば市地域公共交通計画 対象期間 令和8年度〜令和12年度』を確認（前計画は2021年3月策定）。R8開始のためR7年度末策定と推定し策定済扱い。市公式の計画URLは検索結果に出ず（出典はmlit.go.jp系PDF https://www.mlit.go.jp/sogoseisaku/soukou/soukou-magazine/134-1.pdf 等の検索結果）。環境基本計画は検索で期間・URLとも確認できず（要追加調査）。 環境：第3次は対象期間R2〜R11（2020〜2029年度）。R7年度に環境審議会で中間見直し実施 https://www.city.tsukuba.lg.jp/material/files/group/7/kankyoiinkaiR7_3-4.pdf 。R9終了ではない。</t>
        </is>
      </c>
      <c r="S19" s="15" t="inlineStr">
        <is>
          <t>調査済</t>
        </is>
      </c>
    </row>
    <row r="20">
      <c r="A20" s="11" t="n">
        <v>17</v>
      </c>
      <c r="B20" s="11" t="inlineStr">
        <is>
          <t>ひたちなか市</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ひたちなか市地域公共交通計画</t>
        </is>
      </c>
      <c r="G20" s="11" t="inlineStr">
        <is>
          <t>R8〜R12</t>
        </is>
      </c>
      <c r="H20" s="13" t="n">
        <v>12</v>
      </c>
      <c r="I20" s="13" t="inlineStr">
        <is>
          <t>確認済</t>
        </is>
      </c>
      <c r="J20" s="13" t="inlineStr">
        <is>
          <t>策定済</t>
        </is>
      </c>
      <c r="K20" s="14" t="inlineStr">
        <is>
          <t>https://www.city.hitachinaka.lg.jp/_res/projects/default_project/_page_/001/016/190/hitachinakashi_chiikikoukyoukoutuukeikakuan.pdf</t>
        </is>
      </c>
      <c r="L20" s="11" t="inlineStr">
        <is>
          <t>ひたちなか市第3次環境基本計画（改定）</t>
        </is>
      </c>
      <c r="M20" s="11" t="inlineStr">
        <is>
          <t>R8〜R12</t>
        </is>
      </c>
      <c r="N20" s="13" t="n">
        <v>12</v>
      </c>
      <c r="O20" s="13" t="inlineStr">
        <is>
          <t>確認済</t>
        </is>
      </c>
      <c r="P20" s="13" t="inlineStr">
        <is>
          <t>策定済</t>
        </is>
      </c>
      <c r="Q20" s="14" t="inlineStr">
        <is>
          <t>https://www.city.hitachinaka.lg.jp/_res/projects/default_project/_page_/001/017/041/kaiteigaiyoubann.pdf</t>
        </is>
      </c>
      <c r="R20" s="11" t="inlineStr">
        <is>
          <t>交通：旧網形成計画（H29〜R7）の後継。パブコメR7.12.25〜R8.1.23、第47回公共交通活性化協議会R8.2.16で結果協議、R8.3策定予定（https://www-source.city.hitachinaka.lg.jp/_res/projects/default_project/_page_/001/015/394/20260216shiryo.pdf）。t_urlは計画案PDF。環境：第3次環境基本計画（改定）R8〜R12、地域気候変動適応計画を統合（改定素案 .../001/015/858/kannkyoukihonnkeikakukaiteisoann.pdf）。いずれもR9終了ではない。</t>
        </is>
      </c>
      <c r="S20" s="15" t="inlineStr">
        <is>
          <t>調査済</t>
        </is>
      </c>
    </row>
    <row r="21">
      <c r="A21" s="11" t="n">
        <v>18</v>
      </c>
      <c r="B21" s="11" t="inlineStr">
        <is>
          <t>鹿嶋市</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鹿嶋市地域公共交通計画</t>
        </is>
      </c>
      <c r="G21" s="11" t="inlineStr">
        <is>
          <t>R6〜R10</t>
        </is>
      </c>
      <c r="H21" s="13" t="n">
        <v>10</v>
      </c>
      <c r="I21" s="13" t="inlineStr">
        <is>
          <t>確認済</t>
        </is>
      </c>
      <c r="J21" s="13" t="inlineStr">
        <is>
          <t>未確認</t>
        </is>
      </c>
      <c r="K21" s="14" t="inlineStr">
        <is>
          <t>https://www.city.kashima.ibaraki.jp/uploaded/attachment/60268.pdf</t>
        </is>
      </c>
      <c r="L21" s="11" t="inlineStr">
        <is>
          <t>鹿嶋市環境基本計画</t>
        </is>
      </c>
      <c r="M21" s="11" t="inlineStr">
        <is>
          <t>R3〜R12</t>
        </is>
      </c>
      <c r="N21" s="16" t="n">
        <v>12</v>
      </c>
      <c r="O21" s="13" t="inlineStr">
        <is>
          <t>推定</t>
        </is>
      </c>
      <c r="P21" s="13" t="inlineStr">
        <is>
          <t>未確認</t>
        </is>
      </c>
      <c r="Q21" s="14" t="inlineStr">
        <is>
          <t>https://www.city.kashima.ibaraki.jp/uploaded/life/87842_130084_misc.pdf</t>
        </is>
      </c>
      <c r="R21" s="11" t="inlineStr">
        <is>
          <t>交通：令和6年度〜令和10年度の5年間を検索結果で確認（URLは市サイト上の計画PDF候補、59545.pdfも関連）。環境：進捗報告書（R7年8月）が存在し、目標年度R12(2030)。期間R3〜R12は検索要約で示唆されたが確証弱く推定。e_urlは進捗報告書PDF。次期計画作業は未確認。</t>
        </is>
      </c>
      <c r="S21" s="15" t="inlineStr">
        <is>
          <t>調査済</t>
        </is>
      </c>
    </row>
    <row r="22">
      <c r="A22" s="11" t="n">
        <v>19</v>
      </c>
      <c r="B22" s="11" t="inlineStr">
        <is>
          <t>潮来市</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検索で潮来市の地域公共交通計画・環境基本計画とも情報が得られず（検索インデックスに市サイトがほぼ出ない）。要公式サイト直接確認。</t>
        </is>
      </c>
      <c r="S22" s="17" t="inlineStr">
        <is>
          <t>未調査</t>
        </is>
      </c>
    </row>
    <row r="23">
      <c r="A23" s="11" t="n">
        <v>20</v>
      </c>
      <c r="B23" s="11" t="inlineStr">
        <is>
          <t>守谷市</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inlineStr">
        <is>
          <t>第2次守谷市環境基本計画</t>
        </is>
      </c>
      <c r="M23" s="11" t="inlineStr">
        <is>
          <t>〜R7（推定）</t>
        </is>
      </c>
      <c r="N23" s="16" t="n">
        <v>7</v>
      </c>
      <c r="O23" s="13" t="inlineStr">
        <is>
          <t>推定</t>
        </is>
      </c>
      <c r="P23" s="13" t="inlineStr">
        <is>
          <t>着手済</t>
        </is>
      </c>
      <c r="Q23" s="14" t="inlineStr">
        <is>
          <t>https://www.city.moriya.ibaraki.jp/kurashi_tetsuzuki/kankyo_gomi/1001993/1002006.html</t>
        </is>
      </c>
      <c r="R23" s="11" t="inlineStr">
        <is>
          <t>守谷市地域公共交通活性化協議会の存在と実証運行（コミュニティバス等）は確認したが、計画名・期間・URLは検索で確認できず。茨城県の協議会資料（https://www.pref.ibaraki.jp/kikaku/kotsuseisaku/chiikikoutsu/documents/r8dai1kaikyougikaigian.pdf）に言及あり。環境基本計画も不明。要追加調査。 環境：第3次守谷市環境基本計画（R8〜R17＝2026〜2035年度）を策定中との検索結果（生活環境課 https://www.city.moriya.ibaraki.jp/shisei/profile/1004324/1004328/1004339/1004340.html ）。策定に向け市民・事業者・中学生意識調査を実施。第3次の策定完了は未確認。</t>
        </is>
      </c>
      <c r="S23" s="17" t="inlineStr">
        <is>
          <t>環境のみ調査</t>
        </is>
      </c>
    </row>
    <row r="24">
      <c r="A24" s="11" t="n">
        <v>21</v>
      </c>
      <c r="B24" s="11" t="inlineStr">
        <is>
          <t>常陸大宮市</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常陸大宮市地域公共交通計画</t>
        </is>
      </c>
      <c r="G24" s="11" t="inlineStr">
        <is>
          <t>R5〜R9</t>
        </is>
      </c>
      <c r="H24" s="13" t="n">
        <v>9</v>
      </c>
      <c r="I24" s="13" t="inlineStr">
        <is>
          <t>確認済</t>
        </is>
      </c>
      <c r="J24" s="13" t="inlineStr">
        <is>
          <t>未確認</t>
        </is>
      </c>
      <c r="K24" s="14" t="inlineStr">
        <is>
          <t>https://www.city.hitachiomiya.lg.jp/data/doc/1685520960_doc_100_0.pdf</t>
        </is>
      </c>
      <c r="L24" s="11" t="inlineStr">
        <is>
          <t>第2次常陸大宮市環境基本計画（後期計画）</t>
        </is>
      </c>
      <c r="M24" s="11" t="inlineStr">
        <is>
          <t>R5〜R9</t>
        </is>
      </c>
      <c r="N24" s="13" t="n">
        <v>9</v>
      </c>
      <c r="O24" s="13" t="inlineStr">
        <is>
          <t>確認済</t>
        </is>
      </c>
      <c r="P24" s="13" t="inlineStr">
        <is>
          <t>未確認</t>
        </is>
      </c>
      <c r="Q24" s="14" t="inlineStr">
        <is>
          <t>https://www.city.hitachiomiya.lg.jp/data/doc/1673312876_doc_1_0.pdf</t>
        </is>
      </c>
      <c r="R24" s="11" t="inlineStr">
        <is>
          <t>【交通・環境ともR9終了】交通：網形成計画満了に伴い策定、令和5年度〜令和9年度（概要版 1685520956_doc_100_0.pdf も）。環境：第2次環境基本計画はH30〜R9、前期満了により後期計画R5〜R9を策定（関連PDF https://www.city.hitachiomiya.lg.jp/data/doc/1703489725_doc_27_0.pdf）。R8.9時点で次期計画（策定支援委託・アンケート等）の情報は検索で見つからず→R8〜R9に改定作業発生見込み。</t>
        </is>
      </c>
      <c r="S24" s="15" t="inlineStr">
        <is>
          <t>調査済</t>
        </is>
      </c>
    </row>
    <row r="25">
      <c r="A25" s="11" t="n">
        <v>22</v>
      </c>
      <c r="B25" s="11" t="inlineStr">
        <is>
          <t>那珂市</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inlineStr">
        <is>
          <t>第3次那珂市環境基本計画</t>
        </is>
      </c>
      <c r="M25" s="11" t="inlineStr">
        <is>
          <t>R5〜R14</t>
        </is>
      </c>
      <c r="N25" s="13" t="n">
        <v>14</v>
      </c>
      <c r="O25" s="13" t="inlineStr">
        <is>
          <t>確認済</t>
        </is>
      </c>
      <c r="P25" s="13" t="inlineStr">
        <is>
          <t>未確認</t>
        </is>
      </c>
      <c r="Q25" s="14" t="inlineStr">
        <is>
          <t>https://www.city.naka.lg.jp/gyousei/keikaku/page009444.html</t>
        </is>
      </c>
      <c r="R25" s="11" t="inlineStr">
        <is>
          <t>検索で那珂市の地域公共交通計画・環境基本計画とも確認できず（那珂川・ひたちなか市等の類似名が混入）。要公式サイト直接確認。 環境：第3次はR5〜R14（2023〜2032年度）の10年間。区域施策編あり https://www.city.naka.lg.jp/kurashi-tetsuduki/kankyou/page010908.html</t>
        </is>
      </c>
      <c r="S25" s="17" t="inlineStr">
        <is>
          <t>環境のみ調査</t>
        </is>
      </c>
    </row>
    <row r="26">
      <c r="A26" s="11" t="n">
        <v>23</v>
      </c>
      <c r="B26" s="11" t="inlineStr">
        <is>
          <t>筑西市</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筑西市地域公共交通計画</t>
        </is>
      </c>
      <c r="G26" s="11" t="inlineStr">
        <is>
          <t>不明</t>
        </is>
      </c>
      <c r="H26" s="13" t="n"/>
      <c r="I26" s="13" t="inlineStr">
        <is>
          <t>不明</t>
        </is>
      </c>
      <c r="J26" s="13" t="inlineStr">
        <is>
          <t>着手済</t>
        </is>
      </c>
      <c r="K26" s="14" t="inlineStr">
        <is>
          <t>https://www.city.chikusei.lg.jp/machidukuri/traffic/page009177.html</t>
        </is>
      </c>
      <c r="L26" s="11" t="inlineStr">
        <is>
          <t>第2次筑西市環境基本計画</t>
        </is>
      </c>
      <c r="M26" s="11" t="inlineStr">
        <is>
          <t>不明</t>
        </is>
      </c>
      <c r="N26" s="13" t="n"/>
      <c r="O26" s="13" t="inlineStr">
        <is>
          <t>不明</t>
        </is>
      </c>
      <c r="P26" s="13" t="inlineStr">
        <is>
          <t>未確認</t>
        </is>
      </c>
      <c r="Q26" s="11" t="n"/>
      <c r="R26" s="11" t="inlineStr">
        <is>
          <t>「第2次筑西市地域公共交通計画策定支援業務委託」公募型プロポーザル実施（事業者選定済）https://www.city.chikusei.lg.jp/jigyousha/proposal/proposal-project/page012557.html 。現行交通計画の期間は検索結果で確認できず（目標達成状況をR6末時点で公表）。環境基本計画は第2次策定済だが期間・URL未確認（所管：環境課）。 【R8.9再調査】環境：筑西市環境基本条例（平成27年3月25日条例第6号）は確認（https://www.cas.go.jp/jp/seisaku/gmpp/pdf/activities/ordinances/cases/254.pdf）が、第2次環境基本計画の期間・URL・次期計画作業は検索結果で確認できず（6回検索、筑後市等の類似名のみ）。</t>
        </is>
      </c>
      <c r="S26" s="15" t="inlineStr">
        <is>
          <t>調査済</t>
        </is>
      </c>
    </row>
    <row r="27">
      <c r="A27" s="11" t="n">
        <v>24</v>
      </c>
      <c r="B27" s="11" t="inlineStr">
        <is>
          <t>坂東市</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坂東市地域公共交通網形成計画</t>
        </is>
      </c>
      <c r="G27" s="11" t="inlineStr">
        <is>
          <t>R2〜R11</t>
        </is>
      </c>
      <c r="H27" s="13" t="n">
        <v>11</v>
      </c>
      <c r="I27" s="13" t="inlineStr">
        <is>
          <t>確認済</t>
        </is>
      </c>
      <c r="J27" s="13" t="inlineStr">
        <is>
          <t>未確認</t>
        </is>
      </c>
      <c r="K27" s="14" t="inlineStr">
        <is>
          <t>https://www.city.bando.lg.jp/page/page006076.html</t>
        </is>
      </c>
      <c r="L27" s="11" t="inlineStr">
        <is>
          <t>坂東市環境基本計画（第2期）</t>
        </is>
      </c>
      <c r="M27" s="11" t="inlineStr">
        <is>
          <t>R6〜R15</t>
        </is>
      </c>
      <c r="N27" s="16" t="n">
        <v>15</v>
      </c>
      <c r="O27" s="13" t="inlineStr">
        <is>
          <t>推定</t>
        </is>
      </c>
      <c r="P27" s="13" t="inlineStr">
        <is>
          <t>未確認</t>
        </is>
      </c>
      <c r="Q27" s="14" t="inlineStr">
        <is>
          <t>https://www.city.bando.lg.jp/page/page010074.html</t>
        </is>
      </c>
      <c r="R27" s="11" t="inlineStr">
        <is>
          <t>交通は網形成計画（R2.3策定、10年）のまま。旧環境基本計画はH25〜（10年）で期間終了に伴い新計画策定（パブコメ結果 https://www.city.bando.lg.jp/page/page009872.html ）。新計画の期間は推定。</t>
        </is>
      </c>
      <c r="S27" s="15" t="inlineStr">
        <is>
          <t>調査済</t>
        </is>
      </c>
    </row>
    <row r="28">
      <c r="A28" s="11" t="n">
        <v>25</v>
      </c>
      <c r="B28" s="11" t="inlineStr">
        <is>
          <t>稲敷市</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稲敷市地域公共交通計画</t>
        </is>
      </c>
      <c r="G28" s="11" t="inlineStr">
        <is>
          <t>不明</t>
        </is>
      </c>
      <c r="H28" s="13" t="n"/>
      <c r="I28" s="13" t="inlineStr">
        <is>
          <t>不明</t>
        </is>
      </c>
      <c r="J28" s="13" t="inlineStr">
        <is>
          <t>未確認</t>
        </is>
      </c>
      <c r="K28" s="14" t="inlineStr">
        <is>
          <t>https://www.city.inashiki.lg.jp/page/page004756.html</t>
        </is>
      </c>
      <c r="L28" s="11" t="inlineStr">
        <is>
          <t>稲敷市環境基本計画</t>
        </is>
      </c>
      <c r="M28" s="11" t="inlineStr">
        <is>
          <t>R3〜</t>
        </is>
      </c>
      <c r="N28" s="16" t="n"/>
      <c r="O28" s="13" t="inlineStr">
        <is>
          <t>推定</t>
        </is>
      </c>
      <c r="P28" s="13" t="inlineStr">
        <is>
          <t>未確認</t>
        </is>
      </c>
      <c r="Q28" s="14" t="inlineStr">
        <is>
          <t>https://www.city.inashiki.lg.jp/page/page007577.html</t>
        </is>
      </c>
      <c r="R28" s="11" t="inlineStr">
        <is>
          <t>交通計画はH28網形成計画の後継として策定、R5.4一部改訂（あずまコミュニティバス再編）。期間未確認。環境基本計画はR3.3策定（期間未確認）。次期計画作業は未確認（検索上限で深掘り不可）。</t>
        </is>
      </c>
      <c r="S28" s="15" t="inlineStr">
        <is>
          <t>調査済</t>
        </is>
      </c>
    </row>
    <row r="29">
      <c r="A29" s="11" t="n">
        <v>26</v>
      </c>
      <c r="B29" s="11" t="inlineStr">
        <is>
          <t>かすみがうら市</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かすみがうら市地域公共交通計画</t>
        </is>
      </c>
      <c r="G29" s="11" t="inlineStr">
        <is>
          <t>R3〜R7（R8まで1年延長を検討）</t>
        </is>
      </c>
      <c r="H29" s="16" t="n">
        <v>8</v>
      </c>
      <c r="I29" s="13" t="inlineStr">
        <is>
          <t>推定</t>
        </is>
      </c>
      <c r="J29" s="13" t="inlineStr">
        <is>
          <t>着手済</t>
        </is>
      </c>
      <c r="K29" s="14" t="inlineStr">
        <is>
          <t>https://www.city.kasumigaura.lg.jp/data/doc/1605678793_doc_10_1.pdf</t>
        </is>
      </c>
      <c r="L29" s="11" t="inlineStr">
        <is>
          <t>かすみがうら市第Ⅱ期環境基本計画（気候変動適応計画・生物多様性地域戦略を包含）</t>
        </is>
      </c>
      <c r="M29" s="11" t="inlineStr">
        <is>
          <t>R7〜R16</t>
        </is>
      </c>
      <c r="N29" s="13" t="n">
        <v>16</v>
      </c>
      <c r="O29" s="13" t="inlineStr">
        <is>
          <t>確認済</t>
        </is>
      </c>
      <c r="P29" s="13" t="inlineStr">
        <is>
          <t>策定済</t>
        </is>
      </c>
      <c r="Q29" s="14" t="inlineStr">
        <is>
          <t>https://www.city.kasumigaura.lg.jp/data/doc/1736999768_doc_11_0.pdf</t>
        </is>
      </c>
      <c r="R29" s="11" t="inlineStr">
        <is>
          <t>交通: 現計画R3〜R7を、交通環境の変化を次期(第2次)計画へ反映させるため1年延長する方向で地域公共交通会議で検討（R7秋頃資料 https://www.city.kasumigaura.lg.jp/data/doc/1761039730_doc_36_0.pdf）→第2次計画はR8年度策定作業中と推定。t_urlは現計画関連PDFと推定（内容未検証）。前身は網形成計画H28〜R2。環境: 第Ⅱ期R7〜R16で策定済、R9終了ではない。</t>
        </is>
      </c>
      <c r="S29" s="15" t="inlineStr">
        <is>
          <t>調査済</t>
        </is>
      </c>
    </row>
    <row r="30">
      <c r="A30" s="11" t="n">
        <v>27</v>
      </c>
      <c r="B30" s="11" t="inlineStr">
        <is>
          <t>桜川市</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桜川市地域公共交通計画</t>
        </is>
      </c>
      <c r="G30" s="11" t="inlineStr">
        <is>
          <t>R4〜R8</t>
        </is>
      </c>
      <c r="H30" s="16" t="n">
        <v>8</v>
      </c>
      <c r="I30" s="13" t="inlineStr">
        <is>
          <t>推定</t>
        </is>
      </c>
      <c r="J30" s="13" t="inlineStr">
        <is>
          <t>未確認</t>
        </is>
      </c>
      <c r="K30" s="14" t="inlineStr">
        <is>
          <t>https://www.city.sakuragawa.lg.jp/sys/public/data/doc/1641257134_0.pdf</t>
        </is>
      </c>
      <c r="L30" s="11" t="inlineStr">
        <is>
          <t>第2次桜川市環境基本計画</t>
        </is>
      </c>
      <c r="M30" s="11" t="inlineStr">
        <is>
          <t>R2〜R11</t>
        </is>
      </c>
      <c r="N30" s="13" t="n">
        <v>11</v>
      </c>
      <c r="O30" s="13" t="inlineStr">
        <is>
          <t>確認済</t>
        </is>
      </c>
      <c r="P30" s="13" t="inlineStr">
        <is>
          <t>未確認</t>
        </is>
      </c>
      <c r="Q30" s="14" t="inlineStr">
        <is>
          <t>https://www.city.sakuragawa.lg.jp/sys/public/data/doc/1578273137_0.pdf</t>
        </is>
      </c>
      <c r="R30" s="11" t="inlineStr">
        <is>
          <t>交通: 令和4年1月策定（期間は5年と推定、終期R8なら次期計画策定がR8に進行中の可能性あるが根拠未確認）。前身は網形成計画(H28.3)。環境: 第2次R2〜R11（2020〜2029年度）。</t>
        </is>
      </c>
      <c r="S30" s="15" t="inlineStr">
        <is>
          <t>調査済</t>
        </is>
      </c>
    </row>
    <row r="31">
      <c r="A31" s="11" t="n">
        <v>28</v>
      </c>
      <c r="B31" s="11" t="inlineStr">
        <is>
          <t>神栖市</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神栖市地域公共交通計画（第2期）</t>
        </is>
      </c>
      <c r="G31" s="11" t="inlineStr">
        <is>
          <t>R8〜R12</t>
        </is>
      </c>
      <c r="H31" s="16" t="n">
        <v>12</v>
      </c>
      <c r="I31" s="13" t="inlineStr">
        <is>
          <t>推定</t>
        </is>
      </c>
      <c r="J31" s="13" t="inlineStr">
        <is>
          <t>策定済</t>
        </is>
      </c>
      <c r="K31" s="14" t="inlineStr">
        <is>
          <t>https://www.city.kamisu.ibaraki.jp/_res/projects/default_project/_page_/001/003/540/kokeikaku2.pdf</t>
        </is>
      </c>
      <c r="L31" s="11" t="inlineStr">
        <is>
          <t>神栖市環境基本計画</t>
        </is>
      </c>
      <c r="M31" s="11" t="inlineStr">
        <is>
          <t>R1〜R10</t>
        </is>
      </c>
      <c r="N31" s="16" t="n">
        <v>10</v>
      </c>
      <c r="O31" s="13" t="inlineStr">
        <is>
          <t>推定</t>
        </is>
      </c>
      <c r="P31" s="13" t="inlineStr">
        <is>
          <t>未確認</t>
        </is>
      </c>
      <c r="Q31" s="14" t="inlineStr">
        <is>
          <t>https://www.city.kamisu.ibaraki.jp/_res/projects/default_project/_page_/001/004/216/kamisushikankyoukihonkeikaku.pdf</t>
        </is>
      </c>
      <c r="R31" s="11" t="inlineStr">
        <is>
          <t>交通: 第1期R3〜R7満了に伴い第2期を令和8年3月策定（素案R8.1、パブコメR8.2.2〜3.3 https://www.city.kamisu.ibaraki.jp/_res/projects/default_project/_page_/001/013/467/public.pdf）。第2期の期間は5年と推定。環境: 平成31年3月策定・目標年度2028(R10)、中間見直し版あり https://www.city.kamisu.ibaraki.jp/_res/projects/default_project/_page_/001/004/216/kaitei_zentai.pdf 。R10終了ならR9に次期策定着手の可能性。</t>
        </is>
      </c>
      <c r="S31" s="15" t="inlineStr">
        <is>
          <t>調査済</t>
        </is>
      </c>
    </row>
    <row r="32">
      <c r="A32" s="11" t="n">
        <v>29</v>
      </c>
      <c r="B32" s="11" t="inlineStr">
        <is>
          <t>行方市</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行方市地域公共交通計画</t>
        </is>
      </c>
      <c r="G32" s="11" t="inlineStr">
        <is>
          <t>不明</t>
        </is>
      </c>
      <c r="H32" s="13" t="n"/>
      <c r="I32" s="13" t="inlineStr">
        <is>
          <t>不明</t>
        </is>
      </c>
      <c r="J32" s="13" t="inlineStr">
        <is>
          <t>未確認</t>
        </is>
      </c>
      <c r="K32" s="11" t="n"/>
      <c r="L32" s="11" t="inlineStr">
        <is>
          <t>行方市環境基本計画</t>
        </is>
      </c>
      <c r="M32" s="11" t="inlineStr">
        <is>
          <t>H28〜R7（推定）</t>
        </is>
      </c>
      <c r="N32" s="16" t="n">
        <v>7</v>
      </c>
      <c r="O32" s="13" t="inlineStr">
        <is>
          <t>推定</t>
        </is>
      </c>
      <c r="P32" s="13" t="inlineStr">
        <is>
          <t>未確認</t>
        </is>
      </c>
      <c r="Q32" s="14" t="inlineStr">
        <is>
          <t>https://www.city.namegata.ibaraki.jp/page/page010706.html</t>
        </is>
      </c>
      <c r="R32" s="11" t="inlineStr">
        <is>
          <t>交通: 県資料で行方市は地域公共交通計画を策定し国交大臣へ送付済(R7.6末時点)とされるが名称・期間・URLは検索で確認できず。環境基本計画も検索でヒットせず（存否不明）。県の茨城県地域公共交通計画（R5〜R9、地域間幹線中心）が県全域を対象 https://www.pref.ibaraki.jp/kikaku/kotsuseisaku/chiikikoutsu/documents/2koukyoukoutuukeikaku.pdf 環境：H28.3策定・10年間、R3年度に中間見直し（期間は推定）。地域気候変動適応計画はR4〜R7。R7終了なら次期計画の状況要確認（検索では未確認）。</t>
        </is>
      </c>
      <c r="S32" s="15" t="inlineStr">
        <is>
          <t>調査済</t>
        </is>
      </c>
    </row>
    <row r="33">
      <c r="A33" s="11" t="n">
        <v>30</v>
      </c>
      <c r="B33" s="11" t="inlineStr">
        <is>
          <t>鉾田市</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未確認</t>
        </is>
      </c>
      <c r="K33" s="11" t="n"/>
      <c r="L33" s="11" t="inlineStr">
        <is>
          <t>鉾田市環境基本計画（改定）</t>
        </is>
      </c>
      <c r="M33" s="11" t="inlineStr">
        <is>
          <t>H29〜R8</t>
        </is>
      </c>
      <c r="N33" s="13" t="n">
        <v>8</v>
      </c>
      <c r="O33" s="13" t="inlineStr">
        <is>
          <t>確認済</t>
        </is>
      </c>
      <c r="P33" s="13" t="inlineStr">
        <is>
          <t>未確認</t>
        </is>
      </c>
      <c r="Q33" s="14" t="inlineStr">
        <is>
          <t>https://www.city.hokota.lg.jp/data/doc/1654669803_doc_37_0.pdf</t>
        </is>
      </c>
      <c r="R33"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環境：H29〜R8（2017〜2026年度）の10年間、R4.3に中間見直し・地域気候変動適応計画(R4〜R8)を策定 https://www.city.hokota.lg.jp/page/page004956.html 。R8年度末で満了→次期計画の作業がR8に進行中の可能性大だが検索では未確認。</t>
        </is>
      </c>
      <c r="S33" s="17" t="inlineStr">
        <is>
          <t>環境のみ調査</t>
        </is>
      </c>
    </row>
    <row r="34">
      <c r="A34" s="11" t="n">
        <v>31</v>
      </c>
      <c r="B34" s="11" t="inlineStr">
        <is>
          <t>つくばみらい市</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inlineStr">
        <is>
          <t>つくばみらい市環境基本計画（改訂版）</t>
        </is>
      </c>
      <c r="M34" s="11" t="inlineStr">
        <is>
          <t>H29〜R8（推定）</t>
        </is>
      </c>
      <c r="N34" s="16" t="n">
        <v>8</v>
      </c>
      <c r="O34" s="13" t="inlineStr">
        <is>
          <t>推定</t>
        </is>
      </c>
      <c r="P34" s="13" t="inlineStr">
        <is>
          <t>未確認</t>
        </is>
      </c>
      <c r="Q34" s="14" t="inlineStr">
        <is>
          <t>https://www.city.tsukubamirai.lg.jp/jyumin/gomi-kankyou-doubutsu/kankyouhozen/page000080.html</t>
        </is>
      </c>
      <c r="R34"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環境：H19.3策定、10年経過でH28年度に見直し改訂（改訂版の期間は10年と推定＝R8終了の可能性）。区域施策編はR8.3策定・R8〜R12 https://www.city.tsukubamirai.lg.jp/data/doc/1772670871_doc_25_0.pdf 。次期環境基本計画の作業は未確認。</t>
        </is>
      </c>
      <c r="S34" s="17" t="inlineStr">
        <is>
          <t>環境のみ調査</t>
        </is>
      </c>
    </row>
    <row r="35">
      <c r="A35" s="11" t="n">
        <v>32</v>
      </c>
      <c r="B35" s="11" t="inlineStr">
        <is>
          <t>小美玉市</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inlineStr">
        <is>
          <t>小美玉市環境基本計画</t>
        </is>
      </c>
      <c r="M35" s="11" t="inlineStr">
        <is>
          <t>R3〜R12（推定）</t>
        </is>
      </c>
      <c r="N35" s="16" t="n">
        <v>12</v>
      </c>
      <c r="O35" s="13" t="inlineStr">
        <is>
          <t>推定</t>
        </is>
      </c>
      <c r="P35" s="13" t="inlineStr">
        <is>
          <t>未確認</t>
        </is>
      </c>
      <c r="Q35" s="14" t="inlineStr">
        <is>
          <t>https://www.city.omitama.lg.jp/manage/contents/upload/602de700e73ca.pdf</t>
        </is>
      </c>
      <c r="R35"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環境：R3年3月策定（期間は10年と推定、原文未確認）。</t>
        </is>
      </c>
      <c r="S35" s="17" t="inlineStr">
        <is>
          <t>環境のみ調査</t>
        </is>
      </c>
    </row>
    <row r="36">
      <c r="A36" s="11" t="n">
        <v>33</v>
      </c>
      <c r="B36" s="11" t="inlineStr">
        <is>
          <t>茨城町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inlineStr">
        <is>
          <t>茨城町環境基本計画</t>
        </is>
      </c>
      <c r="M36" s="11" t="inlineStr">
        <is>
          <t>H25〜R4</t>
        </is>
      </c>
      <c r="N36" s="13" t="n">
        <v>4</v>
      </c>
      <c r="O36" s="13" t="inlineStr">
        <is>
          <t>確認済</t>
        </is>
      </c>
      <c r="P36" s="13" t="inlineStr">
        <is>
          <t>未確認</t>
        </is>
      </c>
      <c r="Q36" s="14" t="inlineStr">
        <is>
          <t>https://www.town.ibaraki.lg.jp/gyousei/kurashitetuduki/gomirisaikle/keikaku/index.html</t>
        </is>
      </c>
      <c r="R36" s="11" t="inlineStr">
        <is>
          <t>交通計画・環境基本計画とも検索で町の資料を確認できず（存否不明）。循環型社会形成推進地域計画R2.4〜R7.3は確認 https://www.env.go.jp/recycle/waste/3r_network/5_region/project_list/08_ibaraki/09_ibarakimachi_r2.pdf 。県の茨城県地域公共交通計画（R5〜R9、地域間幹線中心）が県全域を対象 https://www.pref.ibaraki.jp/kikaku/kotsuseisaku/chiikikoutsu/documents/2koukyoukoutuukeikaku.pdf 環境：計画期間H25〜R4で満了済。後継（第2次）計画の有無・期間は検索で未確認。再生可能エネルギービジョンR6〜R15あり。</t>
        </is>
      </c>
      <c r="S36" s="17" t="inlineStr">
        <is>
          <t>環境のみ調査</t>
        </is>
      </c>
    </row>
    <row r="37">
      <c r="A37" s="11" t="n">
        <v>34</v>
      </c>
      <c r="B37" s="11" t="inlineStr">
        <is>
          <t>大洗町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大洗町地域公共交通計画</t>
        </is>
      </c>
      <c r="G37" s="11" t="inlineStr">
        <is>
          <t>R6〜R10</t>
        </is>
      </c>
      <c r="H37" s="16" t="n">
        <v>10</v>
      </c>
      <c r="I37" s="13" t="inlineStr">
        <is>
          <t>推定</t>
        </is>
      </c>
      <c r="J37" s="13" t="inlineStr">
        <is>
          <t>着手済</t>
        </is>
      </c>
      <c r="K37" s="14" t="inlineStr">
        <is>
          <t>https://www.town.oarai.lg.jp/wp/wp-content/uploads/2023/07/%E5%A4%A7%E6%B4%97%E7%94%BA%E5%9C%B0%E5%9F%9F%E5%85%AC%E5%85%B1%E4%BA%A4%E9%80%9A%E8%A8%88%E7%94%BB.pdf</t>
        </is>
      </c>
      <c r="L37" s="11" t="inlineStr">
        <is>
          <t>第2次大洗町環境基本計画</t>
        </is>
      </c>
      <c r="M37" s="11" t="inlineStr">
        <is>
          <t>R1〜R10</t>
        </is>
      </c>
      <c r="N37" s="13" t="n">
        <v>10</v>
      </c>
      <c r="O37" s="13" t="inlineStr">
        <is>
          <t>確認済</t>
        </is>
      </c>
      <c r="P37" s="13" t="inlineStr">
        <is>
          <t>未確認</t>
        </is>
      </c>
      <c r="Q37" s="14" t="inlineStr">
        <is>
          <t>https://www.town.oarai.lg.jp/wp/wp-content/uploads/2021/03/%E7%AC%AC2%E6%AC%A1%E5%A4%A7%E6%B4%97%E7%94%BA%E7%92%B0%E5%A2%83%E5%9F%BA%E6%9C%AC%E8%A8%88%E7%94%BB%EF%BC%88PDF%EF%BC%89.pdf</t>
        </is>
      </c>
      <c r="R37" s="11" t="inlineStr">
        <is>
          <t>交通計画は2024年3月策定（期間はR6〜R10と推定、本文未確認）。町循環バス再編に伴い計画一部改定（案）のパブコメ実施・結果公表済、R8.10.1施行予定 https://www.town.oarai.lg.jp/cat1/koutsuu/ooaraimachichiikikoukyoukoutuukaigi/32819/ 。環境基本計画は第2次（2019.3策定、R1〜R10）で次期作業は未確認。</t>
        </is>
      </c>
      <c r="S37" s="15" t="inlineStr">
        <is>
          <t>調査済</t>
        </is>
      </c>
    </row>
    <row r="38">
      <c r="A38" s="11" t="n">
        <v>35</v>
      </c>
      <c r="B38" s="11" t="inlineStr">
        <is>
          <t>城里町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城里町地域公共交通計画</t>
        </is>
      </c>
      <c r="G38" s="11" t="inlineStr">
        <is>
          <t>R8〜R12</t>
        </is>
      </c>
      <c r="H38" s="16" t="n">
        <v>12</v>
      </c>
      <c r="I38" s="13" t="inlineStr">
        <is>
          <t>推定</t>
        </is>
      </c>
      <c r="J38" s="13" t="inlineStr">
        <is>
          <t>策定済</t>
        </is>
      </c>
      <c r="K38" s="14" t="inlineStr">
        <is>
          <t>https://www.town.shirosato.lg.jp/page/page006784.html</t>
        </is>
      </c>
      <c r="L38" s="11" t="inlineStr">
        <is>
          <t>城里町環境基本計画</t>
        </is>
      </c>
      <c r="M38" s="11" t="inlineStr">
        <is>
          <t>R3〜R12</t>
        </is>
      </c>
      <c r="N38" s="16" t="n">
        <v>12</v>
      </c>
      <c r="O38" s="13" t="inlineStr">
        <is>
          <t>推定</t>
        </is>
      </c>
      <c r="P38" s="13" t="inlineStr">
        <is>
          <t>未確認</t>
        </is>
      </c>
      <c r="Q38" s="14" t="inlineStr">
        <is>
          <t>https://www.town.shirosato.lg.jp/data/doc/1630301878_doc_711_0.pdf</t>
        </is>
      </c>
      <c r="R38" s="11" t="inlineStr">
        <is>
          <t>旧網形成計画（H28策定）がR7年度で満了したため、新しい地域公共交通計画を策定・公表済（期間R8〜R12はまだ推定） https://www.town.shirosato.lg.jp/page/page006764.html 。国交省関東運輸局の計画策定事業リストにも掲載あり https://wwwtb.mlit.go.jp/kanto/content/000322403.pdf 。環境基本計画はR3.3策定（期間R3〜R12は推定）。</t>
        </is>
      </c>
      <c r="S38" s="15" t="inlineStr">
        <is>
          <t>調査済</t>
        </is>
      </c>
    </row>
    <row r="39">
      <c r="A39" s="11" t="n">
        <v>36</v>
      </c>
      <c r="B39" s="11" t="inlineStr">
        <is>
          <t>東海村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東海村地域公共交通計画</t>
        </is>
      </c>
      <c r="G39" s="11" t="inlineStr">
        <is>
          <t>不明</t>
        </is>
      </c>
      <c r="H39" s="13" t="n"/>
      <c r="I39" s="13" t="inlineStr">
        <is>
          <t>不明</t>
        </is>
      </c>
      <c r="J39" s="13" t="inlineStr">
        <is>
          <t>未確認</t>
        </is>
      </c>
      <c r="K39" s="14" t="inlineStr">
        <is>
          <t>https://www.vill.tokai.ibaraki.jp/soshikikarasagasu/sangyobu/sangyoseisakuka/1/1_2/2/5673.html</t>
        </is>
      </c>
      <c r="L39" s="11" t="inlineStr">
        <is>
          <t>第4次東海村環境基本計画</t>
        </is>
      </c>
      <c r="M39" s="11" t="inlineStr">
        <is>
          <t>R8〜R17</t>
        </is>
      </c>
      <c r="N39" s="13" t="n">
        <v>17</v>
      </c>
      <c r="O39" s="13" t="inlineStr">
        <is>
          <t>確認済</t>
        </is>
      </c>
      <c r="P39" s="13" t="inlineStr">
        <is>
          <t>策定済</t>
        </is>
      </c>
      <c r="Q39" s="14" t="inlineStr">
        <is>
          <t>https://www.vill.tokai.ibaraki.jp/soshikikarasagasu/somminseikatsubu/kankyoseisakuka/1/1/4/11386.html</t>
        </is>
      </c>
      <c r="R39" s="11" t="inlineStr">
        <is>
          <t>交通計画はR3年2月にパブコメを行い策定。期間は未確認（旧網形成計画はH27〜H32）。第3次環境基本計画はR3〜R7で満了。第4次（R8〜R17）の案内ページあり https://www.vill.tokai.ibaraki.jp/soshikikarasagasu/somminseikatsubu/kankyoseisakuka/1/1/4/11386.html 。策定済と判断したが、策定時期は要確認。</t>
        </is>
      </c>
      <c r="S39" s="15" t="inlineStr">
        <is>
          <t>調査済</t>
        </is>
      </c>
    </row>
    <row r="40">
      <c r="A40" s="11" t="n">
        <v>37</v>
      </c>
      <c r="B40" s="11" t="inlineStr">
        <is>
          <t>大子町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n"/>
      <c r="G40" s="11" t="inlineStr">
        <is>
          <t>不明</t>
        </is>
      </c>
      <c r="H40" s="13" t="n"/>
      <c r="I40" s="13" t="inlineStr">
        <is>
          <t>不明</t>
        </is>
      </c>
      <c r="J40" s="13" t="inlineStr">
        <is>
          <t>未確認</t>
        </is>
      </c>
      <c r="K40" s="11" t="n"/>
      <c r="L40" s="11" t="n"/>
      <c r="M40" s="11" t="inlineStr">
        <is>
          <t>不明</t>
        </is>
      </c>
      <c r="N40" s="13" t="n"/>
      <c r="O40" s="13" t="inlineStr">
        <is>
          <t>不明</t>
        </is>
      </c>
      <c r="P40" s="13" t="inlineStr">
        <is>
          <t>未確認</t>
        </is>
      </c>
      <c r="Q40" s="11" t="n"/>
      <c r="R40" s="11" t="inlineStr">
        <is>
          <t>検索では町独自の地域公共交通計画・環境基本計画とも確認できず（町サイトはインデックス少）。環境関連は循環型社会形成推進地域計画(H29〜R3)のみ確認 https://www.env.go.jp/recycle/waste/3r_network/5_region/project_list/08_ibaraki/10_daigo_h29.pdf 。環境基本計画は未策定の可能性。要町サイト直接確認。</t>
        </is>
      </c>
      <c r="S40" s="17" t="inlineStr">
        <is>
          <t>未調査</t>
        </is>
      </c>
    </row>
    <row r="41">
      <c r="A41" s="11" t="n">
        <v>38</v>
      </c>
      <c r="B41" s="11" t="inlineStr">
        <is>
          <t>美浦村</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n"/>
      <c r="G41" s="11" t="inlineStr">
        <is>
          <t>不明</t>
        </is>
      </c>
      <c r="H41" s="13" t="n"/>
      <c r="I41" s="13" t="inlineStr">
        <is>
          <t>不明</t>
        </is>
      </c>
      <c r="J41" s="13" t="inlineStr">
        <is>
          <t>未確認</t>
        </is>
      </c>
      <c r="K41" s="11" t="n"/>
      <c r="L41" s="11" t="n"/>
      <c r="M41" s="11" t="inlineStr">
        <is>
          <t>不明</t>
        </is>
      </c>
      <c r="N41" s="13" t="n"/>
      <c r="O41" s="13" t="inlineStr">
        <is>
          <t>不明</t>
        </is>
      </c>
      <c r="P41" s="13" t="inlineStr">
        <is>
          <t>未確認</t>
        </is>
      </c>
      <c r="Q41" s="11" t="n"/>
      <c r="R41" s="11" t="inlineStr">
        <is>
          <t>村独自の地域公共交通計画・環境基本計画とも検索で確認できず（「美浦村環境基本計画」ヒットなし、未策定の可能性）。要村サイト直接確認。</t>
        </is>
      </c>
      <c r="S41" s="17" t="inlineStr">
        <is>
          <t>未調査</t>
        </is>
      </c>
    </row>
    <row r="42">
      <c r="A42" s="11" t="n">
        <v>39</v>
      </c>
      <c r="B42" s="11" t="inlineStr">
        <is>
          <t>阿見町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阿見町地域公共交通計画</t>
        </is>
      </c>
      <c r="G42" s="11" t="inlineStr">
        <is>
          <t>R5〜R9</t>
        </is>
      </c>
      <c r="H42" s="13" t="n">
        <v>9</v>
      </c>
      <c r="I42" s="13" t="inlineStr">
        <is>
          <t>確認済</t>
        </is>
      </c>
      <c r="J42" s="13" t="inlineStr">
        <is>
          <t>未確認</t>
        </is>
      </c>
      <c r="K42" s="14" t="inlineStr">
        <is>
          <t>https://www.town.ami.lg.jp/cmsfiles/contents/0000009/9640/keikaku.pdf</t>
        </is>
      </c>
      <c r="L42" s="11" t="inlineStr">
        <is>
          <t>第2次阿見町環境基本計画</t>
        </is>
      </c>
      <c r="M42" s="11" t="inlineStr">
        <is>
          <t>R3〜R12</t>
        </is>
      </c>
      <c r="N42" s="13" t="n">
        <v>12</v>
      </c>
      <c r="O42" s="13" t="inlineStr">
        <is>
          <t>確認済</t>
        </is>
      </c>
      <c r="P42" s="13" t="inlineStr">
        <is>
          <t>未確認</t>
        </is>
      </c>
      <c r="Q42" s="14" t="inlineStr">
        <is>
          <t>https://www.town.ami.lg.jp/cmsfiles/contents/0000012/12659/1syou.pdf</t>
        </is>
      </c>
      <c r="R42" s="11" t="inlineStr">
        <is>
          <t>交通計画はR5.2策定・R5〜R9年度でR9終了＝次期計画はR8〜R9に策定作業が必要。R8第1回活性化協議会(2026/6/1)資料 https://www.town.ami.lg.jp/cmsfiles/contents/0000009/9640/R8_dai1kaikyougikai_siryo.pdf ・会議録 R8_dai1kai_kaigiroku.pdf の検索要約ではR9確保維持事業計画が議題で、次期計画策定の明記は確認できず（資料内に含まれる可能性大、要確認）。環境基本計画は第1次がR3.3終了、第2次はR3年度から10年間。</t>
        </is>
      </c>
      <c r="S42" s="15" t="inlineStr">
        <is>
          <t>調査済</t>
        </is>
      </c>
    </row>
    <row r="43">
      <c r="A43" s="11" t="n">
        <v>40</v>
      </c>
      <c r="B43" s="11" t="inlineStr">
        <is>
          <t>河内町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n"/>
      <c r="G43" s="11" t="inlineStr">
        <is>
          <t>不明</t>
        </is>
      </c>
      <c r="H43" s="13" t="n"/>
      <c r="I43" s="13" t="inlineStr">
        <is>
          <t>不明</t>
        </is>
      </c>
      <c r="J43" s="13" t="inlineStr">
        <is>
          <t>未確認</t>
        </is>
      </c>
      <c r="K43" s="11" t="n"/>
      <c r="L43" s="11" t="n"/>
      <c r="M43" s="11" t="inlineStr">
        <is>
          <t>不明</t>
        </is>
      </c>
      <c r="N43" s="13" t="n"/>
      <c r="O43" s="13" t="inlineStr">
        <is>
          <t>不明</t>
        </is>
      </c>
      <c r="P43" s="13" t="inlineStr">
        <is>
          <t>未確認</t>
        </is>
      </c>
      <c r="Q43" s="11" t="n"/>
      <c r="R43" s="11" t="inlineStr">
        <is>
          <t>町独自の地域公共交通計画・環境基本計画とも検索で確認できず（県計画・地域再生計画のみヒット）。未策定の可能性。大阪府河内長野市等の誤ヒットに注意。</t>
        </is>
      </c>
      <c r="S43" s="17" t="inlineStr">
        <is>
          <t>未調査</t>
        </is>
      </c>
    </row>
    <row r="44">
      <c r="A44" s="11" t="n">
        <v>41</v>
      </c>
      <c r="B44" s="11" t="inlineStr">
        <is>
          <t>八千代町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inlineStr">
        <is>
          <t>八千代町地域公共交通計画（策定事業・名称未確認）</t>
        </is>
      </c>
      <c r="G44" s="11" t="inlineStr">
        <is>
          <t>不明</t>
        </is>
      </c>
      <c r="H44" s="13" t="n"/>
      <c r="I44" s="13" t="inlineStr">
        <is>
          <t>不明</t>
        </is>
      </c>
      <c r="J44" s="13" t="inlineStr">
        <is>
          <t>着手済</t>
        </is>
      </c>
      <c r="K44" s="11" t="n"/>
      <c r="L44" s="11" t="n"/>
      <c r="M44" s="11" t="inlineStr">
        <is>
          <t>不明</t>
        </is>
      </c>
      <c r="N44" s="13" t="n"/>
      <c r="O44" s="13" t="inlineStr">
        <is>
          <t>不明</t>
        </is>
      </c>
      <c r="P44" s="13" t="inlineStr">
        <is>
          <t>未確認</t>
        </is>
      </c>
      <c r="Q44" s="11" t="n"/>
      <c r="R44" s="11" t="inlineStr">
        <is>
          <t>関東運輸局「地域公共交通計画策定事業」一覧に八千代町公共交通会議が掲載 https://wwwtb.mlit.go.jp/kanto/content/000322403.pdf（R6.1頃）→計画策定作業中または策定済の可能性。計画期間・本文URLは未確認。千葉県八千代市（計画R6〜R10）の誤ヒット多数に注意。環境基本計画は検索で確認できず。</t>
        </is>
      </c>
      <c r="S44" s="17" t="inlineStr">
        <is>
          <t>交通のみ調査</t>
        </is>
      </c>
    </row>
    <row r="45">
      <c r="A45" s="11" t="n">
        <v>42</v>
      </c>
      <c r="B45" s="11" t="inlineStr">
        <is>
          <t>五霞町</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inlineStr">
        <is>
          <t>五霞町地域公共交通計画</t>
        </is>
      </c>
      <c r="G45" s="11" t="inlineStr">
        <is>
          <t>R5〜R9</t>
        </is>
      </c>
      <c r="H45" s="16" t="n">
        <v>9</v>
      </c>
      <c r="I45" s="13" t="inlineStr">
        <is>
          <t>推定</t>
        </is>
      </c>
      <c r="J45" s="13" t="inlineStr">
        <is>
          <t>未確認</t>
        </is>
      </c>
      <c r="K45" s="14" t="inlineStr">
        <is>
          <t>https://www.town.goka.lg.jp/data/doc/1690350530_doc_20_0.pdf</t>
        </is>
      </c>
      <c r="L45" s="11" t="inlineStr">
        <is>
          <t>五霞町環境基本計画（改定版）</t>
        </is>
      </c>
      <c r="M45" s="11" t="inlineStr">
        <is>
          <t>R5〜R14</t>
        </is>
      </c>
      <c r="N45" s="13" t="n">
        <v>14</v>
      </c>
      <c r="O45" s="13" t="inlineStr">
        <is>
          <t>確認済</t>
        </is>
      </c>
      <c r="P45" s="13" t="inlineStr">
        <is>
          <t>未確認</t>
        </is>
      </c>
      <c r="Q45" s="14" t="inlineStr">
        <is>
          <t>https://www.town.goka.lg.jp/data/doc/1684388643_doc_20_0.pdf</t>
        </is>
      </c>
      <c r="R45" s="11" t="inlineStr">
        <is>
          <t>交通計画はR5.3策定・R6.5変更（変更版とみられるPDF https://www.town.goka.lg.jp/data/doc/1737593680_doc_20_0.pdf ）。期間は5年と推定しR9終了の可能性→要確認。前身はH26網形成計画。環境基本計画はH25版を改定しR5〜R14の10年間（検索要約で確認、根拠PDFはgoka.lg.jp内の候補の一つで特定不十分）。</t>
        </is>
      </c>
      <c r="S45" s="15" t="inlineStr">
        <is>
          <t>調査済</t>
        </is>
      </c>
    </row>
    <row r="46">
      <c r="A46" s="11" t="n">
        <v>43</v>
      </c>
      <c r="B46" s="11" t="inlineStr">
        <is>
          <t>境町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n"/>
      <c r="G46" s="11" t="inlineStr">
        <is>
          <t>不明</t>
        </is>
      </c>
      <c r="H46" s="13" t="n"/>
      <c r="I46" s="13" t="inlineStr">
        <is>
          <t>不明</t>
        </is>
      </c>
      <c r="J46" s="13" t="inlineStr">
        <is>
          <t>未確認</t>
        </is>
      </c>
      <c r="K46" s="11" t="n"/>
      <c r="L46" s="11" t="n"/>
      <c r="M46" s="11" t="inlineStr">
        <is>
          <t>不明</t>
        </is>
      </c>
      <c r="N46" s="13" t="n"/>
      <c r="O46" s="13" t="inlineStr">
        <is>
          <t>不明</t>
        </is>
      </c>
      <c r="P46" s="13" t="inlineStr">
        <is>
          <t>未確認</t>
        </is>
      </c>
      <c r="Q46" s="11" t="n"/>
      <c r="R46" s="11" t="inlineStr">
        <is>
          <t>茨城県猿島郡境町。町独自の地域公共交通計画・環境基本計画とも検索で確認できず。自動運転バス定常運行(2020.11〜)の先進事例だが法定計画は未確認。鳥取県境港市・大阪府堺市の誤ヒットに注意。</t>
        </is>
      </c>
      <c r="S46" s="17" t="inlineStr">
        <is>
          <t>未調査</t>
        </is>
      </c>
    </row>
    <row r="47">
      <c r="A47" s="11" t="n">
        <v>44</v>
      </c>
      <c r="B47" s="11" t="inlineStr">
        <is>
          <t>利根町</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inlineStr">
        <is>
          <t>利根町地域公共交通計画（策定事業・名称未確認）</t>
        </is>
      </c>
      <c r="G47" s="11" t="inlineStr">
        <is>
          <t>不明</t>
        </is>
      </c>
      <c r="H47" s="13" t="n"/>
      <c r="I47" s="13" t="inlineStr">
        <is>
          <t>不明</t>
        </is>
      </c>
      <c r="J47" s="13" t="inlineStr">
        <is>
          <t>着手済</t>
        </is>
      </c>
      <c r="K47" s="11" t="n"/>
      <c r="L47" s="11" t="n"/>
      <c r="M47" s="11" t="inlineStr">
        <is>
          <t>不明</t>
        </is>
      </c>
      <c r="N47" s="13" t="n"/>
      <c r="O47" s="13" t="inlineStr">
        <is>
          <t>不明</t>
        </is>
      </c>
      <c r="P47" s="13" t="inlineStr">
        <is>
          <t>未確認</t>
        </is>
      </c>
      <c r="Q47" s="11" t="n"/>
      <c r="R47" s="11" t="inlineStr">
        <is>
          <t>関東運輸局「地域公共交通計画策定事業」一覧(R6.1.26付)に利根町地域公共交通活性化協議会が掲載 https://wwwtb.mlit.go.jp/kanto/content/000322403.pdf →R6〜R7頃に計画策定作業（策定済の可能性あり）。計画期間・本文URLは未確認。環境基本計画は検索で確認できず。</t>
        </is>
      </c>
      <c r="S47" s="17" t="inlineStr">
        <is>
          <t>交通のみ調査</t>
        </is>
      </c>
    </row>
  </sheetData>
  <autoFilter ref="A3:S47"/>
  <conditionalFormatting sqref="A4:S47">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7 P4:P47"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Q9" r:id="rId11"/>
    <hyperlink xmlns:r="http://schemas.openxmlformats.org/officeDocument/2006/relationships" ref="K10" r:id="rId12"/>
    <hyperlink xmlns:r="http://schemas.openxmlformats.org/officeDocument/2006/relationships" ref="Q10" r:id="rId13"/>
    <hyperlink xmlns:r="http://schemas.openxmlformats.org/officeDocument/2006/relationships" ref="K13" r:id="rId14"/>
    <hyperlink xmlns:r="http://schemas.openxmlformats.org/officeDocument/2006/relationships" ref="Q13" r:id="rId15"/>
    <hyperlink xmlns:r="http://schemas.openxmlformats.org/officeDocument/2006/relationships" ref="Q14" r:id="rId16"/>
    <hyperlink xmlns:r="http://schemas.openxmlformats.org/officeDocument/2006/relationships" ref="K15" r:id="rId17"/>
    <hyperlink xmlns:r="http://schemas.openxmlformats.org/officeDocument/2006/relationships" ref="Q15" r:id="rId18"/>
    <hyperlink xmlns:r="http://schemas.openxmlformats.org/officeDocument/2006/relationships" ref="K16" r:id="rId19"/>
    <hyperlink xmlns:r="http://schemas.openxmlformats.org/officeDocument/2006/relationships" ref="Q16" r:id="rId20"/>
    <hyperlink xmlns:r="http://schemas.openxmlformats.org/officeDocument/2006/relationships" ref="K17" r:id="rId21"/>
    <hyperlink xmlns:r="http://schemas.openxmlformats.org/officeDocument/2006/relationships" ref="Q17" r:id="rId22"/>
    <hyperlink xmlns:r="http://schemas.openxmlformats.org/officeDocument/2006/relationships" ref="K18" r:id="rId23"/>
    <hyperlink xmlns:r="http://schemas.openxmlformats.org/officeDocument/2006/relationships" ref="Q18" r:id="rId24"/>
    <hyperlink xmlns:r="http://schemas.openxmlformats.org/officeDocument/2006/relationships" ref="Q19" r:id="rId25"/>
    <hyperlink xmlns:r="http://schemas.openxmlformats.org/officeDocument/2006/relationships" ref="K20" r:id="rId26"/>
    <hyperlink xmlns:r="http://schemas.openxmlformats.org/officeDocument/2006/relationships" ref="Q20" r:id="rId27"/>
    <hyperlink xmlns:r="http://schemas.openxmlformats.org/officeDocument/2006/relationships" ref="K21" r:id="rId28"/>
    <hyperlink xmlns:r="http://schemas.openxmlformats.org/officeDocument/2006/relationships" ref="Q21" r:id="rId29"/>
    <hyperlink xmlns:r="http://schemas.openxmlformats.org/officeDocument/2006/relationships" ref="Q23" r:id="rId30"/>
    <hyperlink xmlns:r="http://schemas.openxmlformats.org/officeDocument/2006/relationships" ref="K24" r:id="rId31"/>
    <hyperlink xmlns:r="http://schemas.openxmlformats.org/officeDocument/2006/relationships" ref="Q24" r:id="rId32"/>
    <hyperlink xmlns:r="http://schemas.openxmlformats.org/officeDocument/2006/relationships" ref="Q25" r:id="rId33"/>
    <hyperlink xmlns:r="http://schemas.openxmlformats.org/officeDocument/2006/relationships" ref="K26" r:id="rId34"/>
    <hyperlink xmlns:r="http://schemas.openxmlformats.org/officeDocument/2006/relationships" ref="K27" r:id="rId35"/>
    <hyperlink xmlns:r="http://schemas.openxmlformats.org/officeDocument/2006/relationships" ref="Q27" r:id="rId36"/>
    <hyperlink xmlns:r="http://schemas.openxmlformats.org/officeDocument/2006/relationships" ref="K28" r:id="rId37"/>
    <hyperlink xmlns:r="http://schemas.openxmlformats.org/officeDocument/2006/relationships" ref="Q28" r:id="rId38"/>
    <hyperlink xmlns:r="http://schemas.openxmlformats.org/officeDocument/2006/relationships" ref="K29" r:id="rId39"/>
    <hyperlink xmlns:r="http://schemas.openxmlformats.org/officeDocument/2006/relationships" ref="Q29" r:id="rId40"/>
    <hyperlink xmlns:r="http://schemas.openxmlformats.org/officeDocument/2006/relationships" ref="K30" r:id="rId41"/>
    <hyperlink xmlns:r="http://schemas.openxmlformats.org/officeDocument/2006/relationships" ref="Q30" r:id="rId42"/>
    <hyperlink xmlns:r="http://schemas.openxmlformats.org/officeDocument/2006/relationships" ref="K31" r:id="rId43"/>
    <hyperlink xmlns:r="http://schemas.openxmlformats.org/officeDocument/2006/relationships" ref="Q31" r:id="rId44"/>
    <hyperlink xmlns:r="http://schemas.openxmlformats.org/officeDocument/2006/relationships" ref="Q32" r:id="rId45"/>
    <hyperlink xmlns:r="http://schemas.openxmlformats.org/officeDocument/2006/relationships" ref="Q33" r:id="rId46"/>
    <hyperlink xmlns:r="http://schemas.openxmlformats.org/officeDocument/2006/relationships" ref="Q34" r:id="rId47"/>
    <hyperlink xmlns:r="http://schemas.openxmlformats.org/officeDocument/2006/relationships" ref="Q35" r:id="rId48"/>
    <hyperlink xmlns:r="http://schemas.openxmlformats.org/officeDocument/2006/relationships" ref="Q36" r:id="rId49"/>
    <hyperlink xmlns:r="http://schemas.openxmlformats.org/officeDocument/2006/relationships" ref="K37" r:id="rId50"/>
    <hyperlink xmlns:r="http://schemas.openxmlformats.org/officeDocument/2006/relationships" ref="Q37" r:id="rId51"/>
    <hyperlink xmlns:r="http://schemas.openxmlformats.org/officeDocument/2006/relationships" ref="K38" r:id="rId52"/>
    <hyperlink xmlns:r="http://schemas.openxmlformats.org/officeDocument/2006/relationships" ref="Q38" r:id="rId53"/>
    <hyperlink xmlns:r="http://schemas.openxmlformats.org/officeDocument/2006/relationships" ref="K39" r:id="rId54"/>
    <hyperlink xmlns:r="http://schemas.openxmlformats.org/officeDocument/2006/relationships" ref="Q39" r:id="rId55"/>
    <hyperlink xmlns:r="http://schemas.openxmlformats.org/officeDocument/2006/relationships" ref="K42" r:id="rId56"/>
    <hyperlink xmlns:r="http://schemas.openxmlformats.org/officeDocument/2006/relationships" ref="Q42" r:id="rId57"/>
    <hyperlink xmlns:r="http://schemas.openxmlformats.org/officeDocument/2006/relationships" ref="K45" r:id="rId58"/>
    <hyperlink xmlns:r="http://schemas.openxmlformats.org/officeDocument/2006/relationships" ref="Q45" r:id="rId5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福島県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福島市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福島市地域公共交通計画</t>
        </is>
      </c>
      <c r="G4" s="11" t="inlineStr">
        <is>
          <t>R5〜R9</t>
        </is>
      </c>
      <c r="H4" s="13" t="n">
        <v>9</v>
      </c>
      <c r="I4" s="13" t="inlineStr">
        <is>
          <t>確認済</t>
        </is>
      </c>
      <c r="J4" s="13" t="inlineStr">
        <is>
          <t>未確認</t>
        </is>
      </c>
      <c r="K4" s="14" t="inlineStr">
        <is>
          <t>https://www.city.fukushima.fukushima.jp/material/files/group/62/40koutuukeikaku-honnpenn1.pdf</t>
        </is>
      </c>
      <c r="L4" s="11" t="inlineStr">
        <is>
          <t>福島市環境基本計画（第3次）</t>
        </is>
      </c>
      <c r="M4" s="11" t="inlineStr">
        <is>
          <t>R3〜R7</t>
        </is>
      </c>
      <c r="N4" s="13" t="n">
        <v>7</v>
      </c>
      <c r="O4" s="13" t="inlineStr">
        <is>
          <t>確認済</t>
        </is>
      </c>
      <c r="P4" s="13" t="inlineStr">
        <is>
          <t>着手済</t>
        </is>
      </c>
      <c r="Q4" s="14" t="inlineStr">
        <is>
          <t>https://www.city.fukushima.fukushima.jp/material/files/group/36/02_r6_kannkyoukihonnkeikaku.pdf</t>
        </is>
      </c>
      <c r="R4" s="11"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t>
        </is>
      </c>
      <c r="S4" s="15" t="inlineStr">
        <is>
          <t>調査済</t>
        </is>
      </c>
    </row>
    <row r="5">
      <c r="A5" s="11" t="n">
        <v>2</v>
      </c>
      <c r="B5" s="11" t="inlineStr">
        <is>
          <t>会津若松市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会津圏域地域公共交通計画（会津若松市・喜多方市ほか6市町村共同）</t>
        </is>
      </c>
      <c r="G5" s="11" t="inlineStr">
        <is>
          <t>R8〜R13</t>
        </is>
      </c>
      <c r="H5" s="13" t="n">
        <v>13</v>
      </c>
      <c r="I5" s="13" t="inlineStr">
        <is>
          <t>確認済</t>
        </is>
      </c>
      <c r="J5" s="13" t="inlineStr">
        <is>
          <t>策定済</t>
        </is>
      </c>
      <c r="K5" s="14" t="inlineStr">
        <is>
          <t>https://www.pref.fukushima.lg.jp/sec/16005d/aizukenikimoukeikaku.html</t>
        </is>
      </c>
      <c r="L5" s="11" t="inlineStr">
        <is>
          <t>会津若松市第3期環境基本計画</t>
        </is>
      </c>
      <c r="M5" s="11" t="inlineStr">
        <is>
          <t>R6〜R12</t>
        </is>
      </c>
      <c r="N5" s="13" t="n">
        <v>12</v>
      </c>
      <c r="O5" s="13" t="inlineStr">
        <is>
          <t>確認済</t>
        </is>
      </c>
      <c r="P5" s="13" t="inlineStr">
        <is>
          <t>未確認</t>
        </is>
      </c>
      <c r="Q5" s="14" t="inlineStr">
        <is>
          <t>https://www.city.aizuwakamatsu.fukushima.jp/docs/2024050800012/</t>
        </is>
      </c>
      <c r="R5" s="11" t="inlineStr">
        <is>
          <t>交通：前計画（会津圏域地域公共交通網形成計画/再編実施計画 R2〜R7）の後継として新計画を策定、パブコメR7.12.15〜R8.1.5。環境：R6.3策定。</t>
        </is>
      </c>
      <c r="S5" s="15" t="inlineStr">
        <is>
          <t>調査済</t>
        </is>
      </c>
    </row>
    <row r="6">
      <c r="A6" s="11" t="n">
        <v>3</v>
      </c>
      <c r="B6" s="11" t="inlineStr">
        <is>
          <t>郡山市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郡山市総合交通計画マスタープラン（地域公共交通計画を包含）</t>
        </is>
      </c>
      <c r="G6" s="11" t="inlineStr">
        <is>
          <t>R5〜R12</t>
        </is>
      </c>
      <c r="H6" s="13" t="n">
        <v>12</v>
      </c>
      <c r="I6" s="13" t="inlineStr">
        <is>
          <t>確認済</t>
        </is>
      </c>
      <c r="J6" s="13" t="inlineStr">
        <is>
          <t>未確認</t>
        </is>
      </c>
      <c r="K6" s="14" t="inlineStr">
        <is>
          <t>https://www.city.koriyama.lg.jp/soshiki/125/68026.html</t>
        </is>
      </c>
      <c r="L6" s="11" t="inlineStr">
        <is>
          <t>郡山市第五次環境基本計画</t>
        </is>
      </c>
      <c r="M6" s="11" t="inlineStr">
        <is>
          <t>R8〜R11</t>
        </is>
      </c>
      <c r="N6" s="13" t="n">
        <v>11</v>
      </c>
      <c r="O6" s="13" t="inlineStr">
        <is>
          <t>確認済</t>
        </is>
      </c>
      <c r="P6" s="13" t="inlineStr">
        <is>
          <t>着手済</t>
        </is>
      </c>
      <c r="Q6" s="14" t="inlineStr">
        <is>
          <t>https://www.city.koriyama.lg.jp/uploaded/attachment/109925.pdf</t>
        </is>
      </c>
      <c r="R6" s="11"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5" t="inlineStr">
        <is>
          <t>調査済</t>
        </is>
      </c>
    </row>
    <row r="7">
      <c r="A7" s="11" t="n">
        <v>4</v>
      </c>
      <c r="B7" s="11" t="inlineStr">
        <is>
          <t>いわき市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いわき市地域公共交通計画</t>
        </is>
      </c>
      <c r="G7" s="11" t="inlineStr">
        <is>
          <t>R5〜R9</t>
        </is>
      </c>
      <c r="H7" s="16" t="n">
        <v>9</v>
      </c>
      <c r="I7" s="13" t="inlineStr">
        <is>
          <t>推定</t>
        </is>
      </c>
      <c r="J7" s="13" t="inlineStr">
        <is>
          <t>未確認</t>
        </is>
      </c>
      <c r="K7" s="14" t="inlineStr">
        <is>
          <t>https://www.city.iwaki.lg.jp/www/contents/1679296597893/simple/koukyoukoutuukeikaku1.pdf</t>
        </is>
      </c>
      <c r="L7" s="11" t="inlineStr">
        <is>
          <t>いわき市環境基本計画（第三次）（中間改定版）</t>
        </is>
      </c>
      <c r="M7" s="11" t="inlineStr">
        <is>
          <t>R3〜R12</t>
        </is>
      </c>
      <c r="N7" s="13" t="n">
        <v>12</v>
      </c>
      <c r="O7" s="13" t="inlineStr">
        <is>
          <t>確認済</t>
        </is>
      </c>
      <c r="P7" s="13" t="inlineStr">
        <is>
          <t>策定済</t>
        </is>
      </c>
      <c r="Q7" s="14" t="inlineStr">
        <is>
          <t>https://www.city.iwaki.lg.jp/www/contents/1774836268840/simple/gaiyo.pdf</t>
        </is>
      </c>
      <c r="R7" s="11"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t>
        </is>
      </c>
      <c r="S7" s="15" t="inlineStr">
        <is>
          <t>調査済</t>
        </is>
      </c>
    </row>
    <row r="8">
      <c r="A8" s="11" t="n">
        <v>5</v>
      </c>
      <c r="B8" s="11" t="inlineStr">
        <is>
          <t>白河市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白河市地域公共交通計画</t>
        </is>
      </c>
      <c r="G8" s="11" t="inlineStr">
        <is>
          <t>R6〜R10</t>
        </is>
      </c>
      <c r="H8" s="13" t="n">
        <v>10</v>
      </c>
      <c r="I8" s="13" t="inlineStr">
        <is>
          <t>確認済</t>
        </is>
      </c>
      <c r="J8" s="13" t="inlineStr">
        <is>
          <t>未確認</t>
        </is>
      </c>
      <c r="K8" s="14" t="inlineStr">
        <is>
          <t>https://www.city.shirakawa.fukushima.jp/data/doc/1712536078_doc_45_0.pdf</t>
        </is>
      </c>
      <c r="L8" s="11" t="inlineStr">
        <is>
          <t>第3次白河市環境基本計画</t>
        </is>
      </c>
      <c r="M8" s="11" t="inlineStr">
        <is>
          <t>R3〜R12</t>
        </is>
      </c>
      <c r="N8" s="13" t="n">
        <v>12</v>
      </c>
      <c r="O8" s="13" t="inlineStr">
        <is>
          <t>確認済</t>
        </is>
      </c>
      <c r="P8" s="13" t="inlineStr">
        <is>
          <t>未確認</t>
        </is>
      </c>
      <c r="Q8" s="14" t="inlineStr">
        <is>
          <t>https://www.city.shirakawa.fukushima.jp/data/doc/1634185398_doc_49_0.pdf</t>
        </is>
      </c>
      <c r="R8" s="11" t="inlineStr">
        <is>
          <t>交通：R6.3策定、R6〜R10の5年間。環境：第3次2021〜2030年度（第2次はH28策定）。e_urlは検索上位のPDF（計画本体か要確認）。次期計画作業は確認できず。</t>
        </is>
      </c>
      <c r="S8" s="15" t="inlineStr">
        <is>
          <t>調査済</t>
        </is>
      </c>
    </row>
    <row r="9">
      <c r="A9" s="11" t="n">
        <v>6</v>
      </c>
      <c r="B9" s="11" t="inlineStr">
        <is>
          <t>須賀川市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須賀川市地域公共交通計画</t>
        </is>
      </c>
      <c r="G9" s="11" t="inlineStr">
        <is>
          <t>不明</t>
        </is>
      </c>
      <c r="H9" s="13" t="n"/>
      <c r="I9" s="13" t="inlineStr">
        <is>
          <t>不明</t>
        </is>
      </c>
      <c r="J9" s="13" t="inlineStr">
        <is>
          <t>未確認</t>
        </is>
      </c>
      <c r="K9" s="14" t="inlineStr">
        <is>
          <t>https://www.city.sukagawa.fukushima.jp/kurashi/koutsu/koutsu_keikaku/1015962.html</t>
        </is>
      </c>
      <c r="L9" s="11" t="inlineStr">
        <is>
          <t>第3次須賀川市環境基本計画（中間改定版）</t>
        </is>
      </c>
      <c r="M9" s="11" t="inlineStr">
        <is>
          <t>不明</t>
        </is>
      </c>
      <c r="N9" s="13" t="n"/>
      <c r="O9" s="13" t="inlineStr">
        <is>
          <t>不明</t>
        </is>
      </c>
      <c r="P9" s="13" t="inlineStr">
        <is>
          <t>未確認</t>
        </is>
      </c>
      <c r="Q9" s="14" t="inlineStr">
        <is>
          <t>https://www.city.sukagawa.fukushima.jp/kurashi/gomi_recycle/kankyo_hozen/1002334/index.html</t>
        </is>
      </c>
      <c r="R9" s="11"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t>
        </is>
      </c>
      <c r="S9" s="15" t="inlineStr">
        <is>
          <t>調査済</t>
        </is>
      </c>
    </row>
    <row r="10">
      <c r="A10" s="11" t="n">
        <v>7</v>
      </c>
      <c r="B10" s="11" t="inlineStr">
        <is>
          <t>喜多方市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会津圏域地域公共交通計画（会津若松市・喜多方市ほか共同）</t>
        </is>
      </c>
      <c r="G10" s="11" t="inlineStr">
        <is>
          <t>R8〜R13</t>
        </is>
      </c>
      <c r="H10" s="13" t="n">
        <v>13</v>
      </c>
      <c r="I10" s="13" t="inlineStr">
        <is>
          <t>確認済</t>
        </is>
      </c>
      <c r="J10" s="13" t="inlineStr">
        <is>
          <t>策定済</t>
        </is>
      </c>
      <c r="K10" s="14" t="inlineStr">
        <is>
          <t>https://www.pref.fukushima.lg.jp/sec/16005d/aizukenikimoukeikaku.html</t>
        </is>
      </c>
      <c r="L10" s="11" t="inlineStr">
        <is>
          <t>喜多方市環境基本計画（中間見直し版）</t>
        </is>
      </c>
      <c r="M10" s="11" t="inlineStr">
        <is>
          <t>不明</t>
        </is>
      </c>
      <c r="N10" s="13" t="n"/>
      <c r="O10" s="13" t="inlineStr">
        <is>
          <t>不明</t>
        </is>
      </c>
      <c r="P10" s="13" t="inlineStr">
        <is>
          <t>未確認</t>
        </is>
      </c>
      <c r="Q10" s="11" t="n"/>
      <c r="R10" s="11"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t>
        </is>
      </c>
      <c r="S10" s="15" t="inlineStr">
        <is>
          <t>調査済</t>
        </is>
      </c>
    </row>
    <row r="11">
      <c r="A11" s="11" t="n">
        <v>8</v>
      </c>
      <c r="B11" s="11" t="inlineStr">
        <is>
          <t>相馬市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t>
        </is>
      </c>
      <c r="S11" s="17" t="inlineStr">
        <is>
          <t>未調査</t>
        </is>
      </c>
    </row>
    <row r="12">
      <c r="A12" s="11" t="n">
        <v>9</v>
      </c>
      <c r="B12" s="11" t="inlineStr">
        <is>
          <t>二本松市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二本松市地域公共交通計画</t>
        </is>
      </c>
      <c r="G12" s="11" t="inlineStr">
        <is>
          <t>R6〜不明</t>
        </is>
      </c>
      <c r="H12" s="13" t="n"/>
      <c r="I12" s="13" t="inlineStr">
        <is>
          <t>不明</t>
        </is>
      </c>
      <c r="J12" s="13" t="inlineStr">
        <is>
          <t>未確認</t>
        </is>
      </c>
      <c r="K12" s="14" t="inlineStr">
        <is>
          <t>https://www.city.nihonmatsu.lg.jp/kurashi_tetsuduki/koutsu/page011927.html</t>
        </is>
      </c>
      <c r="L12" s="11" t="inlineStr">
        <is>
          <t>第2次二本松市環境基本計画（改定版）</t>
        </is>
      </c>
      <c r="M12" s="11" t="inlineStr">
        <is>
          <t>R1〜R10</t>
        </is>
      </c>
      <c r="N12" s="13" t="n">
        <v>10</v>
      </c>
      <c r="O12" s="13" t="inlineStr">
        <is>
          <t>確認済</t>
        </is>
      </c>
      <c r="P12" s="13" t="inlineStr">
        <is>
          <t>未確認</t>
        </is>
      </c>
      <c r="Q12" s="14" t="inlineStr">
        <is>
          <t>https://www.city.nihonmatsu.lg.jp/data/doc/1716164612_doc_33_0.pdf</t>
        </is>
      </c>
      <c r="R12" s="11" t="inlineStr">
        <is>
          <t>交通：R6.3策定（網形成計画R1〜R5の後継）、終期は検索で確認できず（5年ならR10）。環境：第2次2019〜2028年度、R6.5改定（区域施策編を包含）。次期計画作業は確認できず。</t>
        </is>
      </c>
      <c r="S12" s="15" t="inlineStr">
        <is>
          <t>調査済</t>
        </is>
      </c>
    </row>
    <row r="13">
      <c r="A13" s="11" t="n">
        <v>10</v>
      </c>
      <c r="B13" s="11" t="inlineStr">
        <is>
          <t>田村市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田村市地域公共交通計画</t>
        </is>
      </c>
      <c r="G13" s="11" t="inlineStr">
        <is>
          <t>R4〜R8</t>
        </is>
      </c>
      <c r="H13" s="13" t="n">
        <v>8</v>
      </c>
      <c r="I13" s="13" t="inlineStr">
        <is>
          <t>確認済</t>
        </is>
      </c>
      <c r="J13" s="13" t="inlineStr">
        <is>
          <t>着手済</t>
        </is>
      </c>
      <c r="K13" s="14" t="inlineStr">
        <is>
          <t>https://www.city.tamura.lg.jp/soshiki/1/assets/【set】田村市地域公共交通計画概要版2406改訂.pdf</t>
        </is>
      </c>
      <c r="L13" s="11" t="n"/>
      <c r="M13" s="11" t="inlineStr">
        <is>
          <t>不明</t>
        </is>
      </c>
      <c r="N13" s="13" t="n"/>
      <c r="O13" s="13" t="inlineStr">
        <is>
          <t>不明</t>
        </is>
      </c>
      <c r="P13" s="13" t="inlineStr">
        <is>
          <t>未確認</t>
        </is>
      </c>
      <c r="Q13" s="11" t="n"/>
      <c r="R13" s="11"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t>
        </is>
      </c>
      <c r="S13" s="17" t="inlineStr">
        <is>
          <t>交通のみ調査</t>
        </is>
      </c>
    </row>
    <row r="14">
      <c r="A14" s="11" t="n">
        <v>11</v>
      </c>
      <c r="B14" s="11" t="inlineStr">
        <is>
          <t>南相馬市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南相馬市地域公共交通計画</t>
        </is>
      </c>
      <c r="G14" s="11" t="inlineStr">
        <is>
          <t>R8〜R12</t>
        </is>
      </c>
      <c r="H14" s="13" t="n">
        <v>12</v>
      </c>
      <c r="I14" s="13" t="inlineStr">
        <is>
          <t>確認済</t>
        </is>
      </c>
      <c r="J14" s="13" t="inlineStr">
        <is>
          <t>策定済</t>
        </is>
      </c>
      <c r="K14" s="14" t="inlineStr">
        <is>
          <t>https://www.city.minamisoma.lg.jp/material/files/group/3/202601281245.pdf</t>
        </is>
      </c>
      <c r="L14" s="11" t="inlineStr">
        <is>
          <t>第三次南相馬市環境基本計画</t>
        </is>
      </c>
      <c r="M14" s="11" t="inlineStr">
        <is>
          <t>不明</t>
        </is>
      </c>
      <c r="N14" s="13" t="n"/>
      <c r="O14" s="13" t="inlineStr">
        <is>
          <t>不明</t>
        </is>
      </c>
      <c r="P14" s="13" t="inlineStr">
        <is>
          <t>未確認</t>
        </is>
      </c>
      <c r="Q14" s="14" t="inlineStr">
        <is>
          <t>https://www.city.minamisoma.lg.jp/material/files/group/3/20231024_co148.pdf</t>
        </is>
      </c>
      <c r="R14" s="11" t="inlineStr">
        <is>
          <t>交通：新計画R8〜R12（R8.1資料）。旧計画概要 https://www.city.minamisoma.lg.jp/material/files/group/13/koutuukeikakugaiyou.pdf 。環境：第三次計画R5.10策定（第二次はH36=R6まで）、期間は検索で確認できず（R6開始と推定）。ゼロカーボン推進計画2023〜2030。</t>
        </is>
      </c>
      <c r="S14" s="15" t="inlineStr">
        <is>
          <t>調査済</t>
        </is>
      </c>
    </row>
    <row r="15">
      <c r="A15" s="11" t="n">
        <v>12</v>
      </c>
      <c r="B15" s="11" t="inlineStr">
        <is>
          <t>伊達市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伊達市地域公共交通計画</t>
        </is>
      </c>
      <c r="G15" s="11" t="inlineStr">
        <is>
          <t>不明</t>
        </is>
      </c>
      <c r="H15" s="13" t="n"/>
      <c r="I15" s="13" t="inlineStr">
        <is>
          <t>不明</t>
        </is>
      </c>
      <c r="J15" s="13" t="inlineStr">
        <is>
          <t>未確認</t>
        </is>
      </c>
      <c r="K15" s="14" t="inlineStr">
        <is>
          <t>https://www.city.fukushima-date.lg.jp/soshiki/86/47231.html</t>
        </is>
      </c>
      <c r="L15" s="11" t="inlineStr">
        <is>
          <t>第2次伊達市環境基本計画</t>
        </is>
      </c>
      <c r="M15" s="11" t="inlineStr">
        <is>
          <t>R3〜R12</t>
        </is>
      </c>
      <c r="N15" s="13" t="n">
        <v>12</v>
      </c>
      <c r="O15" s="13" t="inlineStr">
        <is>
          <t>確認済</t>
        </is>
      </c>
      <c r="P15" s="13" t="inlineStr">
        <is>
          <t>策定済</t>
        </is>
      </c>
      <c r="Q15" s="14" t="inlineStr">
        <is>
          <t>https://www.city.fukushima-date.lg.jp/soshiki/86/47604.html</t>
        </is>
      </c>
      <c r="R15" s="11"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5" t="inlineStr">
        <is>
          <t>調査済</t>
        </is>
      </c>
    </row>
    <row r="16">
      <c r="A16" s="11" t="n">
        <v>13</v>
      </c>
      <c r="B16" s="11" t="inlineStr">
        <is>
          <t>本宮市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本宮市地域公共交通計画</t>
        </is>
      </c>
      <c r="G16" s="11" t="inlineStr">
        <is>
          <t>不明（R8度末終了と推定）</t>
        </is>
      </c>
      <c r="H16" s="16" t="n">
        <v>8</v>
      </c>
      <c r="I16" s="13" t="inlineStr">
        <is>
          <t>推定</t>
        </is>
      </c>
      <c r="J16" s="13" t="inlineStr">
        <is>
          <t>着手済</t>
        </is>
      </c>
      <c r="K16" s="14" t="inlineStr">
        <is>
          <t>https://www.city.motomiya.lg.jp/soshiki/10/tiikikoukyoukoutsuukeikaku.html</t>
        </is>
      </c>
      <c r="L16" s="11" t="inlineStr">
        <is>
          <t>本宮市第2次環境基本計画</t>
        </is>
      </c>
      <c r="M16" s="11" t="inlineStr">
        <is>
          <t>不明</t>
        </is>
      </c>
      <c r="N16" s="13" t="n"/>
      <c r="O16" s="13" t="inlineStr">
        <is>
          <t>不明</t>
        </is>
      </c>
      <c r="P16" s="13" t="inlineStr">
        <is>
          <t>未確認</t>
        </is>
      </c>
      <c r="Q16" s="11" t="n"/>
      <c r="R16" s="11"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t>
        </is>
      </c>
      <c r="S16" s="15" t="inlineStr">
        <is>
          <t>調査済</t>
        </is>
      </c>
    </row>
    <row r="17">
      <c r="A17" s="11" t="n">
        <v>14</v>
      </c>
      <c r="B17" s="11" t="inlineStr">
        <is>
          <t>桑折町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n"/>
      <c r="G17" s="11" t="inlineStr">
        <is>
          <t>不明</t>
        </is>
      </c>
      <c r="H17" s="13" t="n"/>
      <c r="I17" s="13" t="inlineStr">
        <is>
          <t>不明</t>
        </is>
      </c>
      <c r="J17" s="13" t="inlineStr">
        <is>
          <t>未確認</t>
        </is>
      </c>
      <c r="K17" s="11" t="n"/>
      <c r="L17" s="11" t="n"/>
      <c r="M17" s="11" t="inlineStr">
        <is>
          <t>不明</t>
        </is>
      </c>
      <c r="N17" s="13" t="n"/>
      <c r="O17" s="13" t="inlineStr">
        <is>
          <t>不明</t>
        </is>
      </c>
      <c r="P17" s="13" t="inlineStr">
        <is>
          <t>計画なし</t>
        </is>
      </c>
      <c r="Q17" s="11" t="n"/>
      <c r="R17" s="11"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7" t="inlineStr">
        <is>
          <t>環境のみ調査</t>
        </is>
      </c>
    </row>
    <row r="18">
      <c r="A18" s="11" t="n">
        <v>15</v>
      </c>
      <c r="B18" s="11" t="inlineStr">
        <is>
          <t>国見町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t>
        </is>
      </c>
      <c r="S18" s="17" t="inlineStr">
        <is>
          <t>未調査</t>
        </is>
      </c>
    </row>
    <row r="19">
      <c r="A19" s="11" t="n">
        <v>16</v>
      </c>
      <c r="B19" s="11" t="inlineStr">
        <is>
          <t>川俣町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t>
        </is>
      </c>
      <c r="S19" s="17" t="inlineStr">
        <is>
          <t>未調査</t>
        </is>
      </c>
    </row>
    <row r="20">
      <c r="A20" s="11" t="n">
        <v>17</v>
      </c>
      <c r="B20" s="11" t="inlineStr">
        <is>
          <t>大玉村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大玉村地域公共交通計画</t>
        </is>
      </c>
      <c r="G20" s="11" t="inlineStr">
        <is>
          <t>R4〜R8（推定）</t>
        </is>
      </c>
      <c r="H20" s="16" t="n">
        <v>8</v>
      </c>
      <c r="I20" s="13" t="inlineStr">
        <is>
          <t>推定</t>
        </is>
      </c>
      <c r="J20" s="13" t="inlineStr">
        <is>
          <t>未確認</t>
        </is>
      </c>
      <c r="K20" s="14" t="inlineStr">
        <is>
          <t>https://www.vill.otama.fukushima.jp/gyousei_jouhou/keikaku/</t>
        </is>
      </c>
      <c r="L20" s="11" t="n"/>
      <c r="M20" s="11" t="inlineStr">
        <is>
          <t>不明</t>
        </is>
      </c>
      <c r="N20" s="13" t="n"/>
      <c r="O20" s="13" t="inlineStr">
        <is>
          <t>不明</t>
        </is>
      </c>
      <c r="P20" s="13" t="inlineStr">
        <is>
          <t>未確認</t>
        </is>
      </c>
      <c r="Q20" s="11" t="n"/>
      <c r="R20" s="11"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t>
        </is>
      </c>
      <c r="S20" s="17" t="inlineStr">
        <is>
          <t>交通のみ調査</t>
        </is>
      </c>
    </row>
    <row r="21">
      <c r="A21" s="11" t="n">
        <v>18</v>
      </c>
      <c r="B21" s="11" t="inlineStr">
        <is>
          <t>鏡石町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t>
        </is>
      </c>
      <c r="S21" s="17" t="inlineStr">
        <is>
          <t>未調査</t>
        </is>
      </c>
    </row>
    <row r="22">
      <c r="A22" s="11" t="n">
        <v>19</v>
      </c>
      <c r="B22" s="11" t="inlineStr">
        <is>
          <t>天栄村</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地域公共交通計画・環境基本計画とも検索で確認できず（村HPはほぼ検索インデックスなし）。小規模村で計画なしの可能性。</t>
        </is>
      </c>
      <c r="S22" s="17" t="inlineStr">
        <is>
          <t>未調査</t>
        </is>
      </c>
    </row>
    <row r="23">
      <c r="A23" s="11" t="n">
        <v>20</v>
      </c>
      <c r="B23" s="11" t="inlineStr">
        <is>
          <t>下郷町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t>
        </is>
      </c>
      <c r="S23" s="17" t="inlineStr">
        <is>
          <t>未調査</t>
        </is>
      </c>
    </row>
    <row r="24">
      <c r="A24" s="11" t="n">
        <v>21</v>
      </c>
      <c r="B24" s="11" t="inlineStr">
        <is>
          <t>檜枝岐村</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地域公共交通計画・環境基本計画とも検索で確認できず。小規模村で計画なしの可能性（南会津地域4町村の共同交通計画も確認できず）。</t>
        </is>
      </c>
      <c r="S24" s="17" t="inlineStr">
        <is>
          <t>未調査</t>
        </is>
      </c>
    </row>
    <row r="25">
      <c r="A25" s="11" t="n">
        <v>22</v>
      </c>
      <c r="B25" s="11" t="inlineStr">
        <is>
          <t>只見町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地域公共交通計画は町HP内検索でも確認できず（只見駅周回バス、雪んこタクシー等運行）。環境基本計画も検索で確認できず（ユネスコエコパーク関連の取組はあり）。</t>
        </is>
      </c>
      <c r="S25" s="17" t="inlineStr">
        <is>
          <t>未調査</t>
        </is>
      </c>
    </row>
    <row r="26">
      <c r="A26" s="11" t="n">
        <v>23</v>
      </c>
      <c r="B26" s="11" t="inlineStr">
        <is>
          <t>南会津町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南会津町地域公共交通計画</t>
        </is>
      </c>
      <c r="G26" s="11" t="inlineStr">
        <is>
          <t>R6〜R10</t>
        </is>
      </c>
      <c r="H26" s="13" t="n">
        <v>10</v>
      </c>
      <c r="I26" s="13" t="inlineStr">
        <is>
          <t>確認済</t>
        </is>
      </c>
      <c r="J26" s="13" t="inlineStr">
        <is>
          <t>未確認</t>
        </is>
      </c>
      <c r="K26" s="14" t="inlineStr">
        <is>
          <t>https://www.town.minamiaizu.lg.jp/official/soshikikarasagasu/sogoseisakuka/kakushukeikaku/1/3114.html</t>
        </is>
      </c>
      <c r="L26" s="11" t="inlineStr">
        <is>
          <t>第2次南会津町環境基本計画</t>
        </is>
      </c>
      <c r="M26" s="11" t="inlineStr">
        <is>
          <t>不明</t>
        </is>
      </c>
      <c r="N26" s="13" t="n"/>
      <c r="O26" s="13" t="inlineStr">
        <is>
          <t>不明</t>
        </is>
      </c>
      <c r="P26" s="13" t="inlineStr">
        <is>
          <t>未確認</t>
        </is>
      </c>
      <c r="Q26" s="14" t="inlineStr">
        <is>
          <t>https://www.town.minamiaizu.lg.jp/official/soshikikarasagasu/kankyosuidoka/kakushukeikaku/1/450.html</t>
        </is>
      </c>
      <c r="R26" s="11"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t>
        </is>
      </c>
      <c r="S26" s="15" t="inlineStr">
        <is>
          <t>調査済</t>
        </is>
      </c>
    </row>
    <row r="27">
      <c r="A27" s="11" t="n">
        <v>24</v>
      </c>
      <c r="B27" s="11" t="inlineStr">
        <is>
          <t>北塩原村</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計画なし</t>
        </is>
      </c>
      <c r="Q27" s="11" t="n"/>
      <c r="R27" s="11"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t>
        </is>
      </c>
      <c r="S27" s="17" t="inlineStr">
        <is>
          <t>環境のみ調査</t>
        </is>
      </c>
    </row>
    <row r="28">
      <c r="A28" s="11" t="n">
        <v>25</v>
      </c>
      <c r="B28" s="11" t="inlineStr">
        <is>
          <t>西会津町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未確認</t>
        </is>
      </c>
      <c r="K28" s="11" t="n"/>
      <c r="L28" s="11" t="n"/>
      <c r="M28" s="11" t="inlineStr">
        <is>
          <t>不明</t>
        </is>
      </c>
      <c r="N28" s="13" t="n"/>
      <c r="O28" s="13" t="inlineStr">
        <is>
          <t>不明</t>
        </is>
      </c>
      <c r="P28" s="13" t="inlineStr">
        <is>
          <t>計画なし</t>
        </is>
      </c>
      <c r="Q28" s="11" t="n"/>
      <c r="R28" s="11"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17" t="inlineStr">
        <is>
          <t>環境のみ調査</t>
        </is>
      </c>
    </row>
    <row r="29">
      <c r="A29" s="11" t="n">
        <v>26</v>
      </c>
      <c r="B29" s="11" t="inlineStr">
        <is>
          <t>磐梯町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計画なし</t>
        </is>
      </c>
      <c r="Q29" s="11" t="n"/>
      <c r="R29" s="11"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17" t="inlineStr">
        <is>
          <t>環境のみ調査</t>
        </is>
      </c>
    </row>
    <row r="30">
      <c r="A30" s="11" t="n">
        <v>27</v>
      </c>
      <c r="B30" s="11" t="inlineStr">
        <is>
          <t>猪苗代町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計画なし</t>
        </is>
      </c>
      <c r="Q30" s="11" t="n"/>
      <c r="R30" s="11"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17" t="inlineStr">
        <is>
          <t>環境のみ調査</t>
        </is>
      </c>
    </row>
    <row r="31">
      <c r="A31" s="11" t="n">
        <v>28</v>
      </c>
      <c r="B31" s="11" t="inlineStr">
        <is>
          <t>会津坂下町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会津圏域地域公共交通計画（福島県・会津圏域6市町村共同）</t>
        </is>
      </c>
      <c r="G31" s="11" t="inlineStr">
        <is>
          <t>R8〜R13</t>
        </is>
      </c>
      <c r="H31" s="13" t="n">
        <v>13</v>
      </c>
      <c r="I31" s="13" t="inlineStr">
        <is>
          <t>確認済</t>
        </is>
      </c>
      <c r="J31" s="13" t="inlineStr">
        <is>
          <t>策定済</t>
        </is>
      </c>
      <c r="K31" s="14" t="inlineStr">
        <is>
          <t>https://www.pref.fukushima.lg.jp/sec/16005d/aizukeniki-keikaku-ribenkeikaku.html</t>
        </is>
      </c>
      <c r="L31" s="11" t="n"/>
      <c r="M31" s="11" t="inlineStr">
        <is>
          <t>不明</t>
        </is>
      </c>
      <c r="N31" s="13" t="n"/>
      <c r="O31" s="13" t="inlineStr">
        <is>
          <t>不明</t>
        </is>
      </c>
      <c r="P31" s="13" t="inlineStr">
        <is>
          <t>計画なし</t>
        </is>
      </c>
      <c r="Q31" s="11" t="n"/>
      <c r="R31"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5" t="inlineStr">
        <is>
          <t>調査済</t>
        </is>
      </c>
    </row>
    <row r="32">
      <c r="A32" s="11" t="n">
        <v>29</v>
      </c>
      <c r="B32" s="11" t="inlineStr">
        <is>
          <t>湯川村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会津圏域地域公共交通計画（福島県・会津圏域6市町村共同）</t>
        </is>
      </c>
      <c r="G32" s="11" t="inlineStr">
        <is>
          <t>R8〜R13</t>
        </is>
      </c>
      <c r="H32" s="13" t="n">
        <v>13</v>
      </c>
      <c r="I32" s="13" t="inlineStr">
        <is>
          <t>確認済</t>
        </is>
      </c>
      <c r="J32" s="13" t="inlineStr">
        <is>
          <t>策定済</t>
        </is>
      </c>
      <c r="K32" s="14" t="inlineStr">
        <is>
          <t>https://www.pref.fukushima.lg.jp/sec/16005d/aizukeniki-keikaku-ribenkeikaku.html</t>
        </is>
      </c>
      <c r="L32" s="11" t="n"/>
      <c r="M32" s="11" t="inlineStr">
        <is>
          <t>不明</t>
        </is>
      </c>
      <c r="N32" s="13" t="n"/>
      <c r="O32" s="13" t="inlineStr">
        <is>
          <t>不明</t>
        </is>
      </c>
      <c r="P32" s="13" t="inlineStr">
        <is>
          <t>未確認</t>
        </is>
      </c>
      <c r="Q32" s="11" t="n"/>
      <c r="R32"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t>
        </is>
      </c>
      <c r="S32" s="17" t="inlineStr">
        <is>
          <t>交通のみ調査</t>
        </is>
      </c>
    </row>
    <row r="33">
      <c r="A33" s="11" t="n">
        <v>30</v>
      </c>
      <c r="B33" s="11" t="inlineStr">
        <is>
          <t>柳津町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会津圏域地域公共交通計画（福島県・会津圏域6市町村共同）</t>
        </is>
      </c>
      <c r="G33" s="11" t="inlineStr">
        <is>
          <t>R8〜R13</t>
        </is>
      </c>
      <c r="H33" s="13" t="n">
        <v>13</v>
      </c>
      <c r="I33" s="13" t="inlineStr">
        <is>
          <t>確認済</t>
        </is>
      </c>
      <c r="J33" s="13" t="inlineStr">
        <is>
          <t>策定済</t>
        </is>
      </c>
      <c r="K33" s="14" t="inlineStr">
        <is>
          <t>https://www.pref.fukushima.lg.jp/sec/16005d/aizukeniki-keikaku-ribenkeikaku.html</t>
        </is>
      </c>
      <c r="L33" s="11" t="n"/>
      <c r="M33" s="11" t="inlineStr">
        <is>
          <t>不明</t>
        </is>
      </c>
      <c r="N33" s="13" t="n"/>
      <c r="O33" s="13" t="inlineStr">
        <is>
          <t>不明</t>
        </is>
      </c>
      <c r="P33" s="13" t="inlineStr">
        <is>
          <t>未確認</t>
        </is>
      </c>
      <c r="Q33" s="11" t="n"/>
      <c r="R33"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t>
        </is>
      </c>
      <c r="S33" s="17" t="inlineStr">
        <is>
          <t>交通のみ調査</t>
        </is>
      </c>
    </row>
    <row r="34">
      <c r="A34" s="11" t="n">
        <v>31</v>
      </c>
      <c r="B34" s="11" t="inlineStr">
        <is>
          <t>三島町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未確認</t>
        </is>
      </c>
      <c r="Q34" s="11" t="n"/>
      <c r="R34" s="11"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t>
        </is>
      </c>
      <c r="S34" s="17" t="inlineStr">
        <is>
          <t>未調査</t>
        </is>
      </c>
    </row>
    <row r="35">
      <c r="A35" s="11" t="n">
        <v>32</v>
      </c>
      <c r="B35" s="11" t="inlineStr">
        <is>
          <t>金山町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未確認</t>
        </is>
      </c>
      <c r="Q35" s="11" t="n"/>
      <c r="R35" s="11"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t>
        </is>
      </c>
      <c r="S35" s="17" t="inlineStr">
        <is>
          <t>未調査</t>
        </is>
      </c>
    </row>
    <row r="36">
      <c r="A36" s="11" t="n">
        <v>33</v>
      </c>
      <c r="B36" s="11" t="inlineStr">
        <is>
          <t>昭和村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単独/奥会津広域の地域公共交通計画は再検索でも確認できず（只見線利活用計画のみ）（会津圏域計画の対象外）。 【環境】環境基本計画は検索で確認できず（村HP各種計画 https://www.vill.showa.fukushima.jp/procedure/1096/ ）。</t>
        </is>
      </c>
      <c r="S36" s="17" t="inlineStr">
        <is>
          <t>未調査</t>
        </is>
      </c>
    </row>
    <row r="37">
      <c r="A37" s="11" t="n">
        <v>34</v>
      </c>
      <c r="B37" s="11" t="inlineStr">
        <is>
          <t>会津美里町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会津圏域地域公共交通計画（福島県・会津圏域6市町村共同）</t>
        </is>
      </c>
      <c r="G37" s="11" t="inlineStr">
        <is>
          <t>R8〜R13</t>
        </is>
      </c>
      <c r="H37" s="13" t="n">
        <v>13</v>
      </c>
      <c r="I37" s="13" t="inlineStr">
        <is>
          <t>確認済</t>
        </is>
      </c>
      <c r="J37" s="13" t="inlineStr">
        <is>
          <t>策定済</t>
        </is>
      </c>
      <c r="K37" s="14" t="inlineStr">
        <is>
          <t>https://www.pref.fukushima.lg.jp/sec/16005d/aizukeniki-keikaku-ribenkeikaku.html</t>
        </is>
      </c>
      <c r="L37" s="11" t="n"/>
      <c r="M37" s="11" t="inlineStr">
        <is>
          <t>不明</t>
        </is>
      </c>
      <c r="N37" s="13" t="n"/>
      <c r="O37" s="13" t="inlineStr">
        <is>
          <t>不明</t>
        </is>
      </c>
      <c r="P37" s="13" t="inlineStr">
        <is>
          <t>未確認</t>
        </is>
      </c>
      <c r="Q37" s="11" t="n"/>
      <c r="R37"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t>
        </is>
      </c>
      <c r="S37" s="17" t="inlineStr">
        <is>
          <t>交通のみ調査</t>
        </is>
      </c>
    </row>
    <row r="38">
      <c r="A38" s="11" t="n">
        <v>35</v>
      </c>
      <c r="B38" s="11" t="inlineStr">
        <is>
          <t>西郷村</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西郷村地域公共交通計画</t>
        </is>
      </c>
      <c r="G38" s="11" t="inlineStr">
        <is>
          <t>R8〜R13</t>
        </is>
      </c>
      <c r="H38" s="13" t="n">
        <v>13</v>
      </c>
      <c r="I38" s="13" t="inlineStr">
        <is>
          <t>確認済</t>
        </is>
      </c>
      <c r="J38" s="13" t="inlineStr">
        <is>
          <t>策定済</t>
        </is>
      </c>
      <c r="K38" s="14" t="inlineStr">
        <is>
          <t>https://www.vill.nishigo.fukushima.jp/material/files/group/3/koutsuukeikaku_soan_2026.pdf</t>
        </is>
      </c>
      <c r="L38" s="11" t="inlineStr">
        <is>
          <t>西郷村環境基本計画</t>
        </is>
      </c>
      <c r="M38" s="11" t="inlineStr">
        <is>
          <t>不明</t>
        </is>
      </c>
      <c r="N38" s="13" t="n"/>
      <c r="O38" s="13" t="inlineStr">
        <is>
          <t>不明</t>
        </is>
      </c>
      <c r="P38" s="13" t="inlineStr">
        <is>
          <t>着手済</t>
        </is>
      </c>
      <c r="Q38" s="14" t="inlineStr">
        <is>
          <t>https://www.vill.nishigo.fukushima.jp/soshiki/kankyohozenka/kankyo_gomi/2/4547.html</t>
        </is>
      </c>
      <c r="R38" s="11"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t>
        </is>
      </c>
      <c r="S38" s="15" t="inlineStr">
        <is>
          <t>調査済</t>
        </is>
      </c>
    </row>
    <row r="39">
      <c r="A39" s="11" t="n">
        <v>36</v>
      </c>
      <c r="B39" s="11" t="inlineStr">
        <is>
          <t>泉崎村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福島県地域公共交通計画（県全域の広域計画）</t>
        </is>
      </c>
      <c r="G39" s="11" t="inlineStr">
        <is>
          <t>R6〜R12</t>
        </is>
      </c>
      <c r="H39" s="13" t="n">
        <v>12</v>
      </c>
      <c r="I39" s="13" t="inlineStr">
        <is>
          <t>確認済</t>
        </is>
      </c>
      <c r="J39" s="13" t="inlineStr">
        <is>
          <t>未確認</t>
        </is>
      </c>
      <c r="K39" s="14" t="inlineStr">
        <is>
          <t>https://www.pref.fukushima.lg.jp/uploaded/attachment/622613.pdf</t>
        </is>
      </c>
      <c r="L39" s="11" t="n"/>
      <c r="M39" s="11" t="inlineStr">
        <is>
          <t>不明</t>
        </is>
      </c>
      <c r="N39" s="13" t="n"/>
      <c r="O39" s="13" t="inlineStr">
        <is>
          <t>不明</t>
        </is>
      </c>
      <c r="P39" s="13" t="inlineStr">
        <is>
          <t>未確認</t>
        </is>
      </c>
      <c r="Q39" s="11" t="n"/>
      <c r="R39" s="11"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t>
        </is>
      </c>
      <c r="S39" s="17" t="inlineStr">
        <is>
          <t>交通のみ調査</t>
        </is>
      </c>
    </row>
    <row r="40">
      <c r="A40" s="11" t="n">
        <v>37</v>
      </c>
      <c r="B40" s="11" t="inlineStr">
        <is>
          <t>中島村</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福島県地域公共交通計画（県全域の広域計画）</t>
        </is>
      </c>
      <c r="G40" s="11" t="inlineStr">
        <is>
          <t>R6〜R12</t>
        </is>
      </c>
      <c r="H40" s="13" t="n">
        <v>12</v>
      </c>
      <c r="I40" s="13" t="inlineStr">
        <is>
          <t>確認済</t>
        </is>
      </c>
      <c r="J40" s="13" t="inlineStr">
        <is>
          <t>未確認</t>
        </is>
      </c>
      <c r="K40" s="14" t="inlineStr">
        <is>
          <t>https://www.pref.fukushima.lg.jp/uploaded/attachment/622613.pdf</t>
        </is>
      </c>
      <c r="L40" s="11" t="n"/>
      <c r="M40" s="11" t="inlineStr">
        <is>
          <t>不明</t>
        </is>
      </c>
      <c r="N40" s="13" t="n"/>
      <c r="O40" s="13" t="inlineStr">
        <is>
          <t>不明</t>
        </is>
      </c>
      <c r="P40" s="13" t="inlineStr">
        <is>
          <t>未確認</t>
        </is>
      </c>
      <c r="Q40" s="11" t="n"/>
      <c r="R40" s="11" t="inlineStr">
        <is>
          <t>町村単独の地域公共交通計画は検索で確認できず、県計画（R6.3策定、R7.2等に一部改定）が対象範囲。しらかわ地域定住自立圏構成村。環境基本計画・温暖化対策実行計画とも検索で確認できず。</t>
        </is>
      </c>
      <c r="S40" s="17" t="inlineStr">
        <is>
          <t>交通のみ調査</t>
        </is>
      </c>
    </row>
    <row r="41">
      <c r="A41" s="11" t="n">
        <v>38</v>
      </c>
      <c r="B41" s="11" t="inlineStr">
        <is>
          <t>矢吹町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矢吹町地域公共交通計画</t>
        </is>
      </c>
      <c r="G41" s="11" t="inlineStr">
        <is>
          <t>不明</t>
        </is>
      </c>
      <c r="H41" s="13" t="n"/>
      <c r="I41" s="13" t="inlineStr">
        <is>
          <t>不明</t>
        </is>
      </c>
      <c r="J41" s="13" t="inlineStr">
        <is>
          <t>未確認</t>
        </is>
      </c>
      <c r="K41" s="14" t="inlineStr">
        <is>
          <t>https://www.town.yabuki.fukushima.jp/page/page009573.html</t>
        </is>
      </c>
      <c r="L41" s="11" t="n"/>
      <c r="M41" s="11" t="inlineStr">
        <is>
          <t>不明</t>
        </is>
      </c>
      <c r="N41" s="13" t="n"/>
      <c r="O41" s="13" t="inlineStr">
        <is>
          <t>不明</t>
        </is>
      </c>
      <c r="P41" s="13" t="inlineStr">
        <is>
          <t>計画なし</t>
        </is>
      </c>
      <c r="Q41" s="11" t="n"/>
      <c r="R41" s="11"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5" t="inlineStr">
        <is>
          <t>調査済</t>
        </is>
      </c>
    </row>
    <row r="42">
      <c r="A42" s="11" t="n">
        <v>39</v>
      </c>
      <c r="B42" s="11" t="inlineStr">
        <is>
          <t>棚倉町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福島県地域公共交通計画（県全域の広域計画）</t>
        </is>
      </c>
      <c r="G42" s="11" t="inlineStr">
        <is>
          <t>R6〜R12</t>
        </is>
      </c>
      <c r="H42" s="13" t="n">
        <v>12</v>
      </c>
      <c r="I42" s="13" t="inlineStr">
        <is>
          <t>確認済</t>
        </is>
      </c>
      <c r="J42" s="13" t="inlineStr">
        <is>
          <t>未確認</t>
        </is>
      </c>
      <c r="K42" s="14" t="inlineStr">
        <is>
          <t>https://www.pref.fukushima.lg.jp/uploaded/attachment/622613.pdf</t>
        </is>
      </c>
      <c r="L42" s="11" t="inlineStr">
        <is>
          <t>棚倉町環境基本計画－SDGsと環境共生圏づくりを目指して－</t>
        </is>
      </c>
      <c r="M42" s="11" t="inlineStr">
        <is>
          <t>不明</t>
        </is>
      </c>
      <c r="N42" s="13" t="n"/>
      <c r="O42" s="13" t="inlineStr">
        <is>
          <t>不明</t>
        </is>
      </c>
      <c r="P42" s="13" t="inlineStr">
        <is>
          <t>未確認</t>
        </is>
      </c>
      <c r="Q42" s="14" t="inlineStr">
        <is>
          <t>https://www.town.tanagura.fukushima.jp/page/page001917.html</t>
        </is>
      </c>
      <c r="R42" s="11"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t>
        </is>
      </c>
      <c r="S42" s="15" t="inlineStr">
        <is>
          <t>調査済</t>
        </is>
      </c>
    </row>
    <row r="43">
      <c r="A43" s="11" t="n">
        <v>40</v>
      </c>
      <c r="B43" s="11" t="inlineStr">
        <is>
          <t>矢祭町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福島県地域公共交通計画（県全域の広域計画）</t>
        </is>
      </c>
      <c r="G43" s="11" t="inlineStr">
        <is>
          <t>R6〜R12</t>
        </is>
      </c>
      <c r="H43" s="13" t="n">
        <v>12</v>
      </c>
      <c r="I43" s="13" t="inlineStr">
        <is>
          <t>確認済</t>
        </is>
      </c>
      <c r="J43" s="13" t="inlineStr">
        <is>
          <t>未確認</t>
        </is>
      </c>
      <c r="K43" s="14" t="inlineStr">
        <is>
          <t>https://www.pref.fukushima.lg.jp/uploaded/attachment/622613.pdf</t>
        </is>
      </c>
      <c r="L43" s="11" t="n"/>
      <c r="M43" s="11" t="inlineStr">
        <is>
          <t>不明</t>
        </is>
      </c>
      <c r="N43" s="13" t="n"/>
      <c r="O43" s="13" t="inlineStr">
        <is>
          <t>不明</t>
        </is>
      </c>
      <c r="P43" s="13" t="inlineStr">
        <is>
          <t>未確認</t>
        </is>
      </c>
      <c r="Q43" s="11" t="n"/>
      <c r="R43" s="11"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t>
        </is>
      </c>
      <c r="S43" s="17" t="inlineStr">
        <is>
          <t>交通のみ調査</t>
        </is>
      </c>
    </row>
    <row r="44">
      <c r="A44" s="11" t="n">
        <v>41</v>
      </c>
      <c r="B44" s="11" t="inlineStr">
        <is>
          <t>塙町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inlineStr">
        <is>
          <t>福島県地域公共交通計画（県全域の広域計画）</t>
        </is>
      </c>
      <c r="G44" s="11" t="inlineStr">
        <is>
          <t>R6〜R12</t>
        </is>
      </c>
      <c r="H44" s="13" t="n">
        <v>12</v>
      </c>
      <c r="I44" s="13" t="inlineStr">
        <is>
          <t>確認済</t>
        </is>
      </c>
      <c r="J44" s="13" t="inlineStr">
        <is>
          <t>未確認</t>
        </is>
      </c>
      <c r="K44" s="14" t="inlineStr">
        <is>
          <t>https://www.pref.fukushima.lg.jp/uploaded/attachment/622613.pdf</t>
        </is>
      </c>
      <c r="L44" s="11" t="n"/>
      <c r="M44" s="11" t="inlineStr">
        <is>
          <t>不明</t>
        </is>
      </c>
      <c r="N44" s="13" t="n"/>
      <c r="O44" s="13" t="inlineStr">
        <is>
          <t>不明</t>
        </is>
      </c>
      <c r="P44" s="13" t="inlineStr">
        <is>
          <t>計画なし</t>
        </is>
      </c>
      <c r="Q44" s="11" t="n"/>
      <c r="R44" s="11"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t>
        </is>
      </c>
      <c r="S44" s="15" t="inlineStr">
        <is>
          <t>調査済</t>
        </is>
      </c>
    </row>
    <row r="45">
      <c r="A45" s="11" t="n">
        <v>42</v>
      </c>
      <c r="B45" s="11" t="inlineStr">
        <is>
          <t>鮫川村</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inlineStr">
        <is>
          <t>鮫川村地域公共交通計画</t>
        </is>
      </c>
      <c r="G45" s="11" t="inlineStr">
        <is>
          <t>R5〜R9</t>
        </is>
      </c>
      <c r="H45" s="13" t="n">
        <v>9</v>
      </c>
      <c r="I45" s="13" t="inlineStr">
        <is>
          <t>確認済</t>
        </is>
      </c>
      <c r="J45" s="13" t="inlineStr">
        <is>
          <t>未確認</t>
        </is>
      </c>
      <c r="K45" s="14" t="inlineStr">
        <is>
          <t>https://www.vill.samegawa.fukushima.jp/sp/page/page002592.html</t>
        </is>
      </c>
      <c r="L45" s="11" t="n"/>
      <c r="M45" s="11" t="inlineStr">
        <is>
          <t>不明</t>
        </is>
      </c>
      <c r="N45" s="13" t="n"/>
      <c r="O45" s="13" t="inlineStr">
        <is>
          <t>不明</t>
        </is>
      </c>
      <c r="P45" s="13" t="inlineStr">
        <is>
          <t>未確認</t>
        </is>
      </c>
      <c r="Q45" s="11" t="n"/>
      <c r="R45" s="11"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t>
        </is>
      </c>
      <c r="S45" s="17" t="inlineStr">
        <is>
          <t>交通のみ調査</t>
        </is>
      </c>
    </row>
    <row r="46">
      <c r="A46" s="11" t="n">
        <v>43</v>
      </c>
      <c r="B46" s="11" t="inlineStr">
        <is>
          <t>石川町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inlineStr">
        <is>
          <t>石川町地域公共交通計画</t>
        </is>
      </c>
      <c r="G46" s="11" t="inlineStr">
        <is>
          <t>R5〜R10</t>
        </is>
      </c>
      <c r="H46" s="13" t="n">
        <v>10</v>
      </c>
      <c r="I46" s="13" t="inlineStr">
        <is>
          <t>確認済</t>
        </is>
      </c>
      <c r="J46" s="13" t="inlineStr">
        <is>
          <t>未確認</t>
        </is>
      </c>
      <c r="K46" s="14" t="inlineStr">
        <is>
          <t>https://www.town.ishikawa.fukushima.jp/admin/project/03/24.html</t>
        </is>
      </c>
      <c r="L46" s="11" t="n"/>
      <c r="M46" s="11" t="inlineStr">
        <is>
          <t>不明</t>
        </is>
      </c>
      <c r="N46" s="13" t="n"/>
      <c r="O46" s="13" t="inlineStr">
        <is>
          <t>不明</t>
        </is>
      </c>
      <c r="P46" s="13" t="inlineStr">
        <is>
          <t>未確認</t>
        </is>
      </c>
      <c r="Q46" s="11" t="n"/>
      <c r="R46" s="11"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t>
        </is>
      </c>
      <c r="S46" s="17" t="inlineStr">
        <is>
          <t>交通のみ調査</t>
        </is>
      </c>
    </row>
    <row r="47">
      <c r="A47" s="11" t="n">
        <v>44</v>
      </c>
      <c r="B47" s="11" t="inlineStr">
        <is>
          <t>玉川村</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inlineStr">
        <is>
          <t>福島県地域公共交通計画（県全域の広域計画）</t>
        </is>
      </c>
      <c r="G47" s="11" t="inlineStr">
        <is>
          <t>R6〜R12</t>
        </is>
      </c>
      <c r="H47" s="13" t="n">
        <v>12</v>
      </c>
      <c r="I47" s="13" t="inlineStr">
        <is>
          <t>確認済</t>
        </is>
      </c>
      <c r="J47" s="13" t="inlineStr">
        <is>
          <t>未確認</t>
        </is>
      </c>
      <c r="K47" s="14" t="inlineStr">
        <is>
          <t>https://www.pref.fukushima.lg.jp/uploaded/attachment/622613.pdf</t>
        </is>
      </c>
      <c r="L47" s="11" t="n"/>
      <c r="M47" s="11" t="inlineStr">
        <is>
          <t>不明</t>
        </is>
      </c>
      <c r="N47" s="13" t="n"/>
      <c r="O47" s="13" t="inlineStr">
        <is>
          <t>不明</t>
        </is>
      </c>
      <c r="P47" s="13" t="inlineStr">
        <is>
          <t>未確認</t>
        </is>
      </c>
      <c r="Q47" s="11" t="n"/>
      <c r="R47"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t>
        </is>
      </c>
      <c r="S47" s="17" t="inlineStr">
        <is>
          <t>交通のみ調査</t>
        </is>
      </c>
    </row>
    <row r="48">
      <c r="A48" s="11" t="n">
        <v>45</v>
      </c>
      <c r="B48" s="11" t="inlineStr">
        <is>
          <t>平田村</t>
        </is>
      </c>
      <c r="C48" s="12">
        <f>IF(OR(D48="◎",E48="◎"),"◎ 営業",IF(OR(D48="△",E48="△"),"△ 着手済・要確認",IF(OR(D48="？",E48="？"),"？ 期間要確認","✕ 対象外")))</f>
        <v/>
      </c>
      <c r="D48" s="13">
        <f>IF(J48="計画なし","－",IF(J48="策定済","✕",IF(H48="","？",IF(AND(H48&gt;='集計・設定'!$C$4,H48&lt;='集計・設定'!$C$5),IF(J48="着手済","△","◎"),"✕"))))</f>
        <v/>
      </c>
      <c r="E48" s="13">
        <f>IF(P48="計画なし","－",IF(P48="策定済","✕",IF(N48="","？",IF(AND(N48&gt;='集計・設定'!$C$4,N48&lt;='集計・設定'!$C$5),IF(P48="着手済","△","◎"),"✕"))))</f>
        <v/>
      </c>
      <c r="F48" s="11" t="inlineStr">
        <is>
          <t>福島県地域公共交通計画（県全域の広域計画）</t>
        </is>
      </c>
      <c r="G48" s="11" t="inlineStr">
        <is>
          <t>R6〜R12</t>
        </is>
      </c>
      <c r="H48" s="13" t="n">
        <v>12</v>
      </c>
      <c r="I48" s="13" t="inlineStr">
        <is>
          <t>確認済</t>
        </is>
      </c>
      <c r="J48" s="13" t="inlineStr">
        <is>
          <t>未確認</t>
        </is>
      </c>
      <c r="K48" s="14" t="inlineStr">
        <is>
          <t>https://www.pref.fukushima.lg.jp/uploaded/attachment/622613.pdf</t>
        </is>
      </c>
      <c r="L48" s="11" t="n"/>
      <c r="M48" s="11" t="inlineStr">
        <is>
          <t>不明</t>
        </is>
      </c>
      <c r="N48" s="13" t="n"/>
      <c r="O48" s="13" t="inlineStr">
        <is>
          <t>不明</t>
        </is>
      </c>
      <c r="P48" s="13" t="inlineStr">
        <is>
          <t>未確認</t>
        </is>
      </c>
      <c r="Q48" s="11" t="n"/>
      <c r="R48"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t>
        </is>
      </c>
      <c r="S48" s="17" t="inlineStr">
        <is>
          <t>交通のみ調査</t>
        </is>
      </c>
    </row>
    <row r="49">
      <c r="A49" s="11" t="n">
        <v>46</v>
      </c>
      <c r="B49" s="11" t="inlineStr">
        <is>
          <t>浅川町</t>
        </is>
      </c>
      <c r="C49" s="12">
        <f>IF(OR(D49="◎",E49="◎"),"◎ 営業",IF(OR(D49="△",E49="△"),"△ 着手済・要確認",IF(OR(D49="？",E49="？"),"？ 期間要確認","✕ 対象外")))</f>
        <v/>
      </c>
      <c r="D49" s="13">
        <f>IF(J49="計画なし","－",IF(J49="策定済","✕",IF(H49="","？",IF(AND(H49&gt;='集計・設定'!$C$4,H49&lt;='集計・設定'!$C$5),IF(J49="着手済","△","◎"),"✕"))))</f>
        <v/>
      </c>
      <c r="E49" s="13">
        <f>IF(P49="計画なし","－",IF(P49="策定済","✕",IF(N49="","？",IF(AND(N49&gt;='集計・設定'!$C$4,N49&lt;='集計・設定'!$C$5),IF(P49="着手済","△","◎"),"✕"))))</f>
        <v/>
      </c>
      <c r="F49" s="11" t="inlineStr">
        <is>
          <t>福島県地域公共交通計画（県全域の広域計画）</t>
        </is>
      </c>
      <c r="G49" s="11" t="inlineStr">
        <is>
          <t>R6〜R12</t>
        </is>
      </c>
      <c r="H49" s="13" t="n">
        <v>12</v>
      </c>
      <c r="I49" s="13" t="inlineStr">
        <is>
          <t>確認済</t>
        </is>
      </c>
      <c r="J49" s="13" t="inlineStr">
        <is>
          <t>未確認</t>
        </is>
      </c>
      <c r="K49" s="14" t="inlineStr">
        <is>
          <t>https://www.pref.fukushima.lg.jp/uploaded/attachment/622613.pdf</t>
        </is>
      </c>
      <c r="L49" s="11" t="n"/>
      <c r="M49" s="11" t="inlineStr">
        <is>
          <t>不明</t>
        </is>
      </c>
      <c r="N49" s="13" t="n"/>
      <c r="O49" s="13" t="inlineStr">
        <is>
          <t>不明</t>
        </is>
      </c>
      <c r="P49" s="13" t="inlineStr">
        <is>
          <t>計画なし</t>
        </is>
      </c>
      <c r="Q49" s="11" t="n"/>
      <c r="R49" s="11"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5" t="inlineStr">
        <is>
          <t>調査済</t>
        </is>
      </c>
    </row>
    <row r="50">
      <c r="A50" s="11" t="n">
        <v>47</v>
      </c>
      <c r="B50" s="11" t="inlineStr">
        <is>
          <t>古殿町</t>
        </is>
      </c>
      <c r="C50" s="12">
        <f>IF(OR(D50="◎",E50="◎"),"◎ 営業",IF(OR(D50="△",E50="△"),"△ 着手済・要確認",IF(OR(D50="？",E50="？"),"？ 期間要確認","✕ 対象外")))</f>
        <v/>
      </c>
      <c r="D50" s="13">
        <f>IF(J50="計画なし","－",IF(J50="策定済","✕",IF(H50="","？",IF(AND(H50&gt;='集計・設定'!$C$4,H50&lt;='集計・設定'!$C$5),IF(J50="着手済","△","◎"),"✕"))))</f>
        <v/>
      </c>
      <c r="E50" s="13">
        <f>IF(P50="計画なし","－",IF(P50="策定済","✕",IF(N50="","？",IF(AND(N50&gt;='集計・設定'!$C$4,N50&lt;='集計・設定'!$C$5),IF(P50="着手済","△","◎"),"✕"))))</f>
        <v/>
      </c>
      <c r="F50" s="11" t="inlineStr">
        <is>
          <t>福島県地域公共交通計画（県全域の広域計画）</t>
        </is>
      </c>
      <c r="G50" s="11" t="inlineStr">
        <is>
          <t>R6〜R12</t>
        </is>
      </c>
      <c r="H50" s="13" t="n">
        <v>12</v>
      </c>
      <c r="I50" s="13" t="inlineStr">
        <is>
          <t>確認済</t>
        </is>
      </c>
      <c r="J50" s="13" t="inlineStr">
        <is>
          <t>未確認</t>
        </is>
      </c>
      <c r="K50" s="14" t="inlineStr">
        <is>
          <t>https://www.pref.fukushima.lg.jp/uploaded/attachment/622613.pdf</t>
        </is>
      </c>
      <c r="L50" s="11" t="n"/>
      <c r="M50" s="11" t="inlineStr">
        <is>
          <t>不明</t>
        </is>
      </c>
      <c r="N50" s="13" t="n"/>
      <c r="O50" s="13" t="inlineStr">
        <is>
          <t>不明</t>
        </is>
      </c>
      <c r="P50" s="13" t="inlineStr">
        <is>
          <t>未確認</t>
        </is>
      </c>
      <c r="Q50" s="11" t="n"/>
      <c r="R50"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t>
        </is>
      </c>
      <c r="S50" s="17" t="inlineStr">
        <is>
          <t>交通のみ調査</t>
        </is>
      </c>
    </row>
    <row r="51">
      <c r="A51" s="11" t="n">
        <v>48</v>
      </c>
      <c r="B51" s="11" t="inlineStr">
        <is>
          <t>三春町</t>
        </is>
      </c>
      <c r="C51" s="12">
        <f>IF(OR(D51="◎",E51="◎"),"◎ 営業",IF(OR(D51="△",E51="△"),"△ 着手済・要確認",IF(OR(D51="？",E51="？"),"？ 期間要確認","✕ 対象外")))</f>
        <v/>
      </c>
      <c r="D51" s="13">
        <f>IF(J51="計画なし","－",IF(J51="策定済","✕",IF(H51="","？",IF(AND(H51&gt;='集計・設定'!$C$4,H51&lt;='集計・設定'!$C$5),IF(J51="着手済","△","◎"),"✕"))))</f>
        <v/>
      </c>
      <c r="E51" s="13">
        <f>IF(P51="計画なし","－",IF(P51="策定済","✕",IF(N51="","？",IF(AND(N51&gt;='集計・設定'!$C$4,N51&lt;='集計・設定'!$C$5),IF(P51="着手済","△","◎"),"✕"))))</f>
        <v/>
      </c>
      <c r="F51" s="11" t="inlineStr">
        <is>
          <t>福島県地域公共交通計画（県全域）</t>
        </is>
      </c>
      <c r="G51" s="11" t="inlineStr">
        <is>
          <t>R6〜R12</t>
        </is>
      </c>
      <c r="H51" s="13" t="n">
        <v>12</v>
      </c>
      <c r="I51" s="13" t="inlineStr">
        <is>
          <t>確認済</t>
        </is>
      </c>
      <c r="J51" s="13" t="inlineStr">
        <is>
          <t>未確認</t>
        </is>
      </c>
      <c r="K51" s="14" t="inlineStr">
        <is>
          <t>https://www.pref.fukushima.lg.jp/sec/16005d/chiikikoukyoukasseikakyougikai.html</t>
        </is>
      </c>
      <c r="L51" s="11" t="n"/>
      <c r="M51" s="11" t="inlineStr">
        <is>
          <t>不明</t>
        </is>
      </c>
      <c r="N51" s="13" t="n"/>
      <c r="O51" s="13" t="inlineStr">
        <is>
          <t>不明</t>
        </is>
      </c>
      <c r="P51" s="13" t="inlineStr">
        <is>
          <t>計画なし</t>
        </is>
      </c>
      <c r="Q51" s="11" t="n"/>
      <c r="R51" s="11"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t>
        </is>
      </c>
      <c r="S51" s="15" t="inlineStr">
        <is>
          <t>調査済</t>
        </is>
      </c>
    </row>
    <row r="52">
      <c r="A52" s="11" t="n">
        <v>49</v>
      </c>
      <c r="B52" s="11" t="inlineStr">
        <is>
          <t>小野町</t>
        </is>
      </c>
      <c r="C52" s="12">
        <f>IF(OR(D52="◎",E52="◎"),"◎ 営業",IF(OR(D52="△",E52="△"),"△ 着手済・要確認",IF(OR(D52="？",E52="？"),"？ 期間要確認","✕ 対象外")))</f>
        <v/>
      </c>
      <c r="D52" s="13">
        <f>IF(J52="計画なし","－",IF(J52="策定済","✕",IF(H52="","？",IF(AND(H52&gt;='集計・設定'!$C$4,H52&lt;='集計・設定'!$C$5),IF(J52="着手済","△","◎"),"✕"))))</f>
        <v/>
      </c>
      <c r="E52" s="13">
        <f>IF(P52="計画なし","－",IF(P52="策定済","✕",IF(N52="","？",IF(AND(N52&gt;='集計・設定'!$C$4,N52&lt;='集計・設定'!$C$5),IF(P52="着手済","△","◎"),"✕"))))</f>
        <v/>
      </c>
      <c r="F52" s="11" t="inlineStr">
        <is>
          <t>福島県地域公共交通計画（県全域）</t>
        </is>
      </c>
      <c r="G52" s="11" t="inlineStr">
        <is>
          <t>R6〜R12</t>
        </is>
      </c>
      <c r="H52" s="13" t="n">
        <v>12</v>
      </c>
      <c r="I52" s="13" t="inlineStr">
        <is>
          <t>確認済</t>
        </is>
      </c>
      <c r="J52" s="13" t="inlineStr">
        <is>
          <t>未確認</t>
        </is>
      </c>
      <c r="K52" s="14" t="inlineStr">
        <is>
          <t>https://www.pref.fukushima.lg.jp/sec/16005d/chiikikoukyoukasseikakyougikai.html</t>
        </is>
      </c>
      <c r="L52" s="11" t="n"/>
      <c r="M52" s="11" t="inlineStr">
        <is>
          <t>不明</t>
        </is>
      </c>
      <c r="N52" s="13" t="n"/>
      <c r="O52" s="13" t="inlineStr">
        <is>
          <t>不明</t>
        </is>
      </c>
      <c r="P52" s="13" t="inlineStr">
        <is>
          <t>計画なし</t>
        </is>
      </c>
      <c r="Q52" s="11" t="n"/>
      <c r="R52" s="11"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t>
        </is>
      </c>
      <c r="S52" s="15" t="inlineStr">
        <is>
          <t>調査済</t>
        </is>
      </c>
    </row>
    <row r="53">
      <c r="A53" s="11" t="n">
        <v>50</v>
      </c>
      <c r="B53" s="11" t="inlineStr">
        <is>
          <t>広野町</t>
        </is>
      </c>
      <c r="C53" s="12">
        <f>IF(OR(D53="◎",E53="◎"),"◎ 営業",IF(OR(D53="△",E53="△"),"△ 着手済・要確認",IF(OR(D53="？",E53="？"),"？ 期間要確認","✕ 対象外")))</f>
        <v/>
      </c>
      <c r="D53" s="13">
        <f>IF(J53="計画なし","－",IF(J53="策定済","✕",IF(H53="","？",IF(AND(H53&gt;='集計・設定'!$C$4,H53&lt;='集計・設定'!$C$5),IF(J53="着手済","△","◎"),"✕"))))</f>
        <v/>
      </c>
      <c r="E53" s="13">
        <f>IF(P53="計画なし","－",IF(P53="策定済","✕",IF(N53="","？",IF(AND(N53&gt;='集計・設定'!$C$4,N53&lt;='集計・設定'!$C$5),IF(P53="着手済","△","◎"),"✕"))))</f>
        <v/>
      </c>
      <c r="F53" s="11" t="inlineStr">
        <is>
          <t>福島県避難地域広域公共交通計画（避難12市町村対象・県策定）</t>
        </is>
      </c>
      <c r="G53" s="11" t="inlineStr">
        <is>
          <t>R5〜R9</t>
        </is>
      </c>
      <c r="H53" s="13" t="n">
        <v>9</v>
      </c>
      <c r="I53" s="13" t="inlineStr">
        <is>
          <t>確認済</t>
        </is>
      </c>
      <c r="J53" s="13" t="inlineStr">
        <is>
          <t>着手済</t>
        </is>
      </c>
      <c r="K53" s="14" t="inlineStr">
        <is>
          <t>https://www.pref.fukushima.lg.jp/sec/16005d/hinan-koutsuu-keikaku.html</t>
        </is>
      </c>
      <c r="L53" s="11" t="inlineStr">
        <is>
          <t>広野町環境基本計画</t>
        </is>
      </c>
      <c r="M53" s="11" t="inlineStr">
        <is>
          <t>R7〜R17</t>
        </is>
      </c>
      <c r="N53" s="13" t="n">
        <v>17</v>
      </c>
      <c r="O53" s="13" t="inlineStr">
        <is>
          <t>確認済</t>
        </is>
      </c>
      <c r="P53" s="13" t="inlineStr">
        <is>
          <t>策定済</t>
        </is>
      </c>
      <c r="Q53" s="14" t="inlineStr">
        <is>
          <t>https://www.town.hirono.fukushima.jp/chousei/machidukuri/1003877/1005075.html</t>
        </is>
      </c>
      <c r="R53"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t>
        </is>
      </c>
      <c r="S53" s="15" t="inlineStr">
        <is>
          <t>調査済</t>
        </is>
      </c>
    </row>
    <row r="54">
      <c r="A54" s="11" t="n">
        <v>51</v>
      </c>
      <c r="B54" s="11" t="inlineStr">
        <is>
          <t>楢葉町</t>
        </is>
      </c>
      <c r="C54" s="12">
        <f>IF(OR(D54="◎",E54="◎"),"◎ 営業",IF(OR(D54="△",E54="△"),"△ 着手済・要確認",IF(OR(D54="？",E54="？"),"？ 期間要確認","✕ 対象外")))</f>
        <v/>
      </c>
      <c r="D54" s="13">
        <f>IF(J54="計画なし","－",IF(J54="策定済","✕",IF(H54="","？",IF(AND(H54&gt;='集計・設定'!$C$4,H54&lt;='集計・設定'!$C$5),IF(J54="着手済","△","◎"),"✕"))))</f>
        <v/>
      </c>
      <c r="E54" s="13">
        <f>IF(P54="計画なし","－",IF(P54="策定済","✕",IF(N54="","？",IF(AND(N54&gt;='集計・設定'!$C$4,N54&lt;='集計・設定'!$C$5),IF(P54="着手済","△","◎"),"✕"))))</f>
        <v/>
      </c>
      <c r="F54" s="11" t="inlineStr">
        <is>
          <t>福島県避難地域広域公共交通計画（避難12市町村対象・県策定）</t>
        </is>
      </c>
      <c r="G54" s="11" t="inlineStr">
        <is>
          <t>R5〜R9</t>
        </is>
      </c>
      <c r="H54" s="13" t="n">
        <v>9</v>
      </c>
      <c r="I54" s="13" t="inlineStr">
        <is>
          <t>確認済</t>
        </is>
      </c>
      <c r="J54" s="13" t="inlineStr">
        <is>
          <t>着手済</t>
        </is>
      </c>
      <c r="K54" s="14" t="inlineStr">
        <is>
          <t>https://www.pref.fukushima.lg.jp/sec/16005d/hinan-koutsuu-keikaku.html</t>
        </is>
      </c>
      <c r="L54" s="11" t="n"/>
      <c r="M54" s="11" t="inlineStr">
        <is>
          <t>不明</t>
        </is>
      </c>
      <c r="N54" s="13" t="n"/>
      <c r="O54" s="13" t="inlineStr">
        <is>
          <t>不明</t>
        </is>
      </c>
      <c r="P54" s="13" t="inlineStr">
        <is>
          <t>計画なし</t>
        </is>
      </c>
      <c r="Q54" s="11" t="n"/>
      <c r="R54"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t>
        </is>
      </c>
      <c r="S54" s="15" t="inlineStr">
        <is>
          <t>調査済</t>
        </is>
      </c>
    </row>
    <row r="55">
      <c r="A55" s="11" t="n">
        <v>52</v>
      </c>
      <c r="B55" s="11" t="inlineStr">
        <is>
          <t>富岡町</t>
        </is>
      </c>
      <c r="C55" s="12">
        <f>IF(OR(D55="◎",E55="◎"),"◎ 営業",IF(OR(D55="△",E55="△"),"△ 着手済・要確認",IF(OR(D55="？",E55="？"),"？ 期間要確認","✕ 対象外")))</f>
        <v/>
      </c>
      <c r="D55" s="13">
        <f>IF(J55="計画なし","－",IF(J55="策定済","✕",IF(H55="","？",IF(AND(H55&gt;='集計・設定'!$C$4,H55&lt;='集計・設定'!$C$5),IF(J55="着手済","△","◎"),"✕"))))</f>
        <v/>
      </c>
      <c r="E55" s="13">
        <f>IF(P55="計画なし","－",IF(P55="策定済","✕",IF(N55="","？",IF(AND(N55&gt;='集計・設定'!$C$4,N55&lt;='集計・設定'!$C$5),IF(P55="着手済","△","◎"),"✕"))))</f>
        <v/>
      </c>
      <c r="F55" s="11" t="inlineStr">
        <is>
          <t>福島県避難地域広域公共交通計画（避難12市町村対象・県策定）</t>
        </is>
      </c>
      <c r="G55" s="11" t="inlineStr">
        <is>
          <t>R5〜R9</t>
        </is>
      </c>
      <c r="H55" s="13" t="n">
        <v>9</v>
      </c>
      <c r="I55" s="13" t="inlineStr">
        <is>
          <t>確認済</t>
        </is>
      </c>
      <c r="J55" s="13" t="inlineStr">
        <is>
          <t>着手済</t>
        </is>
      </c>
      <c r="K55" s="14" t="inlineStr">
        <is>
          <t>https://www.pref.fukushima.lg.jp/sec/16005d/hinan-koutsuu-keikaku.html</t>
        </is>
      </c>
      <c r="L55" s="11" t="n"/>
      <c r="M55" s="11" t="inlineStr">
        <is>
          <t>不明</t>
        </is>
      </c>
      <c r="N55" s="13" t="n"/>
      <c r="O55" s="13" t="inlineStr">
        <is>
          <t>不明</t>
        </is>
      </c>
      <c r="P55" s="13" t="inlineStr">
        <is>
          <t>計画なし</t>
        </is>
      </c>
      <c r="Q55" s="11" t="n"/>
      <c r="R55"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t>
        </is>
      </c>
      <c r="S55" s="15" t="inlineStr">
        <is>
          <t>調査済</t>
        </is>
      </c>
    </row>
    <row r="56">
      <c r="A56" s="11" t="n">
        <v>53</v>
      </c>
      <c r="B56" s="11" t="inlineStr">
        <is>
          <t>川内村</t>
        </is>
      </c>
      <c r="C56" s="12">
        <f>IF(OR(D56="◎",E56="◎"),"◎ 営業",IF(OR(D56="△",E56="△"),"△ 着手済・要確認",IF(OR(D56="？",E56="？"),"？ 期間要確認","✕ 対象外")))</f>
        <v/>
      </c>
      <c r="D56" s="13">
        <f>IF(J56="計画なし","－",IF(J56="策定済","✕",IF(H56="","？",IF(AND(H56&gt;='集計・設定'!$C$4,H56&lt;='集計・設定'!$C$5),IF(J56="着手済","△","◎"),"✕"))))</f>
        <v/>
      </c>
      <c r="E56" s="13">
        <f>IF(P56="計画なし","－",IF(P56="策定済","✕",IF(N56="","？",IF(AND(N56&gt;='集計・設定'!$C$4,N56&lt;='集計・設定'!$C$5),IF(P56="着手済","△","◎"),"✕"))))</f>
        <v/>
      </c>
      <c r="F56" s="11" t="inlineStr">
        <is>
          <t>福島県避難地域広域公共交通計画（避難12市町村対象・県策定）</t>
        </is>
      </c>
      <c r="G56" s="11" t="inlineStr">
        <is>
          <t>R5〜R9</t>
        </is>
      </c>
      <c r="H56" s="13" t="n">
        <v>9</v>
      </c>
      <c r="I56" s="13" t="inlineStr">
        <is>
          <t>確認済</t>
        </is>
      </c>
      <c r="J56" s="13" t="inlineStr">
        <is>
          <t>着手済</t>
        </is>
      </c>
      <c r="K56" s="14" t="inlineStr">
        <is>
          <t>https://www.pref.fukushima.lg.jp/sec/16005d/hinan-koutsuu-keikaku.html</t>
        </is>
      </c>
      <c r="L56" s="11" t="n"/>
      <c r="M56" s="11" t="inlineStr">
        <is>
          <t>不明</t>
        </is>
      </c>
      <c r="N56" s="13" t="n"/>
      <c r="O56" s="13" t="inlineStr">
        <is>
          <t>不明</t>
        </is>
      </c>
      <c r="P56" s="13" t="inlineStr">
        <is>
          <t>未確認</t>
        </is>
      </c>
      <c r="Q56" s="11" t="n"/>
      <c r="R56"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t>
        </is>
      </c>
      <c r="S56" s="17" t="inlineStr">
        <is>
          <t>交通のみ調査</t>
        </is>
      </c>
    </row>
    <row r="57">
      <c r="A57" s="11" t="n">
        <v>54</v>
      </c>
      <c r="B57" s="11" t="inlineStr">
        <is>
          <t>大熊町</t>
        </is>
      </c>
      <c r="C57" s="12">
        <f>IF(OR(D57="◎",E57="◎"),"◎ 営業",IF(OR(D57="△",E57="△"),"△ 着手済・要確認",IF(OR(D57="？",E57="？"),"？ 期間要確認","✕ 対象外")))</f>
        <v/>
      </c>
      <c r="D57" s="13">
        <f>IF(J57="計画なし","－",IF(J57="策定済","✕",IF(H57="","？",IF(AND(H57&gt;='集計・設定'!$C$4,H57&lt;='集計・設定'!$C$5),IF(J57="着手済","△","◎"),"✕"))))</f>
        <v/>
      </c>
      <c r="E57" s="13">
        <f>IF(P57="計画なし","－",IF(P57="策定済","✕",IF(N57="","？",IF(AND(N57&gt;='集計・設定'!$C$4,N57&lt;='集計・設定'!$C$5),IF(P57="着手済","△","◎"),"✕"))))</f>
        <v/>
      </c>
      <c r="F57" s="11" t="inlineStr">
        <is>
          <t>福島県避難地域広域公共交通計画（避難12市町村対象・県策定）</t>
        </is>
      </c>
      <c r="G57" s="11" t="inlineStr">
        <is>
          <t>R5〜R9</t>
        </is>
      </c>
      <c r="H57" s="13" t="n">
        <v>9</v>
      </c>
      <c r="I57" s="13" t="inlineStr">
        <is>
          <t>確認済</t>
        </is>
      </c>
      <c r="J57" s="13" t="inlineStr">
        <is>
          <t>着手済</t>
        </is>
      </c>
      <c r="K57" s="14" t="inlineStr">
        <is>
          <t>https://www.pref.fukushima.lg.jp/sec/16005d/hinan-koutsuu-keikaku.html</t>
        </is>
      </c>
      <c r="L57" s="11" t="n"/>
      <c r="M57" s="11" t="inlineStr">
        <is>
          <t>不明</t>
        </is>
      </c>
      <c r="N57" s="13" t="n"/>
      <c r="O57" s="13" t="inlineStr">
        <is>
          <t>不明</t>
        </is>
      </c>
      <c r="P57" s="13" t="inlineStr">
        <is>
          <t>計画なし</t>
        </is>
      </c>
      <c r="Q57" s="11" t="n"/>
      <c r="R57"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t>
        </is>
      </c>
      <c r="S57" s="15" t="inlineStr">
        <is>
          <t>調査済</t>
        </is>
      </c>
    </row>
    <row r="58">
      <c r="A58" s="11" t="n">
        <v>55</v>
      </c>
      <c r="B58" s="11" t="inlineStr">
        <is>
          <t>双葉町</t>
        </is>
      </c>
      <c r="C58" s="12">
        <f>IF(OR(D58="◎",E58="◎"),"◎ 営業",IF(OR(D58="△",E58="△"),"△ 着手済・要確認",IF(OR(D58="？",E58="？"),"？ 期間要確認","✕ 対象外")))</f>
        <v/>
      </c>
      <c r="D58" s="13">
        <f>IF(J58="計画なし","－",IF(J58="策定済","✕",IF(H58="","？",IF(AND(H58&gt;='集計・設定'!$C$4,H58&lt;='集計・設定'!$C$5),IF(J58="着手済","△","◎"),"✕"))))</f>
        <v/>
      </c>
      <c r="E58" s="13">
        <f>IF(P58="計画なし","－",IF(P58="策定済","✕",IF(N58="","？",IF(AND(N58&gt;='集計・設定'!$C$4,N58&lt;='集計・設定'!$C$5),IF(P58="着手済","△","◎"),"✕"))))</f>
        <v/>
      </c>
      <c r="F58" s="11" t="inlineStr">
        <is>
          <t>福島県避難地域広域公共交通計画（避難12市町村対象・県策定）</t>
        </is>
      </c>
      <c r="G58" s="11" t="inlineStr">
        <is>
          <t>R5〜R9</t>
        </is>
      </c>
      <c r="H58" s="13" t="n">
        <v>9</v>
      </c>
      <c r="I58" s="13" t="inlineStr">
        <is>
          <t>確認済</t>
        </is>
      </c>
      <c r="J58" s="13" t="inlineStr">
        <is>
          <t>着手済</t>
        </is>
      </c>
      <c r="K58" s="14" t="inlineStr">
        <is>
          <t>https://www.pref.fukushima.lg.jp/sec/16005d/hinan-koutsuu-keikaku.html</t>
        </is>
      </c>
      <c r="L58" s="11" t="n"/>
      <c r="M58" s="11" t="inlineStr">
        <is>
          <t>不明</t>
        </is>
      </c>
      <c r="N58" s="13" t="n"/>
      <c r="O58" s="13" t="inlineStr">
        <is>
          <t>不明</t>
        </is>
      </c>
      <c r="P58" s="13" t="inlineStr">
        <is>
          <t>未確認</t>
        </is>
      </c>
      <c r="Q58" s="11" t="n"/>
      <c r="R58"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t>
        </is>
      </c>
      <c r="S58" s="17" t="inlineStr">
        <is>
          <t>交通のみ調査</t>
        </is>
      </c>
    </row>
    <row r="59">
      <c r="A59" s="11" t="n">
        <v>56</v>
      </c>
      <c r="B59" s="11" t="inlineStr">
        <is>
          <t>浪江町</t>
        </is>
      </c>
      <c r="C59" s="12">
        <f>IF(OR(D59="◎",E59="◎"),"◎ 営業",IF(OR(D59="△",E59="△"),"△ 着手済・要確認",IF(OR(D59="？",E59="？"),"？ 期間要確認","✕ 対象外")))</f>
        <v/>
      </c>
      <c r="D59" s="13">
        <f>IF(J59="計画なし","－",IF(J59="策定済","✕",IF(H59="","？",IF(AND(H59&gt;='集計・設定'!$C$4,H59&lt;='集計・設定'!$C$5),IF(J59="着手済","△","◎"),"✕"))))</f>
        <v/>
      </c>
      <c r="E59" s="13">
        <f>IF(P59="計画なし","－",IF(P59="策定済","✕",IF(N59="","？",IF(AND(N59&gt;='集計・設定'!$C$4,N59&lt;='集計・設定'!$C$5),IF(P59="着手済","△","◎"),"✕"))))</f>
        <v/>
      </c>
      <c r="F59" s="11" t="inlineStr">
        <is>
          <t>福島県避難地域広域公共交通計画（避難12市町村対象・県策定）</t>
        </is>
      </c>
      <c r="G59" s="11" t="inlineStr">
        <is>
          <t>R5〜R9</t>
        </is>
      </c>
      <c r="H59" s="13" t="n">
        <v>9</v>
      </c>
      <c r="I59" s="13" t="inlineStr">
        <is>
          <t>確認済</t>
        </is>
      </c>
      <c r="J59" s="13" t="inlineStr">
        <is>
          <t>着手済</t>
        </is>
      </c>
      <c r="K59" s="14" t="inlineStr">
        <is>
          <t>https://www.pref.fukushima.lg.jp/sec/16005d/hinan-koutsuu-keikaku.html</t>
        </is>
      </c>
      <c r="L59" s="11" t="n"/>
      <c r="M59" s="11" t="inlineStr">
        <is>
          <t>不明</t>
        </is>
      </c>
      <c r="N59" s="13" t="n"/>
      <c r="O59" s="13" t="inlineStr">
        <is>
          <t>不明</t>
        </is>
      </c>
      <c r="P59" s="13" t="inlineStr">
        <is>
          <t>計画なし</t>
        </is>
      </c>
      <c r="Q59" s="11" t="n"/>
      <c r="R59"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t>
        </is>
      </c>
      <c r="S59" s="15" t="inlineStr">
        <is>
          <t>調査済</t>
        </is>
      </c>
    </row>
    <row r="60">
      <c r="A60" s="11" t="n">
        <v>57</v>
      </c>
      <c r="B60" s="11" t="inlineStr">
        <is>
          <t>葛尾村</t>
        </is>
      </c>
      <c r="C60" s="12">
        <f>IF(OR(D60="◎",E60="◎"),"◎ 営業",IF(OR(D60="△",E60="△"),"△ 着手済・要確認",IF(OR(D60="？",E60="？"),"？ 期間要確認","✕ 対象外")))</f>
        <v/>
      </c>
      <c r="D60" s="13">
        <f>IF(J60="計画なし","－",IF(J60="策定済","✕",IF(H60="","？",IF(AND(H60&gt;='集計・設定'!$C$4,H60&lt;='集計・設定'!$C$5),IF(J60="着手済","△","◎"),"✕"))))</f>
        <v/>
      </c>
      <c r="E60" s="13">
        <f>IF(P60="計画なし","－",IF(P60="策定済","✕",IF(N60="","？",IF(AND(N60&gt;='集計・設定'!$C$4,N60&lt;='集計・設定'!$C$5),IF(P60="着手済","△","◎"),"✕"))))</f>
        <v/>
      </c>
      <c r="F60" s="11" t="inlineStr">
        <is>
          <t>福島県避難地域広域公共交通計画（避難12市町村対象・県策定）</t>
        </is>
      </c>
      <c r="G60" s="11" t="inlineStr">
        <is>
          <t>R5〜R9</t>
        </is>
      </c>
      <c r="H60" s="13" t="n">
        <v>9</v>
      </c>
      <c r="I60" s="13" t="inlineStr">
        <is>
          <t>確認済</t>
        </is>
      </c>
      <c r="J60" s="13" t="inlineStr">
        <is>
          <t>着手済</t>
        </is>
      </c>
      <c r="K60" s="14" t="inlineStr">
        <is>
          <t>https://www.pref.fukushima.lg.jp/sec/16005d/hinan-koutsuu-keikaku.html</t>
        </is>
      </c>
      <c r="L60" s="11" t="n"/>
      <c r="M60" s="11" t="inlineStr">
        <is>
          <t>不明</t>
        </is>
      </c>
      <c r="N60" s="13" t="n"/>
      <c r="O60" s="13" t="inlineStr">
        <is>
          <t>不明</t>
        </is>
      </c>
      <c r="P60" s="13" t="inlineStr">
        <is>
          <t>未確認</t>
        </is>
      </c>
      <c r="Q60" s="11" t="n"/>
      <c r="R60"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t>
        </is>
      </c>
      <c r="S60" s="17" t="inlineStr">
        <is>
          <t>交通のみ調査</t>
        </is>
      </c>
    </row>
    <row r="61">
      <c r="A61" s="11" t="n">
        <v>58</v>
      </c>
      <c r="B61" s="11" t="inlineStr">
        <is>
          <t>新地町</t>
        </is>
      </c>
      <c r="C61" s="12">
        <f>IF(OR(D61="◎",E61="◎"),"◎ 営業",IF(OR(D61="△",E61="△"),"△ 着手済・要確認",IF(OR(D61="？",E61="？"),"？ 期間要確認","✕ 対象外")))</f>
        <v/>
      </c>
      <c r="D61" s="13">
        <f>IF(J61="計画なし","－",IF(J61="策定済","✕",IF(H61="","？",IF(AND(H61&gt;='集計・設定'!$C$4,H61&lt;='集計・設定'!$C$5),IF(J61="着手済","△","◎"),"✕"))))</f>
        <v/>
      </c>
      <c r="E61" s="13">
        <f>IF(P61="計画なし","－",IF(P61="策定済","✕",IF(N61="","？",IF(AND(N61&gt;='集計・設定'!$C$4,N61&lt;='集計・設定'!$C$5),IF(P61="着手済","△","◎"),"✕"))))</f>
        <v/>
      </c>
      <c r="F61" s="11" t="inlineStr">
        <is>
          <t>福島県地域公共交通計画（県全域）</t>
        </is>
      </c>
      <c r="G61" s="11" t="inlineStr">
        <is>
          <t>R6〜R12</t>
        </is>
      </c>
      <c r="H61" s="13" t="n">
        <v>12</v>
      </c>
      <c r="I61" s="13" t="inlineStr">
        <is>
          <t>確認済</t>
        </is>
      </c>
      <c r="J61" s="13" t="inlineStr">
        <is>
          <t>未確認</t>
        </is>
      </c>
      <c r="K61" s="14" t="inlineStr">
        <is>
          <t>https://www.pref.fukushima.lg.jp/sec/16005d/chiikikoukyoukasseikakyougikai.html</t>
        </is>
      </c>
      <c r="L61" s="11" t="n"/>
      <c r="M61" s="11" t="inlineStr">
        <is>
          <t>不明</t>
        </is>
      </c>
      <c r="N61" s="13" t="n"/>
      <c r="O61" s="13" t="inlineStr">
        <is>
          <t>不明</t>
        </is>
      </c>
      <c r="P61" s="13" t="inlineStr">
        <is>
          <t>未確認</t>
        </is>
      </c>
      <c r="Q61" s="11" t="n"/>
      <c r="R61" s="11"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t>
        </is>
      </c>
      <c r="S61" s="17" t="inlineStr">
        <is>
          <t>交通のみ調査</t>
        </is>
      </c>
    </row>
    <row r="62">
      <c r="A62" s="11" t="n">
        <v>59</v>
      </c>
      <c r="B62" s="11" t="inlineStr">
        <is>
          <t>飯舘村</t>
        </is>
      </c>
      <c r="C62" s="12">
        <f>IF(OR(D62="◎",E62="◎"),"◎ 営業",IF(OR(D62="△",E62="△"),"△ 着手済・要確認",IF(OR(D62="？",E62="？"),"？ 期間要確認","✕ 対象外")))</f>
        <v/>
      </c>
      <c r="D62" s="13">
        <f>IF(J62="計画なし","－",IF(J62="策定済","✕",IF(H62="","？",IF(AND(H62&gt;='集計・設定'!$C$4,H62&lt;='集計・設定'!$C$5),IF(J62="着手済","△","◎"),"✕"))))</f>
        <v/>
      </c>
      <c r="E62" s="13">
        <f>IF(P62="計画なし","－",IF(P62="策定済","✕",IF(N62="","？",IF(AND(N62&gt;='集計・設定'!$C$4,N62&lt;='集計・設定'!$C$5),IF(P62="着手済","△","◎"),"✕"))))</f>
        <v/>
      </c>
      <c r="F62" s="11" t="inlineStr">
        <is>
          <t>福島県避難地域広域公共交通計画（避難12市町村対象・県策定）</t>
        </is>
      </c>
      <c r="G62" s="11" t="inlineStr">
        <is>
          <t>R5〜R9</t>
        </is>
      </c>
      <c r="H62" s="13" t="n">
        <v>9</v>
      </c>
      <c r="I62" s="13" t="inlineStr">
        <is>
          <t>確認済</t>
        </is>
      </c>
      <c r="J62" s="13" t="inlineStr">
        <is>
          <t>着手済</t>
        </is>
      </c>
      <c r="K62" s="14" t="inlineStr">
        <is>
          <t>https://www.pref.fukushima.lg.jp/sec/16005d/hinan-koutsuu-keikaku.html</t>
        </is>
      </c>
      <c r="L62" s="11" t="n"/>
      <c r="M62" s="11" t="inlineStr">
        <is>
          <t>不明</t>
        </is>
      </c>
      <c r="N62" s="13" t="n"/>
      <c r="O62" s="13" t="inlineStr">
        <is>
          <t>不明</t>
        </is>
      </c>
      <c r="P62" s="13" t="inlineStr">
        <is>
          <t>計画なし</t>
        </is>
      </c>
      <c r="Q62" s="11" t="n"/>
      <c r="R62"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t>
        </is>
      </c>
      <c r="S62" s="15" t="inlineStr">
        <is>
          <t>調査済</t>
        </is>
      </c>
    </row>
  </sheetData>
  <autoFilter ref="A3:S62"/>
  <conditionalFormatting sqref="A4:S62">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K12" r:id="rId14"/>
    <hyperlink xmlns:r="http://schemas.openxmlformats.org/officeDocument/2006/relationships" ref="Q12" r:id="rId15"/>
    <hyperlink xmlns:r="http://schemas.openxmlformats.org/officeDocument/2006/relationships" ref="K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K20" r:id="rId22"/>
    <hyperlink xmlns:r="http://schemas.openxmlformats.org/officeDocument/2006/relationships" ref="K26" r:id="rId23"/>
    <hyperlink xmlns:r="http://schemas.openxmlformats.org/officeDocument/2006/relationships" ref="Q26" r:id="rId24"/>
    <hyperlink xmlns:r="http://schemas.openxmlformats.org/officeDocument/2006/relationships" ref="K31" r:id="rId25"/>
    <hyperlink xmlns:r="http://schemas.openxmlformats.org/officeDocument/2006/relationships" ref="K32" r:id="rId26"/>
    <hyperlink xmlns:r="http://schemas.openxmlformats.org/officeDocument/2006/relationships" ref="K33" r:id="rId27"/>
    <hyperlink xmlns:r="http://schemas.openxmlformats.org/officeDocument/2006/relationships" ref="K37" r:id="rId28"/>
    <hyperlink xmlns:r="http://schemas.openxmlformats.org/officeDocument/2006/relationships" ref="K38" r:id="rId29"/>
    <hyperlink xmlns:r="http://schemas.openxmlformats.org/officeDocument/2006/relationships" ref="Q38" r:id="rId30"/>
    <hyperlink xmlns:r="http://schemas.openxmlformats.org/officeDocument/2006/relationships" ref="K39" r:id="rId31"/>
    <hyperlink xmlns:r="http://schemas.openxmlformats.org/officeDocument/2006/relationships" ref="K40" r:id="rId32"/>
    <hyperlink xmlns:r="http://schemas.openxmlformats.org/officeDocument/2006/relationships" ref="K41" r:id="rId33"/>
    <hyperlink xmlns:r="http://schemas.openxmlformats.org/officeDocument/2006/relationships" ref="K42" r:id="rId34"/>
    <hyperlink xmlns:r="http://schemas.openxmlformats.org/officeDocument/2006/relationships" ref="Q42" r:id="rId35"/>
    <hyperlink xmlns:r="http://schemas.openxmlformats.org/officeDocument/2006/relationships" ref="K43" r:id="rId36"/>
    <hyperlink xmlns:r="http://schemas.openxmlformats.org/officeDocument/2006/relationships" ref="K44" r:id="rId37"/>
    <hyperlink xmlns:r="http://schemas.openxmlformats.org/officeDocument/2006/relationships" ref="K45" r:id="rId38"/>
    <hyperlink xmlns:r="http://schemas.openxmlformats.org/officeDocument/2006/relationships" ref="K46" r:id="rId39"/>
    <hyperlink xmlns:r="http://schemas.openxmlformats.org/officeDocument/2006/relationships" ref="K47" r:id="rId40"/>
    <hyperlink xmlns:r="http://schemas.openxmlformats.org/officeDocument/2006/relationships" ref="K48" r:id="rId41"/>
    <hyperlink xmlns:r="http://schemas.openxmlformats.org/officeDocument/2006/relationships" ref="K49" r:id="rId42"/>
    <hyperlink xmlns:r="http://schemas.openxmlformats.org/officeDocument/2006/relationships" ref="K50" r:id="rId43"/>
    <hyperlink xmlns:r="http://schemas.openxmlformats.org/officeDocument/2006/relationships" ref="K51" r:id="rId44"/>
    <hyperlink xmlns:r="http://schemas.openxmlformats.org/officeDocument/2006/relationships" ref="K52" r:id="rId45"/>
    <hyperlink xmlns:r="http://schemas.openxmlformats.org/officeDocument/2006/relationships" ref="K53" r:id="rId46"/>
    <hyperlink xmlns:r="http://schemas.openxmlformats.org/officeDocument/2006/relationships" ref="Q53" r:id="rId47"/>
    <hyperlink xmlns:r="http://schemas.openxmlformats.org/officeDocument/2006/relationships" ref="K54" r:id="rId48"/>
    <hyperlink xmlns:r="http://schemas.openxmlformats.org/officeDocument/2006/relationships" ref="K55" r:id="rId49"/>
    <hyperlink xmlns:r="http://schemas.openxmlformats.org/officeDocument/2006/relationships" ref="K56" r:id="rId50"/>
    <hyperlink xmlns:r="http://schemas.openxmlformats.org/officeDocument/2006/relationships" ref="K57" r:id="rId51"/>
    <hyperlink xmlns:r="http://schemas.openxmlformats.org/officeDocument/2006/relationships" ref="K58" r:id="rId52"/>
    <hyperlink xmlns:r="http://schemas.openxmlformats.org/officeDocument/2006/relationships" ref="K59" r:id="rId53"/>
    <hyperlink xmlns:r="http://schemas.openxmlformats.org/officeDocument/2006/relationships" ref="K60" r:id="rId54"/>
    <hyperlink xmlns:r="http://schemas.openxmlformats.org/officeDocument/2006/relationships" ref="K61" r:id="rId55"/>
    <hyperlink xmlns:r="http://schemas.openxmlformats.org/officeDocument/2006/relationships" ref="K62" r:id="rId5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青森県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青森市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青森市地域公共交通計画</t>
        </is>
      </c>
      <c r="G4" s="11" t="inlineStr">
        <is>
          <t>R6〜R10</t>
        </is>
      </c>
      <c r="H4" s="13" t="n">
        <v>10</v>
      </c>
      <c r="I4" s="13" t="inlineStr">
        <is>
          <t>確認済</t>
        </is>
      </c>
      <c r="J4" s="13" t="inlineStr">
        <is>
          <t>未確認</t>
        </is>
      </c>
      <c r="K4" s="14" t="inlineStr">
        <is>
          <t>https://www.city.aomori.aomori.jp/somu/shiseijouhou/jyouhou-koukai/tyougi/documents/tiikikoutuumoukeikaku.pdf</t>
        </is>
      </c>
      <c r="L4" s="11" t="inlineStr">
        <is>
          <t>青森市環境基本計画（令和7年12月制定の青森市環境基本条例第8条に基づき策定中）</t>
        </is>
      </c>
      <c r="M4" s="11" t="inlineStr">
        <is>
          <t>R8〜R10</t>
        </is>
      </c>
      <c r="N4" s="13" t="n">
        <v>10</v>
      </c>
      <c r="O4" s="13" t="inlineStr">
        <is>
          <t>確認済</t>
        </is>
      </c>
      <c r="P4" s="13" t="inlineStr">
        <is>
          <t>着手済</t>
        </is>
      </c>
      <c r="Q4" s="14" t="inlineStr">
        <is>
          <t>https://www.city.aomori.aomori.jp/_res/projects/default_project/_page_/001/011/090/05_080722siryou3.pdf</t>
        </is>
      </c>
      <c r="R4" s="11"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5" t="inlineStr">
        <is>
          <t>調査済</t>
        </is>
      </c>
    </row>
    <row r="5">
      <c r="A5" s="11" t="n">
        <v>2</v>
      </c>
      <c r="B5" s="11" t="inlineStr">
        <is>
          <t>弘前市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弘前市地域公共交通計画</t>
        </is>
      </c>
      <c r="G5" s="11" t="inlineStr">
        <is>
          <t>R6〜R10</t>
        </is>
      </c>
      <c r="H5" s="13" t="n">
        <v>10</v>
      </c>
      <c r="I5" s="13" t="inlineStr">
        <is>
          <t>確認済</t>
        </is>
      </c>
      <c r="J5" s="13" t="inlineStr">
        <is>
          <t>未確認</t>
        </is>
      </c>
      <c r="K5" s="14" t="inlineStr">
        <is>
          <t>https://www.city.hirosaki.aomori.jp/jouhou/keikaku/kokyokotu/kotsukeikaku.pdf</t>
        </is>
      </c>
      <c r="L5" s="11" t="inlineStr">
        <is>
          <t>第3次弘前市環境基本計画</t>
        </is>
      </c>
      <c r="M5" s="11" t="inlineStr">
        <is>
          <t>R3〜R12</t>
        </is>
      </c>
      <c r="N5" s="16" t="n">
        <v>12</v>
      </c>
      <c r="O5" s="13" t="inlineStr">
        <is>
          <t>推定</t>
        </is>
      </c>
      <c r="P5" s="13" t="inlineStr">
        <is>
          <t>未確認</t>
        </is>
      </c>
      <c r="Q5" s="14" t="inlineStr">
        <is>
          <t>https://www.city.hirosaki.aomori.jp/jouhou/keikaku/2021-0401-kankyoukihon.html</t>
        </is>
      </c>
      <c r="R5" s="11" t="inlineStr">
        <is>
          <t>環境：R3.3策定（改訂）の記載は資料編 https://city.hirosaki.aomori.jp/jouhou/keikaku/files/shiryouhen.pdf で示唆されるが、期間は今回の検索でも確認できず推定のまま。</t>
        </is>
      </c>
      <c r="S5" s="15" t="inlineStr">
        <is>
          <t>調査済</t>
        </is>
      </c>
    </row>
    <row r="6">
      <c r="A6" s="11" t="n">
        <v>3</v>
      </c>
      <c r="B6" s="11" t="inlineStr">
        <is>
          <t>八戸市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八戸圏域地域公共交通計画（広域）</t>
        </is>
      </c>
      <c r="G6" s="11" t="inlineStr">
        <is>
          <t>R5〜R10</t>
        </is>
      </c>
      <c r="H6" s="13" t="n">
        <v>10</v>
      </c>
      <c r="I6" s="13" t="inlineStr">
        <is>
          <t>確認済</t>
        </is>
      </c>
      <c r="J6" s="13" t="inlineStr">
        <is>
          <t>未確認</t>
        </is>
      </c>
      <c r="K6" s="14" t="inlineStr">
        <is>
          <t>https://wwwtb.mlit.go.jp/tohoku/content/000181287.pdf</t>
        </is>
      </c>
      <c r="L6" s="11" t="inlineStr">
        <is>
          <t>第3次八戸市環境基本計画</t>
        </is>
      </c>
      <c r="M6" s="11" t="inlineStr">
        <is>
          <t>R5〜R14</t>
        </is>
      </c>
      <c r="N6" s="16" t="n">
        <v>14</v>
      </c>
      <c r="O6" s="13" t="inlineStr">
        <is>
          <t>推定</t>
        </is>
      </c>
      <c r="P6" s="13" t="inlineStr">
        <is>
          <t>未確認</t>
        </is>
      </c>
      <c r="Q6" s="14" t="inlineStr">
        <is>
          <t>https://www.city.hachinohe.aomori.jp/gyoseijoho/keikaku_plan/kurashi_tetsuzuki/1/1/7959.html</t>
        </is>
      </c>
      <c r="R6" s="11" t="inlineStr">
        <is>
          <t>環境：今回の検索でも期間確認できず推定のまま。関連：第2次八戸市地球温暖化対策実行計画区域施策編 https://www.city.hachinohe.aomori.jp/gyoseijoho/keikaku_plan/kurashi_tetsuzuki/1/1/7961.html 。</t>
        </is>
      </c>
      <c r="S6" s="15" t="inlineStr">
        <is>
          <t>調査済</t>
        </is>
      </c>
    </row>
    <row r="7">
      <c r="A7" s="11" t="n">
        <v>4</v>
      </c>
      <c r="B7" s="11" t="inlineStr">
        <is>
          <t>黒石市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黒石市地域公共交通計画</t>
        </is>
      </c>
      <c r="G7" s="11" t="inlineStr">
        <is>
          <t>R7〜R11</t>
        </is>
      </c>
      <c r="H7" s="13" t="n">
        <v>11</v>
      </c>
      <c r="I7" s="13" t="inlineStr">
        <is>
          <t>確認済</t>
        </is>
      </c>
      <c r="J7" s="13" t="inlineStr">
        <is>
          <t>策定済</t>
        </is>
      </c>
      <c r="K7" s="14" t="inlineStr">
        <is>
          <t>http://www.city.kuroishi.aomori.jp/shisei/keikaku/2025-0523-1102-33.html</t>
        </is>
      </c>
      <c r="L7" s="11" t="inlineStr">
        <is>
          <t>第二次黒石市環境基本計画</t>
        </is>
      </c>
      <c r="M7" s="11" t="inlineStr">
        <is>
          <t>不明</t>
        </is>
      </c>
      <c r="N7" s="13" t="n"/>
      <c r="O7" s="13" t="inlineStr">
        <is>
          <t>不明</t>
        </is>
      </c>
      <c r="P7" s="13" t="inlineStr">
        <is>
          <t>未確認</t>
        </is>
      </c>
      <c r="Q7" s="14" t="inlineStr">
        <is>
          <t>http://www.city.kuroishi.aomori.jp/shisei/keikaku/kankyou-kihon-keikaku.html</t>
        </is>
      </c>
      <c r="R7" s="11"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t>
        </is>
      </c>
      <c r="S7" s="15" t="inlineStr">
        <is>
          <t>調査済</t>
        </is>
      </c>
    </row>
    <row r="8">
      <c r="A8" s="11" t="n">
        <v>5</v>
      </c>
      <c r="B8" s="11" t="inlineStr">
        <is>
          <t>五所川原市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五所川原市地域公共交通計画</t>
        </is>
      </c>
      <c r="G8" s="11" t="inlineStr">
        <is>
          <t>R5〜R9</t>
        </is>
      </c>
      <c r="H8" s="16" t="n">
        <v>9</v>
      </c>
      <c r="I8" s="13" t="inlineStr">
        <is>
          <t>推定</t>
        </is>
      </c>
      <c r="J8" s="13" t="inlineStr">
        <is>
          <t>未確認</t>
        </is>
      </c>
      <c r="K8" s="14" t="inlineStr">
        <is>
          <t>https://www.city.goshogawara.lg.jp/kurashi/machi/chiikikoukyokoutsukeikaku.html</t>
        </is>
      </c>
      <c r="L8" s="11" t="n"/>
      <c r="M8" s="11" t="inlineStr">
        <is>
          <t>不明</t>
        </is>
      </c>
      <c r="N8" s="13" t="n"/>
      <c r="O8" s="13" t="inlineStr">
        <is>
          <t>不明</t>
        </is>
      </c>
      <c r="P8" s="13" t="inlineStr">
        <is>
          <t>未確認</t>
        </is>
      </c>
      <c r="Q8" s="11" t="n"/>
      <c r="R8" s="11"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t>
        </is>
      </c>
      <c r="S8" s="17" t="inlineStr">
        <is>
          <t>交通のみ調査</t>
        </is>
      </c>
    </row>
    <row r="9">
      <c r="A9" s="11" t="n">
        <v>6</v>
      </c>
      <c r="B9" s="11" t="inlineStr">
        <is>
          <t>十和田市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十和田市地域公共交通計画</t>
        </is>
      </c>
      <c r="G9" s="11" t="inlineStr">
        <is>
          <t>R5〜R9</t>
        </is>
      </c>
      <c r="H9" s="13" t="n">
        <v>9</v>
      </c>
      <c r="I9" s="13" t="inlineStr">
        <is>
          <t>確認済</t>
        </is>
      </c>
      <c r="J9" s="13" t="inlineStr">
        <is>
          <t>未確認</t>
        </is>
      </c>
      <c r="K9" s="14" t="inlineStr">
        <is>
          <t>https://www.city.towada.lg.jp/kurashi/koutsu/files/keikaku.pdf</t>
        </is>
      </c>
      <c r="L9" s="11" t="n"/>
      <c r="M9" s="11" t="inlineStr">
        <is>
          <t>不明</t>
        </is>
      </c>
      <c r="N9" s="13" t="n"/>
      <c r="O9" s="13" t="inlineStr">
        <is>
          <t>不明</t>
        </is>
      </c>
      <c r="P9" s="13" t="inlineStr">
        <is>
          <t>未確認</t>
        </is>
      </c>
      <c r="Q9" s="11" t="n"/>
      <c r="R9" s="11"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t>
        </is>
      </c>
      <c r="S9" s="17" t="inlineStr">
        <is>
          <t>交通のみ調査</t>
        </is>
      </c>
    </row>
    <row r="10">
      <c r="A10" s="11" t="n">
        <v>7</v>
      </c>
      <c r="B10" s="11" t="inlineStr">
        <is>
          <t>三沢市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三沢市地域公共交通計画</t>
        </is>
      </c>
      <c r="G10" s="11" t="inlineStr">
        <is>
          <t>不明</t>
        </is>
      </c>
      <c r="H10" s="13" t="n"/>
      <c r="I10" s="13" t="inlineStr">
        <is>
          <t>不明</t>
        </is>
      </c>
      <c r="J10" s="13" t="inlineStr">
        <is>
          <t>未確認</t>
        </is>
      </c>
      <c r="K10" s="14" t="inlineStr">
        <is>
          <t>https://www.city.misawa.lg.jp/index.cfm/12,21981,57,254,html</t>
        </is>
      </c>
      <c r="L10" s="11" t="inlineStr">
        <is>
          <t>第2次三沢市環境基本計画</t>
        </is>
      </c>
      <c r="M10" s="11" t="inlineStr">
        <is>
          <t>H31〜R10</t>
        </is>
      </c>
      <c r="N10" s="13" t="n">
        <v>10</v>
      </c>
      <c r="O10" s="13" t="inlineStr">
        <is>
          <t>確認済</t>
        </is>
      </c>
      <c r="P10" s="13" t="inlineStr">
        <is>
          <t>未確認</t>
        </is>
      </c>
      <c r="Q10" s="14" t="inlineStr">
        <is>
          <t>https://www.city.misawa.lg.jp/index.cfm/12,31881,c,html/31881/20181207-151357.pdf</t>
        </is>
      </c>
      <c r="R10" s="11"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5" t="inlineStr">
        <is>
          <t>調査済</t>
        </is>
      </c>
    </row>
    <row r="11">
      <c r="A11" s="11" t="n">
        <v>8</v>
      </c>
      <c r="B11" s="11" t="inlineStr">
        <is>
          <t>むつ市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下北地域公共交通計画（広域）</t>
        </is>
      </c>
      <c r="G11" s="11" t="inlineStr">
        <is>
          <t>R7〜R11</t>
        </is>
      </c>
      <c r="H11" s="13" t="n">
        <v>11</v>
      </c>
      <c r="I11" s="13" t="inlineStr">
        <is>
          <t>確認済</t>
        </is>
      </c>
      <c r="J11" s="13" t="inlineStr">
        <is>
          <t>策定済</t>
        </is>
      </c>
      <c r="K11" s="14" t="inlineStr">
        <is>
          <t>https://www.city.mutsu.lg.jp/government/katsudou/kyoudou/files/simokitatiikikoukyoukoutuukeikakusoann.pdf</t>
        </is>
      </c>
      <c r="L11" s="11" t="n"/>
      <c r="M11" s="11" t="inlineStr">
        <is>
          <t>不明</t>
        </is>
      </c>
      <c r="N11" s="13" t="n"/>
      <c r="O11" s="13" t="inlineStr">
        <is>
          <t>不明</t>
        </is>
      </c>
      <c r="P11" s="13" t="inlineStr">
        <is>
          <t>未確認</t>
        </is>
      </c>
      <c r="Q11" s="11" t="n"/>
      <c r="R11" s="11"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t>
        </is>
      </c>
      <c r="S11" s="17" t="inlineStr">
        <is>
          <t>交通のみ調査</t>
        </is>
      </c>
    </row>
    <row r="12">
      <c r="A12" s="11" t="n">
        <v>9</v>
      </c>
      <c r="B12" s="11" t="inlineStr">
        <is>
          <t>つがる市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n"/>
      <c r="G12" s="11" t="inlineStr">
        <is>
          <t>不明</t>
        </is>
      </c>
      <c r="H12" s="13" t="n"/>
      <c r="I12" s="13" t="inlineStr">
        <is>
          <t>不明</t>
        </is>
      </c>
      <c r="J12" s="13" t="inlineStr">
        <is>
          <t>未確認</t>
        </is>
      </c>
      <c r="K12" s="11" t="n"/>
      <c r="L12" s="11" t="inlineStr">
        <is>
          <t>第2次つがる市環境基本計画</t>
        </is>
      </c>
      <c r="M12" s="11" t="inlineStr">
        <is>
          <t>不明</t>
        </is>
      </c>
      <c r="N12" s="13" t="n"/>
      <c r="O12" s="13" t="inlineStr">
        <is>
          <t>不明</t>
        </is>
      </c>
      <c r="P12" s="13" t="inlineStr">
        <is>
          <t>未確認</t>
        </is>
      </c>
      <c r="Q12" s="14" t="inlineStr">
        <is>
          <t>https://www.city.tsugaru.aomori.jp/soshiki/minsei/shimin/kankyoeisei/gomi/kankyoukihonkeikaku/10184.html</t>
        </is>
      </c>
      <c r="R12" s="11"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t>
        </is>
      </c>
      <c r="S12" s="17" t="inlineStr">
        <is>
          <t>環境のみ調査</t>
        </is>
      </c>
    </row>
    <row r="13">
      <c r="A13" s="11" t="n">
        <v>10</v>
      </c>
      <c r="B13" s="11" t="inlineStr">
        <is>
          <t>平川市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平川市地域公共交通計画</t>
        </is>
      </c>
      <c r="G13" s="11" t="inlineStr">
        <is>
          <t>不明</t>
        </is>
      </c>
      <c r="H13" s="13" t="n"/>
      <c r="I13" s="13" t="inlineStr">
        <is>
          <t>不明</t>
        </is>
      </c>
      <c r="J13" s="13" t="inlineStr">
        <is>
          <t>未確認</t>
        </is>
      </c>
      <c r="K13" s="14" t="inlineStr">
        <is>
          <t>https://www.city.hirakawa.lg.jp/kurashi/keikaku/2021-0514-1007-25.html</t>
        </is>
      </c>
      <c r="L13" s="11" t="inlineStr">
        <is>
          <t>平川市環境基本計画</t>
        </is>
      </c>
      <c r="M13" s="11" t="inlineStr">
        <is>
          <t>H29〜R8</t>
        </is>
      </c>
      <c r="N13" s="13" t="n">
        <v>8</v>
      </c>
      <c r="O13" s="13" t="inlineStr">
        <is>
          <t>確認済</t>
        </is>
      </c>
      <c r="P13" s="13" t="inlineStr">
        <is>
          <t>未確認</t>
        </is>
      </c>
      <c r="Q13" s="14" t="inlineStr">
        <is>
          <t>https://www.city.hirakawa.lg.jp/kurashi/keikaku/kankyokihonkeikaku.html</t>
        </is>
      </c>
      <c r="R13" s="11"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5" t="inlineStr">
        <is>
          <t>調査済</t>
        </is>
      </c>
    </row>
    <row r="14">
      <c r="A14" s="11" t="n">
        <v>11</v>
      </c>
      <c r="B14" s="11" t="inlineStr">
        <is>
          <t>平内町</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平内町地域公共交通計画</t>
        </is>
      </c>
      <c r="G14" s="11" t="inlineStr">
        <is>
          <t>R4〜R8</t>
        </is>
      </c>
      <c r="H14" s="16" t="n">
        <v>8</v>
      </c>
      <c r="I14" s="13" t="inlineStr">
        <is>
          <t>推定</t>
        </is>
      </c>
      <c r="J14" s="13" t="inlineStr">
        <is>
          <t>未確認</t>
        </is>
      </c>
      <c r="K14" s="14" t="inlineStr">
        <is>
          <t>https://www.town.hiranai.aomori.jp/chosei/machizukuri/3/1241.html</t>
        </is>
      </c>
      <c r="L14" s="11" t="n"/>
      <c r="M14" s="11" t="inlineStr">
        <is>
          <t>不明</t>
        </is>
      </c>
      <c r="N14" s="13" t="n"/>
      <c r="O14" s="13" t="inlineStr">
        <is>
          <t>不明</t>
        </is>
      </c>
      <c r="P14" s="13" t="inlineStr">
        <is>
          <t>未確認</t>
        </is>
      </c>
      <c r="Q14" s="11" t="n"/>
      <c r="R14" s="11"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t>
        </is>
      </c>
      <c r="S14" s="17" t="inlineStr">
        <is>
          <t>交通のみ調査</t>
        </is>
      </c>
    </row>
    <row r="15">
      <c r="A15" s="11" t="n">
        <v>12</v>
      </c>
      <c r="B15" s="11" t="inlineStr">
        <is>
          <t>今別町</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今別町地域公共交通計画</t>
        </is>
      </c>
      <c r="G15" s="11" t="inlineStr">
        <is>
          <t>R5〜R9</t>
        </is>
      </c>
      <c r="H15" s="16" t="n">
        <v>9</v>
      </c>
      <c r="I15" s="13" t="inlineStr">
        <is>
          <t>推定</t>
        </is>
      </c>
      <c r="J15" s="13" t="inlineStr">
        <is>
          <t>未確認</t>
        </is>
      </c>
      <c r="K15" s="14" t="inlineStr">
        <is>
          <t>https://www.town.imabetsu.lg.jp/gyousei/koukai/2023-0828-1639-1.html</t>
        </is>
      </c>
      <c r="L15" s="11" t="n"/>
      <c r="M15" s="11" t="inlineStr">
        <is>
          <t>不明</t>
        </is>
      </c>
      <c r="N15" s="13" t="n"/>
      <c r="O15" s="13" t="inlineStr">
        <is>
          <t>不明</t>
        </is>
      </c>
      <c r="P15" s="13" t="inlineStr">
        <is>
          <t>未確認</t>
        </is>
      </c>
      <c r="Q15" s="11" t="n"/>
      <c r="R15" s="11"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t>
        </is>
      </c>
      <c r="S15" s="17" t="inlineStr">
        <is>
          <t>交通のみ調査</t>
        </is>
      </c>
    </row>
    <row r="16">
      <c r="A16" s="11" t="n">
        <v>13</v>
      </c>
      <c r="B16" s="11" t="inlineStr">
        <is>
          <t>蓬田村</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n"/>
      <c r="G16" s="11" t="inlineStr">
        <is>
          <t>不明</t>
        </is>
      </c>
      <c r="H16" s="13" t="n"/>
      <c r="I16" s="13" t="inlineStr">
        <is>
          <t>不明</t>
        </is>
      </c>
      <c r="J16" s="13" t="inlineStr">
        <is>
          <t>未確認</t>
        </is>
      </c>
      <c r="K16" s="11" t="n"/>
      <c r="L16" s="11" t="n"/>
      <c r="M16" s="11" t="inlineStr">
        <is>
          <t>不明</t>
        </is>
      </c>
      <c r="N16" s="13" t="n"/>
      <c r="O16" s="13" t="inlineStr">
        <is>
          <t>不明</t>
        </is>
      </c>
      <c r="P16" s="13" t="inlineStr">
        <is>
          <t>未確認</t>
        </is>
      </c>
      <c r="Q16" s="11" t="n"/>
      <c r="R16" s="11"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t>
        </is>
      </c>
      <c r="S16" s="17" t="inlineStr">
        <is>
          <t>未調査</t>
        </is>
      </c>
    </row>
    <row r="17">
      <c r="A17" s="11" t="n">
        <v>14</v>
      </c>
      <c r="B17" s="11" t="inlineStr">
        <is>
          <t>外ヶ浜町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外ヶ浜町地域公共交通計画</t>
        </is>
      </c>
      <c r="G17" s="11" t="inlineStr">
        <is>
          <t>R6〜R10</t>
        </is>
      </c>
      <c r="H17" s="16" t="n">
        <v>10</v>
      </c>
      <c r="I17" s="13" t="inlineStr">
        <is>
          <t>推定</t>
        </is>
      </c>
      <c r="J17" s="13" t="inlineStr">
        <is>
          <t>未確認</t>
        </is>
      </c>
      <c r="K17" s="14" t="inlineStr">
        <is>
          <t>https://www.town.sotogahama.lg.jp/gyosei/public/2024-0227-tiikikoukyokoutukeikaku_pabukome.html</t>
        </is>
      </c>
      <c r="L17" s="11" t="n"/>
      <c r="M17" s="11" t="inlineStr">
        <is>
          <t>不明</t>
        </is>
      </c>
      <c r="N17" s="13" t="n"/>
      <c r="O17" s="13" t="inlineStr">
        <is>
          <t>不明</t>
        </is>
      </c>
      <c r="P17" s="13" t="inlineStr">
        <is>
          <t>未確認</t>
        </is>
      </c>
      <c r="Q17" s="11" t="n"/>
      <c r="R17" s="11"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t>
        </is>
      </c>
      <c r="S17" s="17" t="inlineStr">
        <is>
          <t>交通のみ調査</t>
        </is>
      </c>
    </row>
    <row r="18">
      <c r="A18" s="11" t="n">
        <v>15</v>
      </c>
      <c r="B18" s="11" t="inlineStr">
        <is>
          <t>鰺ヶ沢町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鰺ヶ沢町地域公共交通計画</t>
        </is>
      </c>
      <c r="G18" s="11" t="inlineStr">
        <is>
          <t>R6〜R10</t>
        </is>
      </c>
      <c r="H18" s="16" t="n">
        <v>10</v>
      </c>
      <c r="I18" s="13" t="inlineStr">
        <is>
          <t>推定</t>
        </is>
      </c>
      <c r="J18" s="13" t="inlineStr">
        <is>
          <t>未確認</t>
        </is>
      </c>
      <c r="K18" s="14" t="inlineStr">
        <is>
          <t>http://www.town.ajigasawa.lg.jp/gyosei_jyoho/kotsu/kokyokotukeikaku.html</t>
        </is>
      </c>
      <c r="L18" s="11" t="n"/>
      <c r="M18" s="11" t="inlineStr">
        <is>
          <t>不明</t>
        </is>
      </c>
      <c r="N18" s="13" t="n"/>
      <c r="O18" s="13" t="inlineStr">
        <is>
          <t>不明</t>
        </is>
      </c>
      <c r="P18" s="13" t="inlineStr">
        <is>
          <t>未確認</t>
        </is>
      </c>
      <c r="Q18" s="11" t="n"/>
      <c r="R18" s="11"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t>
        </is>
      </c>
      <c r="S18" s="17" t="inlineStr">
        <is>
          <t>交通のみ調査</t>
        </is>
      </c>
    </row>
    <row r="19">
      <c r="A19" s="11" t="n">
        <v>16</v>
      </c>
      <c r="B19" s="11" t="inlineStr">
        <is>
          <t>深浦町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深浦町地域公共交通計画</t>
        </is>
      </c>
      <c r="G19" s="11" t="inlineStr">
        <is>
          <t>R6〜R10</t>
        </is>
      </c>
      <c r="H19" s="16" t="n">
        <v>10</v>
      </c>
      <c r="I19" s="13" t="inlineStr">
        <is>
          <t>推定</t>
        </is>
      </c>
      <c r="J19" s="13" t="inlineStr">
        <is>
          <t>未確認</t>
        </is>
      </c>
      <c r="K19" s="14" t="inlineStr">
        <is>
          <t>https://www.town.fukaura.lg.jp/doc/2020031800019/file_contents/2020031800019_fixed_docs_2020031800019_file_contents_kotsukeikaku.pdf</t>
        </is>
      </c>
      <c r="L19" s="11" t="n"/>
      <c r="M19" s="11" t="inlineStr">
        <is>
          <t>不明</t>
        </is>
      </c>
      <c r="N19" s="13" t="n"/>
      <c r="O19" s="13" t="inlineStr">
        <is>
          <t>不明</t>
        </is>
      </c>
      <c r="P19" s="13" t="inlineStr">
        <is>
          <t>未確認</t>
        </is>
      </c>
      <c r="Q19" s="11" t="n"/>
      <c r="R19" s="11"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t>
        </is>
      </c>
      <c r="S19" s="17" t="inlineStr">
        <is>
          <t>交通のみ調査</t>
        </is>
      </c>
    </row>
    <row r="20">
      <c r="A20" s="11" t="n">
        <v>17</v>
      </c>
      <c r="B20" s="11" t="inlineStr">
        <is>
          <t>西目屋村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未確認</t>
        </is>
      </c>
      <c r="Q20" s="11" t="n"/>
      <c r="R20" s="11"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t>
        </is>
      </c>
      <c r="S20" s="17" t="inlineStr">
        <is>
          <t>未調査</t>
        </is>
      </c>
    </row>
    <row r="21">
      <c r="A21" s="11" t="n">
        <v>18</v>
      </c>
      <c r="B21" s="11" t="inlineStr">
        <is>
          <t>藤崎町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t>
        </is>
      </c>
      <c r="S21" s="17" t="inlineStr">
        <is>
          <t>未調査</t>
        </is>
      </c>
    </row>
    <row r="22">
      <c r="A22" s="11" t="n">
        <v>19</v>
      </c>
      <c r="B22" s="11" t="inlineStr">
        <is>
          <t>大鰐町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大鰐町地域公共交通計画</t>
        </is>
      </c>
      <c r="G22" s="11" t="inlineStr">
        <is>
          <t>R5〜R9</t>
        </is>
      </c>
      <c r="H22" s="16" t="n">
        <v>9</v>
      </c>
      <c r="I22" s="13" t="inlineStr">
        <is>
          <t>推定</t>
        </is>
      </c>
      <c r="J22" s="13" t="inlineStr">
        <is>
          <t>未確認</t>
        </is>
      </c>
      <c r="K22" s="14" t="inlineStr">
        <is>
          <t>http://www.town.owani.lg.jp/aboutowani/plan/kokyo-kotsu.html</t>
        </is>
      </c>
      <c r="L22" s="11" t="n"/>
      <c r="M22" s="11" t="inlineStr">
        <is>
          <t>不明</t>
        </is>
      </c>
      <c r="N22" s="13" t="n"/>
      <c r="O22" s="13" t="inlineStr">
        <is>
          <t>不明</t>
        </is>
      </c>
      <c r="P22" s="13" t="inlineStr">
        <is>
          <t>未確認</t>
        </is>
      </c>
      <c r="Q22" s="11" t="n"/>
      <c r="R22" s="11"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t>
        </is>
      </c>
      <c r="S22" s="17" t="inlineStr">
        <is>
          <t>交通のみ調査</t>
        </is>
      </c>
    </row>
    <row r="23">
      <c r="A23" s="11" t="n">
        <v>20</v>
      </c>
      <c r="B23" s="11" t="inlineStr">
        <is>
          <t>田舎館村</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t>
        </is>
      </c>
      <c r="S23" s="17" t="inlineStr">
        <is>
          <t>未調査</t>
        </is>
      </c>
    </row>
    <row r="24">
      <c r="A24" s="11" t="n">
        <v>21</v>
      </c>
      <c r="B24" s="11" t="inlineStr">
        <is>
          <t>板柳町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t>
        </is>
      </c>
      <c r="S24" s="17" t="inlineStr">
        <is>
          <t>未調査</t>
        </is>
      </c>
    </row>
    <row r="25">
      <c r="A25" s="11" t="n">
        <v>22</v>
      </c>
      <c r="B25" s="11" t="inlineStr">
        <is>
          <t>鶴田町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t>
        </is>
      </c>
      <c r="S25" s="17" t="inlineStr">
        <is>
          <t>未調査</t>
        </is>
      </c>
    </row>
    <row r="26">
      <c r="A26" s="11" t="n">
        <v>23</v>
      </c>
      <c r="B26" s="11" t="inlineStr">
        <is>
          <t>中泊町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中泊町地域公共交通計画</t>
        </is>
      </c>
      <c r="G26" s="11" t="inlineStr">
        <is>
          <t>R5〜R9</t>
        </is>
      </c>
      <c r="H26" s="16" t="n">
        <v>9</v>
      </c>
      <c r="I26" s="13" t="inlineStr">
        <is>
          <t>推定</t>
        </is>
      </c>
      <c r="J26" s="13" t="inlineStr">
        <is>
          <t>未確認</t>
        </is>
      </c>
      <c r="K26" s="14" t="inlineStr">
        <is>
          <t>https://www.town.nakadomari.lg.jp/material/files/group/3/koutuukeikakur6.pdf</t>
        </is>
      </c>
      <c r="L26" s="11" t="n"/>
      <c r="M26" s="11" t="inlineStr">
        <is>
          <t>不明</t>
        </is>
      </c>
      <c r="N26" s="13" t="n"/>
      <c r="O26" s="13" t="inlineStr">
        <is>
          <t>不明</t>
        </is>
      </c>
      <c r="P26" s="13" t="inlineStr">
        <is>
          <t>未確認</t>
        </is>
      </c>
      <c r="Q26" s="11" t="n"/>
      <c r="R26" s="11"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t>
        </is>
      </c>
      <c r="S26" s="17" t="inlineStr">
        <is>
          <t>交通のみ調査</t>
        </is>
      </c>
    </row>
    <row r="27">
      <c r="A27" s="11" t="n">
        <v>24</v>
      </c>
      <c r="B27" s="11" t="inlineStr">
        <is>
          <t>野辺地町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未確認</t>
        </is>
      </c>
      <c r="Q27" s="11" t="n"/>
      <c r="R27" s="11"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t>
        </is>
      </c>
      <c r="S27" s="17" t="inlineStr">
        <is>
          <t>未調査</t>
        </is>
      </c>
    </row>
    <row r="28">
      <c r="A28" s="11" t="n">
        <v>25</v>
      </c>
      <c r="B28" s="11" t="inlineStr">
        <is>
          <t>七戸町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七戸町地域公共交通網形成計画</t>
        </is>
      </c>
      <c r="G28" s="11" t="inlineStr">
        <is>
          <t>不明</t>
        </is>
      </c>
      <c r="H28" s="13" t="n"/>
      <c r="I28" s="13" t="inlineStr">
        <is>
          <t>不明</t>
        </is>
      </c>
      <c r="J28" s="13" t="inlineStr">
        <is>
          <t>未確認</t>
        </is>
      </c>
      <c r="K28" s="14" t="inlineStr">
        <is>
          <t>https://www.town.shichinohe.lg.jp/gyosei/keikaku/kurashi/post-197.html</t>
        </is>
      </c>
      <c r="L28" s="11" t="n"/>
      <c r="M28" s="11" t="inlineStr">
        <is>
          <t>不明</t>
        </is>
      </c>
      <c r="N28" s="13" t="n"/>
      <c r="O28" s="13" t="inlineStr">
        <is>
          <t>不明</t>
        </is>
      </c>
      <c r="P28" s="13" t="inlineStr">
        <is>
          <t>未確認</t>
        </is>
      </c>
      <c r="Q28" s="11" t="n"/>
      <c r="R28" s="11"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t>
        </is>
      </c>
      <c r="S28" s="17" t="inlineStr">
        <is>
          <t>交通のみ調査</t>
        </is>
      </c>
    </row>
    <row r="29">
      <c r="A29" s="11" t="n">
        <v>26</v>
      </c>
      <c r="B29" s="11" t="inlineStr">
        <is>
          <t>六戸町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着手済</t>
        </is>
      </c>
      <c r="K29" s="11" t="n"/>
      <c r="L29" s="11" t="n"/>
      <c r="M29" s="11" t="inlineStr">
        <is>
          <t>不明</t>
        </is>
      </c>
      <c r="N29" s="13" t="n"/>
      <c r="O29" s="13" t="inlineStr">
        <is>
          <t>不明</t>
        </is>
      </c>
      <c r="P29" s="13" t="inlineStr">
        <is>
          <t>未確認</t>
        </is>
      </c>
      <c r="Q29" s="11" t="n"/>
      <c r="R29" s="11"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t>
        </is>
      </c>
      <c r="S29" s="17" t="inlineStr">
        <is>
          <t>未調査</t>
        </is>
      </c>
    </row>
    <row r="30">
      <c r="A30" s="11" t="n">
        <v>27</v>
      </c>
      <c r="B30" s="11" t="inlineStr">
        <is>
          <t>横浜町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t>
        </is>
      </c>
      <c r="S30" s="17" t="inlineStr">
        <is>
          <t>未調査</t>
        </is>
      </c>
    </row>
    <row r="31">
      <c r="A31" s="11" t="n">
        <v>28</v>
      </c>
      <c r="B31" s="11" t="inlineStr">
        <is>
          <t>東北町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t>
        </is>
      </c>
      <c r="S31" s="17" t="inlineStr">
        <is>
          <t>未調査</t>
        </is>
      </c>
    </row>
    <row r="32">
      <c r="A32" s="11" t="n">
        <v>29</v>
      </c>
      <c r="B32" s="11" t="inlineStr">
        <is>
          <t>六ヶ所村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六ヶ所村地域公共交通計画</t>
        </is>
      </c>
      <c r="G32" s="11" t="inlineStr">
        <is>
          <t>R7〜（終期不明）</t>
        </is>
      </c>
      <c r="H32" s="13" t="n"/>
      <c r="I32" s="13" t="inlineStr">
        <is>
          <t>不明</t>
        </is>
      </c>
      <c r="J32" s="13" t="inlineStr">
        <is>
          <t>策定済</t>
        </is>
      </c>
      <c r="K32" s="14" t="inlineStr">
        <is>
          <t>https://www.rokkasho.jp/index.cfm/14,19918,c,html/19918/20250620-120455.pdf</t>
        </is>
      </c>
      <c r="L32" s="11" t="n"/>
      <c r="M32" s="11" t="inlineStr">
        <is>
          <t>不明</t>
        </is>
      </c>
      <c r="N32" s="13" t="n"/>
      <c r="O32" s="13" t="inlineStr">
        <is>
          <t>不明</t>
        </is>
      </c>
      <c r="P32" s="13" t="inlineStr">
        <is>
          <t>未確認</t>
        </is>
      </c>
      <c r="Q32" s="11" t="n"/>
      <c r="R32" s="11"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t>
        </is>
      </c>
      <c r="S32" s="17" t="inlineStr">
        <is>
          <t>交通のみ調査</t>
        </is>
      </c>
    </row>
    <row r="33">
      <c r="A33" s="11" t="n">
        <v>30</v>
      </c>
      <c r="B33" s="11" t="inlineStr">
        <is>
          <t>おいらせ町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八戸圏域地域公共交通計画（八戸圏域8市町村共同）</t>
        </is>
      </c>
      <c r="G33" s="11" t="inlineStr">
        <is>
          <t>R5〜R10</t>
        </is>
      </c>
      <c r="H33" s="13" t="n">
        <v>10</v>
      </c>
      <c r="I33" s="13" t="inlineStr">
        <is>
          <t>確認済</t>
        </is>
      </c>
      <c r="J33" s="13" t="inlineStr">
        <is>
          <t>未確認</t>
        </is>
      </c>
      <c r="K33" s="14" t="inlineStr">
        <is>
          <t>https://wwwtb.mlit.go.jp/tohoku/content/000181287.pdf</t>
        </is>
      </c>
      <c r="L33" s="11" t="n"/>
      <c r="M33" s="11" t="inlineStr">
        <is>
          <t>不明</t>
        </is>
      </c>
      <c r="N33" s="13" t="n"/>
      <c r="O33" s="13" t="inlineStr">
        <is>
          <t>不明</t>
        </is>
      </c>
      <c r="P33" s="13" t="inlineStr">
        <is>
          <t>未確認</t>
        </is>
      </c>
      <c r="Q33" s="11" t="n"/>
      <c r="R33" s="11" t="inlineStr">
        <is>
          <t>交通計画は八戸圏域8市町村の圏域共同計画（R5〜R10）。環境基本計画は町名検索・ゼロカーボン検索とも該当なし（地域再生計画等のみヒット）。区域施策編も未確認。</t>
        </is>
      </c>
      <c r="S33" s="17" t="inlineStr">
        <is>
          <t>交通のみ調査</t>
        </is>
      </c>
    </row>
    <row r="34">
      <c r="A34" s="11" t="n">
        <v>31</v>
      </c>
      <c r="B34" s="11" t="inlineStr">
        <is>
          <t>大間町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下北地域公共交通計画（下北地域公共交通総合連携協議会：むつ市・大間町・東通村・風間浦村・佐井村）</t>
        </is>
      </c>
      <c r="G34" s="11" t="inlineStr">
        <is>
          <t>R7〜R11</t>
        </is>
      </c>
      <c r="H34" s="13" t="n">
        <v>11</v>
      </c>
      <c r="I34" s="13" t="inlineStr">
        <is>
          <t>確認済</t>
        </is>
      </c>
      <c r="J34" s="13" t="inlineStr">
        <is>
          <t>策定済</t>
        </is>
      </c>
      <c r="K34" s="14" t="inlineStr">
        <is>
          <t>https://www.city.mutsu.lg.jp/government/katsudou/kyoudou/files/simokitatiikikoukyoukoutuukeikakusoann.pdf</t>
        </is>
      </c>
      <c r="L34" s="11" t="n"/>
      <c r="M34" s="11" t="inlineStr">
        <is>
          <t>不明</t>
        </is>
      </c>
      <c r="N34" s="13" t="n"/>
      <c r="O34" s="13" t="inlineStr">
        <is>
          <t>不明</t>
        </is>
      </c>
      <c r="P34" s="13" t="inlineStr">
        <is>
          <t>未確認</t>
        </is>
      </c>
      <c r="Q34" s="11" t="n"/>
      <c r="R34" s="11" t="inlineStr">
        <is>
          <t>交通計画は下北5市町村の圏域共同計画（2025〜2029＝R7〜R11、R7.3策定）。t_urlはむつ市サイト掲載の素案PDF（確定版URLは検索で見つからず）。環境基本計画・温暖化対策実行計画とも検索でヒットせず。</t>
        </is>
      </c>
      <c r="S34" s="17" t="inlineStr">
        <is>
          <t>交通のみ調査</t>
        </is>
      </c>
    </row>
    <row r="35">
      <c r="A35" s="11" t="n">
        <v>32</v>
      </c>
      <c r="B35" s="11" t="inlineStr">
        <is>
          <t>東通村</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下北地域公共交通計画（下北地域公共交通総合連携協議会：むつ市・大間町・東通村・風間浦村・佐井村）</t>
        </is>
      </c>
      <c r="G35" s="11" t="inlineStr">
        <is>
          <t>R7〜R11</t>
        </is>
      </c>
      <c r="H35" s="13" t="n">
        <v>11</v>
      </c>
      <c r="I35" s="13" t="inlineStr">
        <is>
          <t>確認済</t>
        </is>
      </c>
      <c r="J35" s="13" t="inlineStr">
        <is>
          <t>策定済</t>
        </is>
      </c>
      <c r="K35" s="14" t="inlineStr">
        <is>
          <t>https://www.city.mutsu.lg.jp/government/katsudou/kyoudou/files/simokitatiikikoukyoukoutuukeikakusoann.pdf</t>
        </is>
      </c>
      <c r="L35" s="11" t="n"/>
      <c r="M35" s="11" t="inlineStr">
        <is>
          <t>不明</t>
        </is>
      </c>
      <c r="N35" s="13" t="n"/>
      <c r="O35" s="13" t="inlineStr">
        <is>
          <t>不明</t>
        </is>
      </c>
      <c r="P35" s="13" t="inlineStr">
        <is>
          <t>未確認</t>
        </is>
      </c>
      <c r="Q35" s="11" t="n"/>
      <c r="R35" s="11" t="inlineStr">
        <is>
          <t>交通計画は下北5市町村の圏域共同計画（2025〜2029＝R7〜R11、R7.3策定）。t_urlはむつ市サイト掲載の素案PDF（確定版URLは検索で見つからず）。環境基本計画は検索でヒットせず（原発モニタリング・風力アセス関連のみ）。</t>
        </is>
      </c>
      <c r="S35" s="17" t="inlineStr">
        <is>
          <t>交通のみ調査</t>
        </is>
      </c>
    </row>
    <row r="36">
      <c r="A36" s="11" t="n">
        <v>33</v>
      </c>
      <c r="B36" s="11" t="inlineStr">
        <is>
          <t>風間浦村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下北地域公共交通計画（下北地域公共交通総合連携協議会：むつ市・大間町・東通村・風間浦村・佐井村）</t>
        </is>
      </c>
      <c r="G36" s="11" t="inlineStr">
        <is>
          <t>R7〜R11</t>
        </is>
      </c>
      <c r="H36" s="13" t="n">
        <v>11</v>
      </c>
      <c r="I36" s="13" t="inlineStr">
        <is>
          <t>確認済</t>
        </is>
      </c>
      <c r="J36" s="13" t="inlineStr">
        <is>
          <t>策定済</t>
        </is>
      </c>
      <c r="K36" s="14" t="inlineStr">
        <is>
          <t>https://www.city.mutsu.lg.jp/government/katsudou/kyoudou/files/simokitatiikikoukyoukoutuukeikakusoann.pdf</t>
        </is>
      </c>
      <c r="L36" s="11" t="n"/>
      <c r="M36" s="11" t="inlineStr">
        <is>
          <t>不明</t>
        </is>
      </c>
      <c r="N36" s="13" t="n"/>
      <c r="O36" s="13" t="inlineStr">
        <is>
          <t>不明</t>
        </is>
      </c>
      <c r="P36" s="13" t="inlineStr">
        <is>
          <t>未確認</t>
        </is>
      </c>
      <c r="Q36" s="11" t="n"/>
      <c r="R36" s="11" t="inlineStr">
        <is>
          <t>交通計画は下北5市町村の圏域共同計画（2025〜2029＝R7〜R11、R7.3策定）。t_urlはむつ市サイト掲載の素案PDF（確定版URLは検索で見つからず）。環境基本計画・温暖化対策実行計画とも検索でヒットせず。</t>
        </is>
      </c>
      <c r="S36" s="17" t="inlineStr">
        <is>
          <t>交通のみ調査</t>
        </is>
      </c>
    </row>
    <row r="37">
      <c r="A37" s="11" t="n">
        <v>34</v>
      </c>
      <c r="B37" s="11" t="inlineStr">
        <is>
          <t>佐井村</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下北地域公共交通計画（下北地域公共交通総合連携協議会：むつ市・大間町・東通村・風間浦村・佐井村）</t>
        </is>
      </c>
      <c r="G37" s="11" t="inlineStr">
        <is>
          <t>R7〜R11</t>
        </is>
      </c>
      <c r="H37" s="13" t="n">
        <v>11</v>
      </c>
      <c r="I37" s="13" t="inlineStr">
        <is>
          <t>確認済</t>
        </is>
      </c>
      <c r="J37" s="13" t="inlineStr">
        <is>
          <t>策定済</t>
        </is>
      </c>
      <c r="K37" s="14" t="inlineStr">
        <is>
          <t>https://www.city.mutsu.lg.jp/government/katsudou/kyoudou/files/simokitatiikikoukyoukoutuukeikakusoann.pdf</t>
        </is>
      </c>
      <c r="L37" s="11" t="n"/>
      <c r="M37" s="11" t="inlineStr">
        <is>
          <t>不明</t>
        </is>
      </c>
      <c r="N37" s="13" t="n"/>
      <c r="O37" s="13" t="inlineStr">
        <is>
          <t>不明</t>
        </is>
      </c>
      <c r="P37" s="13" t="inlineStr">
        <is>
          <t>未確認</t>
        </is>
      </c>
      <c r="Q37" s="11" t="n"/>
      <c r="R37" s="11" t="inlineStr">
        <is>
          <t>交通計画は下北5市町村の圏域共同計画（2025〜2029＝R7〜R11、R7.3策定）。t_urlはむつ市サイト掲載の素案PDF（確定版URLは検索で見つからず）。環境基本計画・温暖化対策実行計画とも検索でヒットせず。</t>
        </is>
      </c>
      <c r="S37" s="17" t="inlineStr">
        <is>
          <t>交通のみ調査</t>
        </is>
      </c>
    </row>
    <row r="38">
      <c r="A38" s="11" t="n">
        <v>35</v>
      </c>
      <c r="B38" s="11" t="inlineStr">
        <is>
          <t>三戸町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八戸圏域地域公共交通計画（八戸圏域8市町村共同）</t>
        </is>
      </c>
      <c r="G38" s="11" t="inlineStr">
        <is>
          <t>R5〜R10</t>
        </is>
      </c>
      <c r="H38" s="13" t="n">
        <v>10</v>
      </c>
      <c r="I38" s="13" t="inlineStr">
        <is>
          <t>確認済</t>
        </is>
      </c>
      <c r="J38" s="13" t="inlineStr">
        <is>
          <t>未確認</t>
        </is>
      </c>
      <c r="K38" s="14" t="inlineStr">
        <is>
          <t>https://wwwtb.mlit.go.jp/tohoku/content/000181287.pdf</t>
        </is>
      </c>
      <c r="L38" s="11" t="n"/>
      <c r="M38" s="11" t="inlineStr">
        <is>
          <t>不明</t>
        </is>
      </c>
      <c r="N38" s="13" t="n"/>
      <c r="O38" s="13" t="inlineStr">
        <is>
          <t>不明</t>
        </is>
      </c>
      <c r="P38" s="13" t="inlineStr">
        <is>
          <t>未確認</t>
        </is>
      </c>
      <c r="Q38" s="11" t="n"/>
      <c r="R38" s="11" t="inlineStr">
        <is>
          <t>交通計画は八戸圏域8市町村の圏域共同計画（R5〜R10）。環境基本計画・地球温暖化対策実行計画とも検索でヒットせず（地域再生計画・風力アセスのみ）。</t>
        </is>
      </c>
      <c r="S38" s="17" t="inlineStr">
        <is>
          <t>交通のみ調査</t>
        </is>
      </c>
    </row>
    <row r="39">
      <c r="A39" s="11" t="n">
        <v>36</v>
      </c>
      <c r="B39" s="11" t="inlineStr">
        <is>
          <t>五戸町</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八戸圏域地域公共交通計画（八戸圏域8市町村共同）</t>
        </is>
      </c>
      <c r="G39" s="11" t="inlineStr">
        <is>
          <t>R5〜R10</t>
        </is>
      </c>
      <c r="H39" s="13" t="n">
        <v>10</v>
      </c>
      <c r="I39" s="13" t="inlineStr">
        <is>
          <t>確認済</t>
        </is>
      </c>
      <c r="J39" s="13" t="inlineStr">
        <is>
          <t>未確認</t>
        </is>
      </c>
      <c r="K39" s="14" t="inlineStr">
        <is>
          <t>https://wwwtb.mlit.go.jp/tohoku/content/000181287.pdf</t>
        </is>
      </c>
      <c r="L39" s="11" t="n"/>
      <c r="M39" s="11" t="inlineStr">
        <is>
          <t>不明</t>
        </is>
      </c>
      <c r="N39" s="13" t="n"/>
      <c r="O39" s="13" t="inlineStr">
        <is>
          <t>不明</t>
        </is>
      </c>
      <c r="P39" s="13" t="inlineStr">
        <is>
          <t>未確認</t>
        </is>
      </c>
      <c r="Q39" s="11" t="n"/>
      <c r="R39" s="11"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t>
        </is>
      </c>
      <c r="S39" s="17" t="inlineStr">
        <is>
          <t>交通のみ調査</t>
        </is>
      </c>
    </row>
    <row r="40">
      <c r="A40" s="11" t="n">
        <v>37</v>
      </c>
      <c r="B40" s="11" t="inlineStr">
        <is>
          <t>田子町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八戸圏域地域公共交通計画（八戸圏域8市町村共同）</t>
        </is>
      </c>
      <c r="G40" s="11" t="inlineStr">
        <is>
          <t>R5〜R10</t>
        </is>
      </c>
      <c r="H40" s="13" t="n">
        <v>10</v>
      </c>
      <c r="I40" s="13" t="inlineStr">
        <is>
          <t>確認済</t>
        </is>
      </c>
      <c r="J40" s="13" t="inlineStr">
        <is>
          <t>未確認</t>
        </is>
      </c>
      <c r="K40" s="14" t="inlineStr">
        <is>
          <t>https://wwwtb.mlit.go.jp/tohoku/content/000181287.pdf</t>
        </is>
      </c>
      <c r="L40" s="11" t="n"/>
      <c r="M40" s="11" t="inlineStr">
        <is>
          <t>不明</t>
        </is>
      </c>
      <c r="N40" s="13" t="n"/>
      <c r="O40" s="13" t="inlineStr">
        <is>
          <t>不明</t>
        </is>
      </c>
      <c r="P40" s="13" t="inlineStr">
        <is>
          <t>未確認</t>
        </is>
      </c>
      <c r="Q40" s="11" t="n"/>
      <c r="R40" s="11" t="inlineStr">
        <is>
          <t>交通計画は八戸圏域8市町村の圏域共同計画（R5〜R10）。環境基本計画・温暖化対策実行計画とも検索でヒットせず。</t>
        </is>
      </c>
      <c r="S40" s="17" t="inlineStr">
        <is>
          <t>交通のみ調査</t>
        </is>
      </c>
    </row>
    <row r="41">
      <c r="A41" s="11" t="n">
        <v>38</v>
      </c>
      <c r="B41" s="11" t="inlineStr">
        <is>
          <t>南部町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八戸圏域地域公共交通計画（八戸圏域8市町村共同）</t>
        </is>
      </c>
      <c r="G41" s="11" t="inlineStr">
        <is>
          <t>R5〜R10</t>
        </is>
      </c>
      <c r="H41" s="13" t="n">
        <v>10</v>
      </c>
      <c r="I41" s="13" t="inlineStr">
        <is>
          <t>確認済</t>
        </is>
      </c>
      <c r="J41" s="13" t="inlineStr">
        <is>
          <t>未確認</t>
        </is>
      </c>
      <c r="K41" s="14" t="inlineStr">
        <is>
          <t>https://wwwtb.mlit.go.jp/tohoku/content/000181287.pdf</t>
        </is>
      </c>
      <c r="L41" s="11" t="n"/>
      <c r="M41" s="11" t="inlineStr">
        <is>
          <t>不明</t>
        </is>
      </c>
      <c r="N41" s="13" t="n"/>
      <c r="O41" s="13" t="inlineStr">
        <is>
          <t>不明</t>
        </is>
      </c>
      <c r="P41" s="13" t="inlineStr">
        <is>
          <t>未確認</t>
        </is>
      </c>
      <c r="Q41" s="11" t="n"/>
      <c r="R41" s="11" t="inlineStr">
        <is>
          <t>交通計画は八戸圏域8市町村の圏域共同計画（R5〜R10）。青森県三戸郡南部町。環境基本計画・温暖化対策実行計画とも検索でヒットせず（地域再生計画のみ）。</t>
        </is>
      </c>
      <c r="S41" s="17" t="inlineStr">
        <is>
          <t>交通のみ調査</t>
        </is>
      </c>
    </row>
    <row r="42">
      <c r="A42" s="11" t="n">
        <v>39</v>
      </c>
      <c r="B42" s="11" t="inlineStr">
        <is>
          <t>階上町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八戸圏域地域公共交通計画（八戸圏域8市町村共同）</t>
        </is>
      </c>
      <c r="G42" s="11" t="inlineStr">
        <is>
          <t>R5〜R10</t>
        </is>
      </c>
      <c r="H42" s="13" t="n">
        <v>10</v>
      </c>
      <c r="I42" s="13" t="inlineStr">
        <is>
          <t>確認済</t>
        </is>
      </c>
      <c r="J42" s="13" t="inlineStr">
        <is>
          <t>未確認</t>
        </is>
      </c>
      <c r="K42" s="14" t="inlineStr">
        <is>
          <t>https://wwwtb.mlit.go.jp/tohoku/content/000181287.pdf</t>
        </is>
      </c>
      <c r="L42" s="11" t="n"/>
      <c r="M42" s="11" t="inlineStr">
        <is>
          <t>不明</t>
        </is>
      </c>
      <c r="N42" s="13" t="n"/>
      <c r="O42" s="13" t="inlineStr">
        <is>
          <t>不明</t>
        </is>
      </c>
      <c r="P42" s="13" t="inlineStr">
        <is>
          <t>未確認</t>
        </is>
      </c>
      <c r="Q42" s="11" t="n"/>
      <c r="R42" s="11" t="inlineStr">
        <is>
          <t>交通計画は八戸圏域8市町村の圏域共同計画（R5〜R10）。環境基本計画・温暖化対策実行計画・ゼロカーボン関連とも検索でヒットせず。</t>
        </is>
      </c>
      <c r="S42" s="17" t="inlineStr">
        <is>
          <t>交通のみ調査</t>
        </is>
      </c>
    </row>
    <row r="43">
      <c r="A43" s="11" t="n">
        <v>40</v>
      </c>
      <c r="B43" s="11" t="inlineStr">
        <is>
          <t>新郷村</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八戸圏域地域公共交通計画（八戸圏域8市町村共同）</t>
        </is>
      </c>
      <c r="G43" s="11" t="inlineStr">
        <is>
          <t>R5〜R10</t>
        </is>
      </c>
      <c r="H43" s="13" t="n">
        <v>10</v>
      </c>
      <c r="I43" s="13" t="inlineStr">
        <is>
          <t>確認済</t>
        </is>
      </c>
      <c r="J43" s="13" t="inlineStr">
        <is>
          <t>未確認</t>
        </is>
      </c>
      <c r="K43" s="14" t="inlineStr">
        <is>
          <t>https://wwwtb.mlit.go.jp/tohoku/content/000181287.pdf</t>
        </is>
      </c>
      <c r="L43" s="11" t="n"/>
      <c r="M43" s="11" t="inlineStr">
        <is>
          <t>不明</t>
        </is>
      </c>
      <c r="N43" s="13" t="n"/>
      <c r="O43" s="13" t="inlineStr">
        <is>
          <t>不明</t>
        </is>
      </c>
      <c r="P43" s="13" t="inlineStr">
        <is>
          <t>未確認</t>
        </is>
      </c>
      <c r="Q43" s="11" t="n"/>
      <c r="R43" s="11" t="inlineStr">
        <is>
          <t>交通計画は八戸圏域8市町村の圏域共同計画（R5〜R10）。環境基本計画・温暖化対策実行計画とも検索でヒットせず。</t>
        </is>
      </c>
      <c r="S43" s="17" t="inlineStr">
        <is>
          <t>交通のみ調査</t>
        </is>
      </c>
    </row>
  </sheetData>
  <autoFilter ref="A3:S43"/>
  <conditionalFormatting sqref="A4:S43">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xmlns:r="http://schemas.openxmlformats.org/officeDocument/2006/relationships" ref="K26" r:id="rId23"/>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2026-09-30T09:40:11Z</dcterms:created>
  <dcterms:modified xsi:type="dcterms:W3CDTF">2026-09-30T09:40:11Z</dcterms:modified>
</cp:coreProperties>
</file>