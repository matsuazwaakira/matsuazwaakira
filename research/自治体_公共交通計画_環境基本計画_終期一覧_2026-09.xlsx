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集計・設定" sheetId="1" state="visible" r:id="rId1"/>
    <sheet name="栃木県" sheetId="2" state="visible" r:id="rId2"/>
    <sheet name="茨城県" sheetId="3" state="visible" r:id="rId3"/>
    <sheet name="福島県" sheetId="4" state="visible" r:id="rId4"/>
    <sheet name="青森県" sheetId="5" state="visible" r:id="rId5"/>
  </sheets>
  <definedNames>
    <definedName name="_xlnm._FilterDatabase" localSheetId="1" hidden="1">'栃木県'!$A$3:$S$28</definedName>
    <definedName name="_xlnm._FilterDatabase" localSheetId="2" hidden="1">'茨城県'!$A$3:$S$47</definedName>
    <definedName name="_xlnm._FilterDatabase" localSheetId="3" hidden="1">'福島県'!$A$3:$S$62</definedName>
    <definedName name="_xlnm._FilterDatabase" localSheetId="4" hidden="1">'青森県'!$A$3:$S$43</definedName>
  </definedNames>
  <calcPr calcId="124519" fullCalcOnLoad="1"/>
</workbook>
</file>

<file path=xl/styles.xml><?xml version="1.0" encoding="utf-8"?>
<styleSheet xmlns="http://schemas.openxmlformats.org/spreadsheetml/2006/main">
  <numFmts count="0"/>
  <fonts count="13">
    <font>
      <name val="Calibri"/>
      <family val="2"/>
      <color theme="1"/>
      <sz val="11"/>
      <scheme val="minor"/>
    </font>
    <font>
      <name val="Arial"/>
      <b val="1"/>
      <sz val="14"/>
    </font>
    <font>
      <name val="Arial"/>
      <color rgb="00555555"/>
      <sz val="10"/>
    </font>
    <font>
      <name val="Arial"/>
      <b val="1"/>
      <color rgb="00FFFFFF"/>
    </font>
    <font>
      <name val="Arial"/>
      <sz val="10"/>
    </font>
    <font>
      <name val="Arial"/>
      <b val="1"/>
      <sz val="10"/>
    </font>
    <font>
      <name val="Arial"/>
      <color rgb="000563C1"/>
      <sz val="9"/>
      <u val="single"/>
    </font>
    <font>
      <name val="Arial"/>
      <i val="1"/>
      <color rgb="007F6000"/>
      <sz val="10"/>
    </font>
    <font>
      <name val="Arial"/>
      <b val="1"/>
      <color rgb="00C00000"/>
      <sz val="10"/>
    </font>
    <font>
      <name val="Arial"/>
      <b val="1"/>
    </font>
    <font>
      <name val="Arial"/>
    </font>
    <font>
      <name val="Arial"/>
      <b val="1"/>
      <color rgb="000000FF"/>
    </font>
    <font>
      <name val="Arial"/>
      <color rgb="00555555"/>
      <sz val="9"/>
    </font>
  </fonts>
  <fills count="4">
    <fill>
      <patternFill/>
    </fill>
    <fill>
      <patternFill patternType="gray125"/>
    </fill>
    <fill>
      <patternFill patternType="solid">
        <fgColor rgb="001F4E78"/>
      </patternFill>
    </fill>
    <fill>
      <patternFill patternType="solid">
        <fgColor rgb="00FFFF00"/>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8">
    <xf numFmtId="0" fontId="0" fillId="0" borderId="0" pivotButton="0" quotePrefix="0" xfId="0"/>
    <xf numFmtId="0" fontId="1" fillId="0" borderId="0" pivotButton="0" quotePrefix="0" xfId="0"/>
    <xf numFmtId="0" fontId="9" fillId="0" borderId="0" pivotButton="0" quotePrefix="0" xfId="0"/>
    <xf numFmtId="0" fontId="10" fillId="0" borderId="0" pivotButton="0" quotePrefix="0" xfId="0"/>
    <xf numFmtId="0" fontId="11" fillId="3" borderId="0" pivotButton="0" quotePrefix="0" xfId="0"/>
    <xf numFmtId="0" fontId="12" fillId="0" borderId="0" pivotButton="0" quotePrefix="0" xfId="0"/>
    <xf numFmtId="0" fontId="3" fillId="2" borderId="0" applyAlignment="1" pivotButton="0" quotePrefix="0" xfId="0">
      <alignment horizontal="center"/>
    </xf>
    <xf numFmtId="0" fontId="5" fillId="0" borderId="0" pivotButton="0" quotePrefix="0" xfId="0"/>
    <xf numFmtId="0" fontId="4" fillId="0" borderId="0" pivotButton="0" quotePrefix="0" xfId="0"/>
    <xf numFmtId="0" fontId="2" fillId="0" borderId="0" pivotButton="0" quotePrefix="0" xfId="0"/>
    <xf numFmtId="0" fontId="3" fillId="2" borderId="0" applyAlignment="1" pivotButton="0" quotePrefix="0" xfId="0">
      <alignment horizontal="center" vertical="center" wrapText="1"/>
    </xf>
    <xf numFmtId="0" fontId="4" fillId="0" borderId="1" applyAlignment="1" pivotButton="0" quotePrefix="0" xfId="0">
      <alignment vertical="top" wrapText="1"/>
    </xf>
    <xf numFmtId="0" fontId="5" fillId="0" borderId="1" applyAlignment="1" pivotButton="0" quotePrefix="0" xfId="0">
      <alignment horizontal="center" vertical="top" wrapText="1"/>
    </xf>
    <xf numFmtId="0" fontId="4" fillId="0" borderId="1" applyAlignment="1" pivotButton="0" quotePrefix="0" xfId="0">
      <alignment horizontal="center" vertical="top" wrapText="1"/>
    </xf>
    <xf numFmtId="0" fontId="6" fillId="0" borderId="1" applyAlignment="1" pivotButton="0" quotePrefix="0" xfId="0">
      <alignment vertical="top" wrapText="1"/>
    </xf>
    <xf numFmtId="0" fontId="4" fillId="0" borderId="1" applyAlignment="1" pivotButton="0" quotePrefix="0" xfId="0">
      <alignment horizontal="center" vertical="top"/>
    </xf>
    <xf numFmtId="0" fontId="7" fillId="0" borderId="1" applyAlignment="1" pivotButton="0" quotePrefix="0" xfId="0">
      <alignment horizontal="center" vertical="top" wrapText="1"/>
    </xf>
    <xf numFmtId="0" fontId="8" fillId="0" borderId="1" applyAlignment="1" pivotButton="0" quotePrefix="0" xfId="0">
      <alignment horizontal="center" vertical="top"/>
    </xf>
  </cellXfs>
  <cellStyles count="1">
    <cellStyle name="Normal" xfId="0" builtinId="0" hidden="0"/>
  </cellStyles>
  <dxfs count="4">
    <dxf>
      <fill>
        <patternFill patternType="solid">
          <fgColor rgb="00C6EFCE"/>
        </patternFill>
      </fill>
    </dxf>
    <dxf>
      <fill>
        <patternFill patternType="solid">
          <fgColor rgb="00FFEB9C"/>
        </patternFill>
      </fill>
    </dxf>
    <dxf>
      <fill>
        <patternFill patternType="solid">
          <fgColor rgb="00DDEBF7"/>
        </patternFill>
      </fill>
    </dxf>
    <dxf>
      <fill>
        <patternFill patternType="solid">
          <fgColor rgb="00F2F2F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www.city.utsunomiya.lg.jp/_res/projects/default_project/_page_/001/035/885/chiikikeikaku.pdf" TargetMode="External" Id="rId1" /><Relationship Type="http://schemas.openxmlformats.org/officeDocument/2006/relationships/hyperlink" Target="https://www.city.utsunomiya.lg.jp/_res/projects/default_project/_page_/001/045/465/4ji_sasshi.pdf" TargetMode="External" Id="rId2" /><Relationship Type="http://schemas.openxmlformats.org/officeDocument/2006/relationships/hyperlink" Target="https://www.city.ashikaga.tochigi.jp/manage/contents/upload/64dc71a539bc0.pdf" TargetMode="External" Id="rId3" /><Relationship Type="http://schemas.openxmlformats.org/officeDocument/2006/relationships/hyperlink" Target="https://www.city.ashikaga.tochigi.jp/manage/contents/upload/633fd39cd506a.pdf" TargetMode="External" Id="rId4" /><Relationship Type="http://schemas.openxmlformats.org/officeDocument/2006/relationships/hyperlink" Target="https://www.city.tochigi.lg.jp/uploaded/attachment/56361.pdf" TargetMode="External" Id="rId5" /><Relationship Type="http://schemas.openxmlformats.org/officeDocument/2006/relationships/hyperlink" Target="https://www.city.tochigi.lg.jp/uploaded/attachment/60576.pdf" TargetMode="External" Id="rId6" /><Relationship Type="http://schemas.openxmlformats.org/officeDocument/2006/relationships/hyperlink" Target="https://www.city.sano.lg.jp/material/files/group/1/koutuukeikaku2.pdf" TargetMode="External" Id="rId7" /><Relationship Type="http://schemas.openxmlformats.org/officeDocument/2006/relationships/hyperlink" Target="https://www.city.sano.lg.jp/material/files/group/1/kankyoukouki2.pdf" TargetMode="External" Id="rId8" /><Relationship Type="http://schemas.openxmlformats.org/officeDocument/2006/relationships/hyperlink" Target="https://www.city.kanuma.tochigi.jp/manage/contents/upload/623824c0af645.pdf" TargetMode="External" Id="rId9" /><Relationship Type="http://schemas.openxmlformats.org/officeDocument/2006/relationships/hyperlink" Target="https://www.city.kanuma.tochigi.jp/0097/info-0000007871-1.html" TargetMode="External" Id="rId10" /><Relationship Type="http://schemas.openxmlformats.org/officeDocument/2006/relationships/hyperlink" Target="https://www.city.nikko.lg.jp/material/files/group/33/tiikikoukyoukoutuukeikaku.pdf" TargetMode="External" Id="rId11" /><Relationship Type="http://schemas.openxmlformats.org/officeDocument/2006/relationships/hyperlink" Target="https://www.city.nikko.lg.jp/soshiki/6/1031/5/1/1/125.html" TargetMode="External" Id="rId12" /><Relationship Type="http://schemas.openxmlformats.org/officeDocument/2006/relationships/hyperlink" Target="https://www.city.oyama.tochigi.jp/o-bus/news/page011195.html" TargetMode="External" Id="rId13" /><Relationship Type="http://schemas.openxmlformats.org/officeDocument/2006/relationships/hyperlink" Target="https://www.city.oyama.tochigi.jp/data/doc/1700382745_doc_21_0.pdf" TargetMode="External" Id="rId14" /><Relationship Type="http://schemas.openxmlformats.org/officeDocument/2006/relationships/hyperlink" Target="https://www.city.moka.lg.jp/material/files/group/47/kotsu_plan_r8.pdf" TargetMode="External" Id="rId15" /><Relationship Type="http://schemas.openxmlformats.org/officeDocument/2006/relationships/hyperlink" Target="https://www.city.moka.lg.jp/material/files/group/22/20260416kankyougaiyouban.pdf" TargetMode="External" Id="rId16" /><Relationship Type="http://schemas.openxmlformats.org/officeDocument/2006/relationships/hyperlink" Target="https://www.city.ohtawara.tochigi.jp/docs/2026073100056" TargetMode="External" Id="rId17" /><Relationship Type="http://schemas.openxmlformats.org/officeDocument/2006/relationships/hyperlink" Target="https://www.city.ohtawara.tochigi.jp/docs/2026013000019" TargetMode="External" Id="rId18" /><Relationship Type="http://schemas.openxmlformats.org/officeDocument/2006/relationships/hyperlink" Target="https://www.city.yaita.tochigi.jp/soshiki/toshiseibi/koukyoukoutsu-plan.html" TargetMode="External" Id="rId19" /><Relationship Type="http://schemas.openxmlformats.org/officeDocument/2006/relationships/hyperlink" Target="https://www.city.yaita.tochigi.jp/soshiki/seikatsukankyou/kankyo-kihon.html" TargetMode="External" Id="rId20" /><Relationship Type="http://schemas.openxmlformats.org/officeDocument/2006/relationships/hyperlink" Target="https://www.city.nasushiobara.tochigi.jp/material/files/group/15/nasushiobaracity_2nd_publictransportation.pdf" TargetMode="External" Id="rId21" /><Relationship Type="http://schemas.openxmlformats.org/officeDocument/2006/relationships/hyperlink" Target="https://www.city.nasushiobara.tochigi.jp/material/files/group/13/dai2ki_kankyokihonkeikaku_an.pdf" TargetMode="External" Id="rId22" /><Relationship Type="http://schemas.openxmlformats.org/officeDocument/2006/relationships/hyperlink" Target="https://www.city.tochigi-sakura.lg.jp/life/000017/p003140.html" TargetMode="External" Id="rId23" /><Relationship Type="http://schemas.openxmlformats.org/officeDocument/2006/relationships/hyperlink" Target="https://www.city.tochigi-sakura.lg.jp/life/000014/000121/000403/p001957.html" TargetMode="External" Id="rId24" /><Relationship Type="http://schemas.openxmlformats.org/officeDocument/2006/relationships/hyperlink" Target="https://www.city.nasukarasuyama.lg.jp/page/page000722.html" TargetMode="External" Id="rId25" /><Relationship Type="http://schemas.openxmlformats.org/officeDocument/2006/relationships/hyperlink" Target="https://www.city.nasukarasuyama.lg.jp/page/page000773.html" TargetMode="External" Id="rId26" /><Relationship Type="http://schemas.openxmlformats.org/officeDocument/2006/relationships/hyperlink" Target="https://www.city.shimotsuke.lg.jp/0170/info-0000005122-3.html" TargetMode="External" Id="rId27" /><Relationship Type="http://schemas.openxmlformats.org/officeDocument/2006/relationships/hyperlink" Target="https://www.city.shimotsuke.lg.jp/office0109/section-3.html" TargetMode="External" Id="rId28" /><Relationship Type="http://schemas.openxmlformats.org/officeDocument/2006/relationships/hyperlink" Target="https://www.town.kaminokawa.lg.jp/0166/info-0000001338-0.html" TargetMode="External" Id="rId29" /><Relationship Type="http://schemas.openxmlformats.org/officeDocument/2006/relationships/hyperlink" Target="https://www.town.kaminokawa.lg.jp/0003/info-0000003247-0.html" TargetMode="External" Id="rId30" /><Relationship Type="http://schemas.openxmlformats.org/officeDocument/2006/relationships/hyperlink" Target="https://www.town.mashiko.lg.jp/page/page003396.html" TargetMode="External" Id="rId31" /><Relationship Type="http://schemas.openxmlformats.org/officeDocument/2006/relationships/hyperlink" Target="https://www.town.mashiko.lg.jp/page/page000467.html" TargetMode="External" Id="rId32" /><Relationship Type="http://schemas.openxmlformats.org/officeDocument/2006/relationships/hyperlink" Target="https://www.town.motegi.tochigi.jp/motegi/nextpage.php?cd=6374&amp;syurui=2" TargetMode="External" Id="rId33" /><Relationship Type="http://schemas.openxmlformats.org/officeDocument/2006/relationships/hyperlink" Target="https://www.town.motegi.tochigi.jp/motegi/nextpage.php?cd=7672&amp;syurui=2" TargetMode="External" Id="rId34" /><Relationship Type="http://schemas.openxmlformats.org/officeDocument/2006/relationships/hyperlink" Target="https://www.town.ichikai.tochigi.jp/info/785" TargetMode="External" Id="rId35" /><Relationship Type="http://schemas.openxmlformats.org/officeDocument/2006/relationships/hyperlink" Target="https://www.town.ichikai.tochigi.jp/info/1814" TargetMode="External" Id="rId36" /><Relationship Type="http://schemas.openxmlformats.org/officeDocument/2006/relationships/hyperlink" Target="https://www.town.tochigi-haga.lg.jp/kurashi/sekatsu/kokyokotsu/koukyoukoutsuu/koukyoukoutsuu6.html" TargetMode="External" Id="rId37" /><Relationship Type="http://schemas.openxmlformats.org/officeDocument/2006/relationships/hyperlink" Target="https://www.town.tochigi-haga.lg.jp/kurashi/kurashi/ka-bonnyu-toraru/documents/jitugennkeikaku1.pdf" TargetMode="External" Id="rId38" /><Relationship Type="http://schemas.openxmlformats.org/officeDocument/2006/relationships/hyperlink" Target="https://www.town.mibu.tochigi.jp/docs/2026042000042" TargetMode="External" Id="rId39" /><Relationship Type="http://schemas.openxmlformats.org/officeDocument/2006/relationships/hyperlink" Target="https://www.town.mibu.tochigi.jp/docs/2025032700030/file_contents/mibumachikankyokihonkeikaku.pdf" TargetMode="External" Id="rId40" /><Relationship Type="http://schemas.openxmlformats.org/officeDocument/2006/relationships/hyperlink" Target="https://www.town.nogi.lg.jp/cyousei/cyousei_jyouhou/keikaku/keikaku_toshiseibi/page005745.html" TargetMode="External" Id="rId41" /><Relationship Type="http://schemas.openxmlformats.org/officeDocument/2006/relationships/hyperlink" Target="https://www.town.nogi.lg.jp/kurashi/kankyou/ondanka/hojo/" TargetMode="External" Id="rId42" /><Relationship Type="http://schemas.openxmlformats.org/officeDocument/2006/relationships/hyperlink" Target="https://www.town.shioya.tochigi.jp/info/2531" TargetMode="External" Id="rId43" /><Relationship Type="http://schemas.openxmlformats.org/officeDocument/2006/relationships/hyperlink" Target="https://www.town.shioya.tochigi.jp/info/2490" TargetMode="External" Id="rId44" /><Relationship Type="http://schemas.openxmlformats.org/officeDocument/2006/relationships/hyperlink" Target="https://www.town.takanezawa.tochigi.jp/gyosei/plan/bunya/documents/202604koutsukeikaku.pdf" TargetMode="External" Id="rId45" /><Relationship Type="http://schemas.openxmlformats.org/officeDocument/2006/relationships/hyperlink" Target="https://www.town.takanezawa.tochigi.jp/life/kankyo/keikaku/documents/kankyoukihon2026gaiyou.pdf" TargetMode="External" Id="rId46" /><Relationship Type="http://schemas.openxmlformats.org/officeDocument/2006/relationships/hyperlink" Target="https://www.town.nasu.lg.jp/manage/contents/upload/6243b2b07f368.pdf" TargetMode="External" Id="rId47" /><Relationship Type="http://schemas.openxmlformats.org/officeDocument/2006/relationships/hyperlink" Target="http://www.town.nasu.lg.jp/0076/info-0000004347-1.html" TargetMode="External" Id="rId48" /><Relationship Type="http://schemas.openxmlformats.org/officeDocument/2006/relationships/hyperlink" Target="https://www.city.nasushiobara.tochigi.jp/soshikikarasagasu/kb/shinoseisakutokeikaku/1/5504.html" TargetMode="External" Id="rId49" /><Relationship Type="http://schemas.openxmlformats.org/officeDocument/2006/relationships/hyperlink" Target="https://www.town.tochigi-nakagawa.lg.jp/35kankyo/01keikaku/index.html" TargetMode="External" Id="rId50" /></Relationships>
</file>

<file path=xl/worksheets/_rels/sheet3.xml.rels><Relationships xmlns="http://schemas.openxmlformats.org/package/2006/relationships"><Relationship Type="http://schemas.openxmlformats.org/officeDocument/2006/relationships/hyperlink" Target="https://www.city.mito.lg.jp/page/117784.html" TargetMode="External" Id="rId1" /><Relationship Type="http://schemas.openxmlformats.org/officeDocument/2006/relationships/hyperlink" Target="https://www.city.mito.lg.jp/page/3982.html" TargetMode="External" Id="rId2" /><Relationship Type="http://schemas.openxmlformats.org/officeDocument/2006/relationships/hyperlink" Target="https://www.city.hitachi.lg.jp/machizukuri_kankyo/kotsu_doro/1002832/1012175.html" TargetMode="External" Id="rId3" /><Relationship Type="http://schemas.openxmlformats.org/officeDocument/2006/relationships/hyperlink" Target="https://www.city.hitachi.lg.jp/_res/projects/default_project/_page_/001/011/987/keikakuhonpen.pdf" TargetMode="External" Id="rId4" /><Relationship Type="http://schemas.openxmlformats.org/officeDocument/2006/relationships/hyperlink" Target="https://www.city.tsuchiura.lg.jp/page/page009677.html" TargetMode="External" Id="rId5" /><Relationship Type="http://schemas.openxmlformats.org/officeDocument/2006/relationships/hyperlink" Target="https://www.city.tsuchiura.lg.jp/shisei/shinokeikaku/kankyo-kotsu-machizukuri/page017189.html" TargetMode="External" Id="rId6" /><Relationship Type="http://schemas.openxmlformats.org/officeDocument/2006/relationships/hyperlink" Target="https://www.city.kitaibaraki.lg.jp/docs/2024013000015" TargetMode="External" Id="rId7" /><Relationship Type="http://schemas.openxmlformats.org/officeDocument/2006/relationships/hyperlink" Target="https://cms.city.kitaibaraki.lg.jp/docs/2025060500022/file_contents/file_20256113161234_1.pdf" TargetMode="External" Id="rId8" /><Relationship Type="http://schemas.openxmlformats.org/officeDocument/2006/relationships/hyperlink" Target="https://www.city.kasama.lg.jp/data/doc/1758843883_doc_70_0.pdf" TargetMode="External" Id="rId9" /><Relationship Type="http://schemas.openxmlformats.org/officeDocument/2006/relationships/hyperlink" Target="https://www.city.kasama.lg.jp/data/doc/1774510801_doc_207_0.pdf" TargetMode="External" Id="rId10" /><Relationship Type="http://schemas.openxmlformats.org/officeDocument/2006/relationships/hyperlink" Target="https://www.city.toride.ibaraki.jp/seisaku/shise/machizukuri/sogo/plan2024/kanrenkeikaku.html" TargetMode="External" Id="rId11" /><Relationship Type="http://schemas.openxmlformats.org/officeDocument/2006/relationships/hyperlink" Target="https://www.city.toride.ibaraki.jp/seisaku/shise/machizukuri/sogo/plan2024/documents/33dai2jikannkyoukihonkeikaku.pdf" TargetMode="External" Id="rId12" /><Relationship Type="http://schemas.openxmlformats.org/officeDocument/2006/relationships/hyperlink" Target="https://www.city.ushiku.lg.jp/kurashi-tetsuduki/seikatsu/kokyokotsu/page014651.html" TargetMode="External" Id="rId13" /><Relationship Type="http://schemas.openxmlformats.org/officeDocument/2006/relationships/hyperlink" Target="https://www.city.ushiku.lg.jp/page/page002088.html" TargetMode="External" Id="rId14" /><Relationship Type="http://schemas.openxmlformats.org/officeDocument/2006/relationships/hyperlink" Target="https://www.city.chikusei.lg.jp/machidukuri/traffic/page009177.html" TargetMode="External" Id="rId15" /><Relationship Type="http://schemas.openxmlformats.org/officeDocument/2006/relationships/hyperlink" Target="https://www.city.bando.lg.jp/page/page006076.html" TargetMode="External" Id="rId16" /><Relationship Type="http://schemas.openxmlformats.org/officeDocument/2006/relationships/hyperlink" Target="https://www.city.bando.lg.jp/page/page010074.html" TargetMode="External" Id="rId17" /><Relationship Type="http://schemas.openxmlformats.org/officeDocument/2006/relationships/hyperlink" Target="https://www.city.inashiki.lg.jp/page/page004756.html" TargetMode="External" Id="rId18" /><Relationship Type="http://schemas.openxmlformats.org/officeDocument/2006/relationships/hyperlink" Target="https://www.city.inashiki.lg.jp/page/page007577.html" TargetMode="External" Id="rId19" /><Relationship Type="http://schemas.openxmlformats.org/officeDocument/2006/relationships/hyperlink" Target="https://www.town.oarai.lg.jp/wp/wp-content/uploads/2023/07/%E5%A4%A7%E6%B4%97%E7%94%BA%E5%9C%B0%E5%9F%9F%E5%85%AC%E5%85%B1%E4%BA%A4%E9%80%9A%E8%A8%88%E7%94%BB.pdf" TargetMode="External" Id="rId20" /><Relationship Type="http://schemas.openxmlformats.org/officeDocument/2006/relationships/hyperlink" Target="https://www.town.oarai.lg.jp/wp/wp-content/uploads/2021/03/%E7%AC%AC2%E6%AC%A1%E5%A4%A7%E6%B4%97%E7%94%BA%E7%92%B0%E5%A2%83%E5%9F%BA%E6%9C%AC%E8%A8%88%E7%94%BB%EF%BC%88PDF%EF%BC%89.pdf" TargetMode="External" Id="rId21" /><Relationship Type="http://schemas.openxmlformats.org/officeDocument/2006/relationships/hyperlink" Target="https://www.town.shirosato.lg.jp/page/page006784.html" TargetMode="External" Id="rId22" /><Relationship Type="http://schemas.openxmlformats.org/officeDocument/2006/relationships/hyperlink" Target="https://www.town.shirosato.lg.jp/data/doc/1630301878_doc_711_0.pdf" TargetMode="External" Id="rId23" /><Relationship Type="http://schemas.openxmlformats.org/officeDocument/2006/relationships/hyperlink" Target="https://www.vill.tokai.ibaraki.jp/soshikikarasagasu/sangyobu/sangyoseisakuka/1/1_2/2/5673.html" TargetMode="External" Id="rId24" /><Relationship Type="http://schemas.openxmlformats.org/officeDocument/2006/relationships/hyperlink" Target="https://www.vill.tokai.ibaraki.jp/soshikikarasagasu/somminseikatsubu/kankyoseisakuka/1/1/4/11386.html" TargetMode="External" Id="rId25" /></Relationships>
</file>

<file path=xl/worksheets/_rels/sheet4.xml.rels><Relationships xmlns="http://schemas.openxmlformats.org/package/2006/relationships"><Relationship Type="http://schemas.openxmlformats.org/officeDocument/2006/relationships/hyperlink" Target="https://www.city.fukushima.fukushima.jp/material/files/group/62/40koutuukeikaku-honnpenn1.pdf" TargetMode="External" Id="rId1" /><Relationship Type="http://schemas.openxmlformats.org/officeDocument/2006/relationships/hyperlink" Target="https://www.city.fukushima.fukushima.jp/material/files/group/36/02_r6_kannkyoukihonnkeikaku.pdf" TargetMode="External" Id="rId2" /><Relationship Type="http://schemas.openxmlformats.org/officeDocument/2006/relationships/hyperlink" Target="https://www.pref.fukushima.lg.jp/sec/16005d/aizukenikimoukeikaku.html" TargetMode="External" Id="rId3" /><Relationship Type="http://schemas.openxmlformats.org/officeDocument/2006/relationships/hyperlink" Target="https://www.city.aizuwakamatsu.fukushima.jp/docs/2024050800012/" TargetMode="External" Id="rId4" /><Relationship Type="http://schemas.openxmlformats.org/officeDocument/2006/relationships/hyperlink" Target="https://www.city.koriyama.lg.jp/soshiki/125/68026.html" TargetMode="External" Id="rId5" /><Relationship Type="http://schemas.openxmlformats.org/officeDocument/2006/relationships/hyperlink" Target="https://www.city.koriyama.lg.jp/uploaded/attachment/76651.pdf" TargetMode="External" Id="rId6" /><Relationship Type="http://schemas.openxmlformats.org/officeDocument/2006/relationships/hyperlink" Target="https://www.pref.fukushima.lg.jp/sec/16005d/aizukenikimoukeikaku.html" TargetMode="External" Id="rId7" /><Relationship Type="http://schemas.openxmlformats.org/officeDocument/2006/relationships/hyperlink" Target="https://www.city.motomiya.lg.jp/soshiki/10/tiikikoukyoukoutsuukeikaku.html" TargetMode="External" Id="rId8" /><Relationship Type="http://schemas.openxmlformats.org/officeDocument/2006/relationships/hyperlink" Target="https://www.vill.otama.fukushima.jp/gyousei_jouhou/keikaku/" TargetMode="External" Id="rId9" /><Relationship Type="http://schemas.openxmlformats.org/officeDocument/2006/relationships/hyperlink" Target="https://www.town.minamiaizu.lg.jp/official/soshikikarasagasu/sogoseisakuka/kakushukeikaku/1/3114.html" TargetMode="External" Id="rId10" /><Relationship Type="http://schemas.openxmlformats.org/officeDocument/2006/relationships/hyperlink" Target="https://www.town.minamiaizu.lg.jp/official/soshikikarasagasu/kankyosuidoka/kakushukeikaku/1/450.html" TargetMode="External" Id="rId11" /><Relationship Type="http://schemas.openxmlformats.org/officeDocument/2006/relationships/hyperlink" Target="https://www.pref.fukushima.lg.jp/sec/16005d/aizukeniki-keikaku-ribenkeikaku.html" TargetMode="External" Id="rId12" /><Relationship Type="http://schemas.openxmlformats.org/officeDocument/2006/relationships/hyperlink" Target="https://www.pref.fukushima.lg.jp/sec/16005d/aizukeniki-keikaku-ribenkeikaku.html" TargetMode="External" Id="rId13" /><Relationship Type="http://schemas.openxmlformats.org/officeDocument/2006/relationships/hyperlink" Target="https://www.pref.fukushima.lg.jp/sec/16005d/aizukeniki-keikaku-ribenkeikaku.html" TargetMode="External" Id="rId14" /><Relationship Type="http://schemas.openxmlformats.org/officeDocument/2006/relationships/hyperlink" Target="https://www.pref.fukushima.lg.jp/sec/16005d/aizukeniki-keikaku-ribenkeikaku.html" TargetMode="External" Id="rId15" /><Relationship Type="http://schemas.openxmlformats.org/officeDocument/2006/relationships/hyperlink" Target="https://www.vill.nishigo.fukushima.jp/material/files/group/3/koutsuukeikaku_soan_2026.pdf" TargetMode="External" Id="rId16" /><Relationship Type="http://schemas.openxmlformats.org/officeDocument/2006/relationships/hyperlink" Target="https://www.vill.nishigo.fukushima.jp/soshiki/kankyohozenka/kankyo_gomi/2/4547.html" TargetMode="External" Id="rId17" /><Relationship Type="http://schemas.openxmlformats.org/officeDocument/2006/relationships/hyperlink" Target="https://www.pref.fukushima.lg.jp/uploaded/attachment/622613.pdf" TargetMode="External" Id="rId18" /><Relationship Type="http://schemas.openxmlformats.org/officeDocument/2006/relationships/hyperlink" Target="https://www.pref.fukushima.lg.jp/uploaded/attachment/622613.pdf" TargetMode="External" Id="rId19" /><Relationship Type="http://schemas.openxmlformats.org/officeDocument/2006/relationships/hyperlink" Target="https://www.town.yabuki.fukushima.jp/page/page009573.html" TargetMode="External" Id="rId20" /><Relationship Type="http://schemas.openxmlformats.org/officeDocument/2006/relationships/hyperlink" Target="https://www.pref.fukushima.lg.jp/uploaded/attachment/622613.pdf" TargetMode="External" Id="rId21" /><Relationship Type="http://schemas.openxmlformats.org/officeDocument/2006/relationships/hyperlink" Target="https://www.town.tanagura.fukushima.jp/page/page001917.html" TargetMode="External" Id="rId22" /><Relationship Type="http://schemas.openxmlformats.org/officeDocument/2006/relationships/hyperlink" Target="https://www.pref.fukushima.lg.jp/uploaded/attachment/622613.pdf" TargetMode="External" Id="rId23" /><Relationship Type="http://schemas.openxmlformats.org/officeDocument/2006/relationships/hyperlink" Target="https://www.pref.fukushima.lg.jp/uploaded/attachment/622613.pdf" TargetMode="External" Id="rId24" /><Relationship Type="http://schemas.openxmlformats.org/officeDocument/2006/relationships/hyperlink" Target="https://www.vill.samegawa.fukushima.jp/sp/page/page002592.html" TargetMode="External" Id="rId25" /><Relationship Type="http://schemas.openxmlformats.org/officeDocument/2006/relationships/hyperlink" Target="https://www.town.ishikawa.fukushima.jp/admin/project/03/24.html" TargetMode="External" Id="rId26" /><Relationship Type="http://schemas.openxmlformats.org/officeDocument/2006/relationships/hyperlink" Target="https://www.pref.fukushima.lg.jp/uploaded/attachment/622613.pdf" TargetMode="External" Id="rId27" /><Relationship Type="http://schemas.openxmlformats.org/officeDocument/2006/relationships/hyperlink" Target="https://www.pref.fukushima.lg.jp/uploaded/attachment/622613.pdf" TargetMode="External" Id="rId28" /><Relationship Type="http://schemas.openxmlformats.org/officeDocument/2006/relationships/hyperlink" Target="https://www.pref.fukushima.lg.jp/uploaded/attachment/622613.pdf" TargetMode="External" Id="rId29" /><Relationship Type="http://schemas.openxmlformats.org/officeDocument/2006/relationships/hyperlink" Target="https://www.pref.fukushima.lg.jp/uploaded/attachment/622613.pdf" TargetMode="External" Id="rId30" /><Relationship Type="http://schemas.openxmlformats.org/officeDocument/2006/relationships/hyperlink" Target="https://www.pref.fukushima.lg.jp/sec/16005d/chiikikoukyoukasseikakyougikai.html" TargetMode="External" Id="rId31" /><Relationship Type="http://schemas.openxmlformats.org/officeDocument/2006/relationships/hyperlink" Target="https://www.pref.fukushima.lg.jp/sec/16005d/chiikikoukyoukasseikakyougikai.html" TargetMode="External" Id="rId32" /><Relationship Type="http://schemas.openxmlformats.org/officeDocument/2006/relationships/hyperlink" Target="https://www.pref.fukushima.lg.jp/sec/16005d/hinan-koutsuu-keikaku.html" TargetMode="External" Id="rId33" /><Relationship Type="http://schemas.openxmlformats.org/officeDocument/2006/relationships/hyperlink" Target="https://www.town.hirono.fukushima.jp/chousei/machidukuri/1003877/1005075.html" TargetMode="External" Id="rId34" /><Relationship Type="http://schemas.openxmlformats.org/officeDocument/2006/relationships/hyperlink" Target="https://www.pref.fukushima.lg.jp/sec/16005d/hinan-koutsuu-keikaku.html" TargetMode="External" Id="rId35" /><Relationship Type="http://schemas.openxmlformats.org/officeDocument/2006/relationships/hyperlink" Target="https://www.pref.fukushima.lg.jp/sec/16005d/hinan-koutsuu-keikaku.html" TargetMode="External" Id="rId36" /><Relationship Type="http://schemas.openxmlformats.org/officeDocument/2006/relationships/hyperlink" Target="https://www.pref.fukushima.lg.jp/sec/16005d/hinan-koutsuu-keikaku.html" TargetMode="External" Id="rId37" /><Relationship Type="http://schemas.openxmlformats.org/officeDocument/2006/relationships/hyperlink" Target="https://www.pref.fukushima.lg.jp/sec/16005d/hinan-koutsuu-keikaku.html" TargetMode="External" Id="rId38" /><Relationship Type="http://schemas.openxmlformats.org/officeDocument/2006/relationships/hyperlink" Target="https://www.pref.fukushima.lg.jp/sec/16005d/hinan-koutsuu-keikaku.html" TargetMode="External" Id="rId39" /><Relationship Type="http://schemas.openxmlformats.org/officeDocument/2006/relationships/hyperlink" Target="https://www.pref.fukushima.lg.jp/sec/16005d/hinan-koutsuu-keikaku.html" TargetMode="External" Id="rId40" /><Relationship Type="http://schemas.openxmlformats.org/officeDocument/2006/relationships/hyperlink" Target="https://www.pref.fukushima.lg.jp/sec/16005d/hinan-koutsuu-keikaku.html" TargetMode="External" Id="rId41" /><Relationship Type="http://schemas.openxmlformats.org/officeDocument/2006/relationships/hyperlink" Target="https://www.pref.fukushima.lg.jp/sec/16005d/chiikikoukyoukasseikakyougikai.html" TargetMode="External" Id="rId42" /><Relationship Type="http://schemas.openxmlformats.org/officeDocument/2006/relationships/hyperlink" Target="https://www.pref.fukushima.lg.jp/sec/16005d/hinan-koutsuu-keikaku.html" TargetMode="External" Id="rId43" /></Relationships>
</file>

<file path=xl/worksheets/_rels/sheet5.xml.rels><Relationships xmlns="http://schemas.openxmlformats.org/package/2006/relationships"><Relationship Type="http://schemas.openxmlformats.org/officeDocument/2006/relationships/hyperlink" Target="https://www.city.aomori.aomori.jp/somu/shiseijouhou/jyouhou-koukai/tyougi/documents/tiikikoutuumoukeikaku.pdf" TargetMode="External" Id="rId1" /><Relationship Type="http://schemas.openxmlformats.org/officeDocument/2006/relationships/hyperlink" Target="https://www.city.aomori.aomori.jp/_res/projects/default_project/_page_/001/011/090/05_080722siryou3.pdf" TargetMode="External" Id="rId2" /><Relationship Type="http://schemas.openxmlformats.org/officeDocument/2006/relationships/hyperlink" Target="https://www.city.hirosaki.aomori.jp/jouhou/keikaku/kokyokotu/kotsukeikaku.pdf" TargetMode="External" Id="rId3" /><Relationship Type="http://schemas.openxmlformats.org/officeDocument/2006/relationships/hyperlink" Target="https://www.city.hirosaki.aomori.jp/jouhou/keikaku/2021-0401-kankyoukihon.html" TargetMode="External" Id="rId4" /><Relationship Type="http://schemas.openxmlformats.org/officeDocument/2006/relationships/hyperlink" Target="https://wwwtb.mlit.go.jp/tohoku/content/000181287.pdf" TargetMode="External" Id="rId5" /><Relationship Type="http://schemas.openxmlformats.org/officeDocument/2006/relationships/hyperlink" Target="https://www.city.hachinohe.aomori.jp/gyoseijoho/keikaku_plan/kurashi_tetsuzuki/1/1/7959.html" TargetMode="External" Id="rId6" /><Relationship Type="http://schemas.openxmlformats.org/officeDocument/2006/relationships/hyperlink" Target="https://www.town.sotogahama.lg.jp/gyosei/public/2024-0227-tiikikoukyokoutukeikaku_pabukome.html" TargetMode="External" Id="rId7" /><Relationship Type="http://schemas.openxmlformats.org/officeDocument/2006/relationships/hyperlink" Target="http://www.town.owani.lg.jp/aboutowani/plan/kokyo-kotsu.html" TargetMode="External" Id="rId8" /><Relationship Type="http://schemas.openxmlformats.org/officeDocument/2006/relationships/hyperlink" Target="https://www.town.shichinohe.lg.jp/gyosei/keikaku/kurashi/post-197.html" TargetMode="External" Id="rId9" /><Relationship Type="http://schemas.openxmlformats.org/officeDocument/2006/relationships/hyperlink" Target="https://www.rokkasho.jp/index.cfm/14,19918,c,html/19918/20250620-120455.pdf" TargetMode="External" Id="rId10" /><Relationship Type="http://schemas.openxmlformats.org/officeDocument/2006/relationships/hyperlink" Target="https://www.city.hachinohe.aomori.jp/section/public_transport/" TargetMode="External" Id="rId11" /><Relationship Type="http://schemas.openxmlformats.org/officeDocument/2006/relationships/hyperlink" Target="https://www.city.mutsu.lg.jp/government/katsudou/kyoudou/files/simokitatiikikoukyoukoutuukeikakusoann.pdf" TargetMode="External" Id="rId12" /><Relationship Type="http://schemas.openxmlformats.org/officeDocument/2006/relationships/hyperlink" Target="https://www.city.mutsu.lg.jp/government/katsudou/kyoudou/files/simokitatiikikoukyoukoutuukeikakusoann.pdf" TargetMode="External" Id="rId13" /><Relationship Type="http://schemas.openxmlformats.org/officeDocument/2006/relationships/hyperlink" Target="https://www.city.mutsu.lg.jp/government/katsudou/kyoudou/files/simokitatiikikoukyoukoutuukeikakusoann.pdf" TargetMode="External" Id="rId14" /><Relationship Type="http://schemas.openxmlformats.org/officeDocument/2006/relationships/hyperlink" Target="https://www.city.mutsu.lg.jp/government/katsudou/kyoudou/files/simokitatiikikoukyoukoutuukeikakusoann.pdf" TargetMode="External" Id="rId15" /><Relationship Type="http://schemas.openxmlformats.org/officeDocument/2006/relationships/hyperlink" Target="https://www.city.hachinohe.aomori.jp/section/public_transport/" TargetMode="External" Id="rId16" /><Relationship Type="http://schemas.openxmlformats.org/officeDocument/2006/relationships/hyperlink" Target="https://www.city.hachinohe.aomori.jp/section/public_transport/" TargetMode="External" Id="rId17" /><Relationship Type="http://schemas.openxmlformats.org/officeDocument/2006/relationships/hyperlink" Target="https://www.city.hachinohe.aomori.jp/section/public_transport/" TargetMode="External" Id="rId18" /><Relationship Type="http://schemas.openxmlformats.org/officeDocument/2006/relationships/hyperlink" Target="https://www.city.hachinohe.aomori.jp/section/public_transport/" TargetMode="External" Id="rId19" /><Relationship Type="http://schemas.openxmlformats.org/officeDocument/2006/relationships/hyperlink" Target="https://www.city.hachinohe.aomori.jp/section/public_transport/" TargetMode="External" Id="rId20" /><Relationship Type="http://schemas.openxmlformats.org/officeDocument/2006/relationships/hyperlink" Target="https://www.city.hachinohe.aomori.jp/section/public_transport/" TargetMode="External" Id="rId21" /></Relationships>
</file>

<file path=xl/worksheets/sheet1.xml><?xml version="1.0" encoding="utf-8"?>
<worksheet xmlns="http://schemas.openxmlformats.org/spreadsheetml/2006/main">
  <sheetPr>
    <outlinePr summaryBelow="1" summaryRight="1"/>
    <pageSetUpPr/>
  </sheetPr>
  <dimension ref="A1:I30"/>
  <sheetViews>
    <sheetView workbookViewId="0">
      <selection activeCell="A1" sqref="A1"/>
    </sheetView>
  </sheetViews>
  <sheetFormatPr baseColWidth="8" defaultRowHeight="15"/>
  <cols>
    <col width="4" customWidth="1" min="1" max="1"/>
    <col width="12" customWidth="1" min="2" max="2"/>
    <col width="10" customWidth="1" min="3" max="3"/>
    <col width="12" customWidth="1" min="4" max="4"/>
    <col width="18" customWidth="1" min="5" max="5"/>
    <col width="16" customWidth="1" min="6" max="6"/>
    <col width="12" customWidth="1" min="7" max="7"/>
    <col width="10" customWidth="1" min="8" max="8"/>
    <col width="14" customWidth="1" min="9" max="9"/>
  </cols>
  <sheetData>
    <row r="1">
      <c r="A1" s="1" t="inlineStr">
        <is>
          <t>自治体 地域公共交通計画・環境基本計画 終期一覧　集計・設定</t>
        </is>
      </c>
    </row>
    <row r="3">
      <c r="A3" s="2" t="inlineStr">
        <is>
          <t>■ 営業対象とする終期（令和年度）</t>
        </is>
      </c>
    </row>
    <row r="4">
      <c r="B4" s="3" t="inlineStr">
        <is>
          <t>下限</t>
        </is>
      </c>
      <c r="C4" s="4" t="n">
        <v>9</v>
      </c>
      <c r="D4" s="5" t="inlineStr">
        <is>
          <t>R8年度で終わる計画は作成中のため対象外（下限9）。数字を変えると全シートの判定が再計算されます。</t>
        </is>
      </c>
    </row>
    <row r="5">
      <c r="B5" s="3" t="inlineStr">
        <is>
          <t>上限</t>
        </is>
      </c>
      <c r="C5" s="4" t="n">
        <v>9</v>
      </c>
    </row>
    <row r="7">
      <c r="A7" s="2" t="inlineStr">
        <is>
          <t>■ 県別の集計</t>
        </is>
      </c>
    </row>
    <row r="8">
      <c r="B8" s="6" t="inlineStr">
        <is>
          <t>県</t>
        </is>
      </c>
      <c r="C8" s="6" t="inlineStr">
        <is>
          <t>市町村数</t>
        </is>
      </c>
      <c r="D8" s="6" t="inlineStr">
        <is>
          <t>◎ 営業</t>
        </is>
      </c>
      <c r="E8" s="6" t="inlineStr">
        <is>
          <t>△ 着手済・要確認</t>
        </is>
      </c>
      <c r="F8" s="6" t="inlineStr">
        <is>
          <t>？ 期間要確認</t>
        </is>
      </c>
      <c r="G8" s="6" t="inlineStr">
        <is>
          <t>✕ 対象外</t>
        </is>
      </c>
      <c r="H8" s="6" t="inlineStr">
        <is>
          <t>未調査</t>
        </is>
      </c>
      <c r="I8" s="6" t="inlineStr">
        <is>
          <t>一部のみ調査</t>
        </is>
      </c>
    </row>
    <row r="9">
      <c r="B9" s="3" t="inlineStr">
        <is>
          <t>栃木県</t>
        </is>
      </c>
      <c r="C9" s="3">
        <f>COUNTA('栃木県'!$C$4:$C$28)</f>
        <v/>
      </c>
      <c r="D9" s="3">
        <f>COUNTIF('栃木県'!$C$4:$C$28,"◎ 営業")</f>
        <v/>
      </c>
      <c r="E9" s="3">
        <f>COUNTIF('栃木県'!$C$4:$C$28,"△ 着手済・要確認")</f>
        <v/>
      </c>
      <c r="F9" s="3">
        <f>COUNTIF('栃木県'!$C$4:$C$28,"？ 期間要確認")</f>
        <v/>
      </c>
      <c r="G9" s="3">
        <f>COUNTIF('栃木県'!$C$4:$C$28,"✕ 対象外")</f>
        <v/>
      </c>
      <c r="H9" s="3">
        <f>COUNTIF('栃木県'!$S$4:$S$28,"未調査")</f>
        <v/>
      </c>
      <c r="I9" s="3">
        <f>COUNTIF('栃木県'!$S$4:$S$28,"交通のみ調査")+COUNTIF('栃木県'!$S$4:$S$28,"環境のみ調査")</f>
        <v/>
      </c>
    </row>
    <row r="10">
      <c r="B10" s="3" t="inlineStr">
        <is>
          <t>茨城県</t>
        </is>
      </c>
      <c r="C10" s="3">
        <f>COUNTA('茨城県'!$C$4:$C$47)</f>
        <v/>
      </c>
      <c r="D10" s="3">
        <f>COUNTIF('茨城県'!$C$4:$C$47,"◎ 営業")</f>
        <v/>
      </c>
      <c r="E10" s="3">
        <f>COUNTIF('茨城県'!$C$4:$C$47,"△ 着手済・要確認")</f>
        <v/>
      </c>
      <c r="F10" s="3">
        <f>COUNTIF('茨城県'!$C$4:$C$47,"？ 期間要確認")</f>
        <v/>
      </c>
      <c r="G10" s="3">
        <f>COUNTIF('茨城県'!$C$4:$C$47,"✕ 対象外")</f>
        <v/>
      </c>
      <c r="H10" s="3">
        <f>COUNTIF('茨城県'!$S$4:$S$47,"未調査")</f>
        <v/>
      </c>
      <c r="I10" s="3">
        <f>COUNTIF('茨城県'!$S$4:$S$47,"交通のみ調査")+COUNTIF('茨城県'!$S$4:$S$47,"環境のみ調査")</f>
        <v/>
      </c>
    </row>
    <row r="11">
      <c r="B11" s="3" t="inlineStr">
        <is>
          <t>福島県</t>
        </is>
      </c>
      <c r="C11" s="3">
        <f>COUNTA('福島県'!$C$4:$C$62)</f>
        <v/>
      </c>
      <c r="D11" s="3">
        <f>COUNTIF('福島県'!$C$4:$C$62,"◎ 営業")</f>
        <v/>
      </c>
      <c r="E11" s="3">
        <f>COUNTIF('福島県'!$C$4:$C$62,"△ 着手済・要確認")</f>
        <v/>
      </c>
      <c r="F11" s="3">
        <f>COUNTIF('福島県'!$C$4:$C$62,"？ 期間要確認")</f>
        <v/>
      </c>
      <c r="G11" s="3">
        <f>COUNTIF('福島県'!$C$4:$C$62,"✕ 対象外")</f>
        <v/>
      </c>
      <c r="H11" s="3">
        <f>COUNTIF('福島県'!$S$4:$S$62,"未調査")</f>
        <v/>
      </c>
      <c r="I11" s="3">
        <f>COUNTIF('福島県'!$S$4:$S$62,"交通のみ調査")+COUNTIF('福島県'!$S$4:$S$62,"環境のみ調査")</f>
        <v/>
      </c>
    </row>
    <row r="12">
      <c r="B12" s="3" t="inlineStr">
        <is>
          <t>青森県</t>
        </is>
      </c>
      <c r="C12" s="3">
        <f>COUNTA('青森県'!$C$4:$C$43)</f>
        <v/>
      </c>
      <c r="D12" s="3">
        <f>COUNTIF('青森県'!$C$4:$C$43,"◎ 営業")</f>
        <v/>
      </c>
      <c r="E12" s="3">
        <f>COUNTIF('青森県'!$C$4:$C$43,"△ 着手済・要確認")</f>
        <v/>
      </c>
      <c r="F12" s="3">
        <f>COUNTIF('青森県'!$C$4:$C$43,"？ 期間要確認")</f>
        <v/>
      </c>
      <c r="G12" s="3">
        <f>COUNTIF('青森県'!$C$4:$C$43,"✕ 対象外")</f>
        <v/>
      </c>
      <c r="H12" s="3">
        <f>COUNTIF('青森県'!$S$4:$S$43,"未調査")</f>
        <v/>
      </c>
      <c r="I12" s="3">
        <f>COUNTIF('青森県'!$S$4:$S$43,"交通のみ調査")+COUNTIF('青森県'!$S$4:$S$43,"環境のみ調査")</f>
        <v/>
      </c>
    </row>
    <row r="13">
      <c r="B13" s="2" t="inlineStr">
        <is>
          <t>合計</t>
        </is>
      </c>
      <c r="C13" s="2">
        <f>SUM(C9:C12)</f>
        <v/>
      </c>
      <c r="D13" s="2">
        <f>SUM(D9:D12)</f>
        <v/>
      </c>
      <c r="E13" s="2">
        <f>SUM(E9:E12)</f>
        <v/>
      </c>
      <c r="F13" s="2">
        <f>SUM(F9:F12)</f>
        <v/>
      </c>
      <c r="G13" s="2">
        <f>SUM(G9:G12)</f>
        <v/>
      </c>
      <c r="H13" s="2">
        <f>SUM(H9:H12)</f>
        <v/>
      </c>
      <c r="I13" s="2">
        <f>SUM(I9:I12)</f>
        <v/>
      </c>
    </row>
    <row r="15">
      <c r="A15" s="7" t="inlineStr">
        <is>
          <t>■ 判定の見方</t>
        </is>
      </c>
    </row>
    <row r="16">
      <c r="A16" s="8" t="inlineStr">
        <is>
          <t>◎ 営業：どちらかの計画の終期が対象年度（初期値R9）で、次の計画の作業は見つかっていない</t>
        </is>
      </c>
    </row>
    <row r="17">
      <c r="A17" s="8" t="inlineStr">
        <is>
          <t>△ 着手済・要確認：終期は対象年度だが、次期計画の策定業務委託やパブコメをすでに確認済。委託先が決まっている可能性が高い</t>
        </is>
      </c>
    </row>
    <row r="18">
      <c r="A18" s="8" t="inlineStr">
        <is>
          <t>？ 期間要確認：終期がわからないため判定できない</t>
        </is>
      </c>
    </row>
    <row r="19">
      <c r="A19" s="8" t="inlineStr">
        <is>
          <t>✕ 対象外：終期が対象年度の外（R8以前は作成中または終了、R10以降は先）、または新計画を策定済</t>
        </is>
      </c>
    </row>
    <row r="20">
      <c r="A20" s="8" t="inlineStr">
        <is>
          <t>－：その計画がない（環境基本計画を作っていない町村など）</t>
        </is>
      </c>
    </row>
    <row r="21">
      <c r="A21" s="8" t="inlineStr"/>
    </row>
    <row r="22">
      <c r="A22" s="7" t="inlineStr">
        <is>
          <t>■ 入力する列</t>
        </is>
      </c>
    </row>
    <row r="23">
      <c r="A23" s="8" t="inlineStr">
        <is>
          <t>各県シートの「終期(令和年度)」と「改定状況」（未確認／着手済／策定済／計画なし）を直すと、判定が自動で変わります。</t>
        </is>
      </c>
    </row>
    <row r="24">
      <c r="A24" s="8" t="inlineStr">
        <is>
          <t>「未確認」は、改定の動きが検索で見つからなかったという意味です。動きがないと確かめたわけではありません。</t>
        </is>
      </c>
    </row>
    <row r="25">
      <c r="A25" s="8" t="inlineStr">
        <is>
          <t>確度：確認済＝検索結果の本文に期間が書かれていた／推定＝策定時期などから推測（終期のセルは茶色の斜体）／不明＝確認できなかった</t>
        </is>
      </c>
    </row>
    <row r="26">
      <c r="A26" s="8" t="inlineStr"/>
    </row>
    <row r="27">
      <c r="A27" s="7" t="inlineStr">
        <is>
          <t>■ 調査の方法と限界</t>
        </is>
      </c>
    </row>
    <row r="28">
      <c r="A28" s="8" t="inlineStr">
        <is>
          <t>【重要】茨城・福島・青森は、検索回数の上限（1セッション200回）に達したため途中までしか調べられていません。「調査状況」列が「未調査」「交通のみ調査」の行は空欄・？になっていますが、計画がないという意味ではありません。</t>
        </is>
      </c>
    </row>
    <row r="29">
      <c r="A29" s="8" t="inlineStr">
        <is>
          <t>2026年9月30日時点でWeb検索して調べました。自治体サイトやPDFを直接開けない環境だったため、期間は検索結果の本文・要約から取っています。</t>
        </is>
      </c>
    </row>
    <row r="30">
      <c r="A30" s="8" t="inlineStr">
        <is>
          <t>計画リンクはエビデンスとして検索結果に出たURLを載せています。営業に行く前に、リンク先の計画書で計画期間を確かめてください。特に「推定」「不明」の行は必ず確認してください。</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S28"/>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5" customWidth="1" min="1" max="1"/>
    <col width="12" customWidth="1" min="2" max="2"/>
    <col width="16" customWidth="1" min="3" max="3"/>
    <col width="7" customWidth="1" min="4" max="4"/>
    <col width="7" customWidth="1" min="5" max="5"/>
    <col width="30" customWidth="1" min="6" max="6"/>
    <col width="15" customWidth="1" min="7" max="7"/>
    <col width="9" customWidth="1" min="8" max="8"/>
    <col width="8" customWidth="1" min="9" max="9"/>
    <col width="9" customWidth="1" min="10" max="10"/>
    <col width="34" customWidth="1" min="11" max="11"/>
    <col width="30" customWidth="1" min="12" max="12"/>
    <col width="15" customWidth="1" min="13" max="13"/>
    <col width="9" customWidth="1" min="14" max="14"/>
    <col width="8" customWidth="1" min="15" max="15"/>
    <col width="9" customWidth="1" min="16" max="16"/>
    <col width="34" customWidth="1" min="17" max="17"/>
    <col width="55" customWidth="1" min="18" max="18"/>
    <col width="14" customWidth="1" min="19" max="19"/>
  </cols>
  <sheetData>
    <row r="1">
      <c r="A1" s="1" t="inlineStr">
        <is>
          <t>栃木県　地域公共交通計画・環境基本計画の終期一覧（2026年9月30日時点の調査）</t>
        </is>
      </c>
    </row>
    <row r="2">
      <c r="A2" s="9" t="inlineStr">
        <is>
          <t>営業判定：どちらかの計画の終期が対象年度（「集計・設定」シートで設定、初期値はR9のみ）→◎。次期計画に着手済→△。期間不明→？。</t>
        </is>
      </c>
    </row>
    <row r="3" ht="32" customHeight="1">
      <c r="A3" s="10" t="inlineStr">
        <is>
          <t>No</t>
        </is>
      </c>
      <c r="B3" s="10" t="inlineStr">
        <is>
          <t>市町村</t>
        </is>
      </c>
      <c r="C3" s="10" t="inlineStr">
        <is>
          <t>営業判定</t>
        </is>
      </c>
      <c r="D3" s="10" t="inlineStr">
        <is>
          <t>交通判定</t>
        </is>
      </c>
      <c r="E3" s="10" t="inlineStr">
        <is>
          <t>環境判定</t>
        </is>
      </c>
      <c r="F3" s="10" t="inlineStr">
        <is>
          <t>地域公共交通計画</t>
        </is>
      </c>
      <c r="G3" s="10" t="inlineStr">
        <is>
          <t>交通 計画期間</t>
        </is>
      </c>
      <c r="H3" s="10" t="inlineStr">
        <is>
          <t>交通 終期(令和年度)</t>
        </is>
      </c>
      <c r="I3" s="10" t="inlineStr">
        <is>
          <t>交通 確度</t>
        </is>
      </c>
      <c r="J3" s="10" t="inlineStr">
        <is>
          <t>交通 改定状況</t>
        </is>
      </c>
      <c r="K3" s="10" t="inlineStr">
        <is>
          <t>交通 計画リンク（エビデンス）</t>
        </is>
      </c>
      <c r="L3" s="10" t="inlineStr">
        <is>
          <t>環境基本計画</t>
        </is>
      </c>
      <c r="M3" s="10" t="inlineStr">
        <is>
          <t>環境 計画期間</t>
        </is>
      </c>
      <c r="N3" s="10" t="inlineStr">
        <is>
          <t>環境 終期(令和年度)</t>
        </is>
      </c>
      <c r="O3" s="10" t="inlineStr">
        <is>
          <t>環境 確度</t>
        </is>
      </c>
      <c r="P3" s="10" t="inlineStr">
        <is>
          <t>環境 改定状況</t>
        </is>
      </c>
      <c r="Q3" s="10" t="inlineStr">
        <is>
          <t>環境 計画リンク（エビデンス）</t>
        </is>
      </c>
      <c r="R3" s="10" t="inlineStr">
        <is>
          <t>注釈（改定作業の状況など）</t>
        </is>
      </c>
      <c r="S3" s="10" t="inlineStr">
        <is>
          <t>調査状況</t>
        </is>
      </c>
    </row>
    <row r="4">
      <c r="A4" s="11" t="n">
        <v>1</v>
      </c>
      <c r="B4" s="11" t="inlineStr">
        <is>
          <t>宇都宮市</t>
        </is>
      </c>
      <c r="C4" s="12">
        <f>IF(OR(D4="◎",E4="◎"),"◎ 営業",IF(OR(D4="△",E4="△"),"△ 着手済・要確認",IF(OR(D4="？",E4="？"),"？ 期間要確認","✕ 対象外")))</f>
        <v/>
      </c>
      <c r="D4" s="13">
        <f>IF(J4="計画なし","－",IF(J4="策定済","✕",IF(H4="","？",IF(AND(H4&gt;='集計・設定'!$C$4,H4&lt;='集計・設定'!$C$5),IF(J4="着手済","△","◎"),"✕"))))</f>
        <v/>
      </c>
      <c r="E4" s="13">
        <f>IF(P4="計画なし","－",IF(P4="策定済","✕",IF(N4="","？",IF(AND(N4&gt;='集計・設定'!$C$4,N4&lt;='集計・設定'!$C$5),IF(P4="着手済","△","◎"),"✕"))))</f>
        <v/>
      </c>
      <c r="F4" s="11" t="inlineStr">
        <is>
          <t>芳賀・宇都宮地域公共交通計画（芳賀町と共同）</t>
        </is>
      </c>
      <c r="G4" s="11" t="inlineStr">
        <is>
          <t>R6〜R15</t>
        </is>
      </c>
      <c r="H4" s="13" t="n">
        <v>15</v>
      </c>
      <c r="I4" s="13" t="inlineStr">
        <is>
          <t>確認済</t>
        </is>
      </c>
      <c r="J4" s="13" t="inlineStr">
        <is>
          <t>未確認</t>
        </is>
      </c>
      <c r="K4" s="14" t="inlineStr">
        <is>
          <t>https://www.city.utsunomiya.lg.jp/_res/projects/default_project/_page_/001/035/885/chiikikeikaku.pdf</t>
        </is>
      </c>
      <c r="L4" s="11" t="inlineStr">
        <is>
          <t>第4次宇都宮市環境基本計画</t>
        </is>
      </c>
      <c r="M4" s="11" t="inlineStr">
        <is>
          <t>R8〜R12</t>
        </is>
      </c>
      <c r="N4" s="13" t="n">
        <v>12</v>
      </c>
      <c r="O4" s="13" t="inlineStr">
        <is>
          <t>確認済</t>
        </is>
      </c>
      <c r="P4" s="13" t="inlineStr">
        <is>
          <t>策定済</t>
        </is>
      </c>
      <c r="Q4" s="14" t="inlineStr">
        <is>
          <t>https://www.city.utsunomiya.lg.jp/_res/projects/default_project/_page_/001/045/465/4ji_sasshi.pdf</t>
        </is>
      </c>
      <c r="R4" s="11" t="inlineStr">
        <is>
          <t>環境：第4次をR8.3策定済（R7.6諮問）。交通：R15まで、改定の動きなし。</t>
        </is>
      </c>
      <c r="S4" s="15" t="inlineStr">
        <is>
          <t>調査済</t>
        </is>
      </c>
    </row>
    <row r="5">
      <c r="A5" s="11" t="n">
        <v>2</v>
      </c>
      <c r="B5" s="11" t="inlineStr">
        <is>
          <t>足利市</t>
        </is>
      </c>
      <c r="C5" s="12">
        <f>IF(OR(D5="◎",E5="◎"),"◎ 営業",IF(OR(D5="△",E5="△"),"△ 着手済・要確認",IF(OR(D5="？",E5="？"),"？ 期間要確認","✕ 対象外")))</f>
        <v/>
      </c>
      <c r="D5" s="13">
        <f>IF(J5="計画なし","－",IF(J5="策定済","✕",IF(H5="","？",IF(AND(H5&gt;='集計・設定'!$C$4,H5&lt;='集計・設定'!$C$5),IF(J5="着手済","△","◎"),"✕"))))</f>
        <v/>
      </c>
      <c r="E5" s="13">
        <f>IF(P5="計画なし","－",IF(P5="策定済","✕",IF(N5="","？",IF(AND(N5&gt;='集計・設定'!$C$4,N5&lt;='集計・設定'!$C$5),IF(P5="着手済","△","◎"),"✕"))))</f>
        <v/>
      </c>
      <c r="F5" s="11" t="inlineStr">
        <is>
          <t>足利市地域公共交通計画</t>
        </is>
      </c>
      <c r="G5" s="11" t="inlineStr">
        <is>
          <t>R5〜R11</t>
        </is>
      </c>
      <c r="H5" s="13" t="n">
        <v>11</v>
      </c>
      <c r="I5" s="13" t="inlineStr">
        <is>
          <t>確認済</t>
        </is>
      </c>
      <c r="J5" s="13" t="inlineStr">
        <is>
          <t>未確認</t>
        </is>
      </c>
      <c r="K5" s="14" t="inlineStr">
        <is>
          <t>https://www.city.ashikaga.tochigi.jp/manage/contents/upload/64dc71a539bc0.pdf</t>
        </is>
      </c>
      <c r="L5" s="11" t="inlineStr">
        <is>
          <t>第3次足利市環境基本計画</t>
        </is>
      </c>
      <c r="M5" s="11" t="inlineStr">
        <is>
          <t>R4〜R11</t>
        </is>
      </c>
      <c r="N5" s="13" t="n">
        <v>11</v>
      </c>
      <c r="O5" s="13" t="inlineStr">
        <is>
          <t>確認済</t>
        </is>
      </c>
      <c r="P5" s="13" t="inlineStr">
        <is>
          <t>未確認</t>
        </is>
      </c>
      <c r="Q5" s="14" t="inlineStr">
        <is>
          <t>https://www.city.ashikaga.tochigi.jp/manage/contents/upload/633fd39cd506a.pdf</t>
        </is>
      </c>
      <c r="R5" s="11" t="inlineStr">
        <is>
          <t>どちらもR11まで。改定の動きは見つからず。</t>
        </is>
      </c>
      <c r="S5" s="15" t="inlineStr">
        <is>
          <t>調査済</t>
        </is>
      </c>
    </row>
    <row r="6">
      <c r="A6" s="11" t="n">
        <v>3</v>
      </c>
      <c r="B6" s="11" t="inlineStr">
        <is>
          <t>栃木市</t>
        </is>
      </c>
      <c r="C6" s="12">
        <f>IF(OR(D6="◎",E6="◎"),"◎ 営業",IF(OR(D6="△",E6="△"),"△ 着手済・要確認",IF(OR(D6="？",E6="？"),"？ 期間要確認","✕ 対象外")))</f>
        <v/>
      </c>
      <c r="D6" s="13">
        <f>IF(J6="計画なし","－",IF(J6="策定済","✕",IF(H6="","？",IF(AND(H6&gt;='集計・設定'!$C$4,H6&lt;='集計・設定'!$C$5),IF(J6="着手済","△","◎"),"✕"))))</f>
        <v/>
      </c>
      <c r="E6" s="13">
        <f>IF(P6="計画なし","－",IF(P6="策定済","✕",IF(N6="","？",IF(AND(N6&gt;='集計・設定'!$C$4,N6&lt;='集計・設定'!$C$5),IF(P6="着手済","△","◎"),"✕"))))</f>
        <v/>
      </c>
      <c r="F6" s="11" t="inlineStr">
        <is>
          <t>栃木市地域公共交通計画（R6.6改定）</t>
        </is>
      </c>
      <c r="G6" s="11" t="inlineStr">
        <is>
          <t>R6.6〜R9</t>
        </is>
      </c>
      <c r="H6" s="13" t="n">
        <v>9</v>
      </c>
      <c r="I6" s="13" t="inlineStr">
        <is>
          <t>確認済</t>
        </is>
      </c>
      <c r="J6" s="13" t="inlineStr">
        <is>
          <t>未確認</t>
        </is>
      </c>
      <c r="K6" s="14" t="inlineStr">
        <is>
          <t>https://www.city.tochigi.lg.jp/uploaded/attachment/56361.pdf</t>
        </is>
      </c>
      <c r="L6" s="11" t="inlineStr">
        <is>
          <t>第2次栃木市環境基本計画</t>
        </is>
      </c>
      <c r="M6" s="11" t="inlineStr">
        <is>
          <t>R5〜R14</t>
        </is>
      </c>
      <c r="N6" s="13" t="n">
        <v>14</v>
      </c>
      <c r="O6" s="13" t="inlineStr">
        <is>
          <t>確認済</t>
        </is>
      </c>
      <c r="P6" s="13" t="inlineStr">
        <is>
          <t>未確認</t>
        </is>
      </c>
      <c r="Q6" s="14" t="inlineStr">
        <is>
          <t>https://www.city.tochigi.lg.jp/uploaded/attachment/60576.pdf</t>
        </is>
      </c>
      <c r="R6" s="11" t="inlineStr">
        <is>
          <t>交通：次期「第2次」をR10〜R14で予定。策定業務の公告はまだ見つからず。</t>
        </is>
      </c>
      <c r="S6" s="15" t="inlineStr">
        <is>
          <t>調査済</t>
        </is>
      </c>
    </row>
    <row r="7">
      <c r="A7" s="11" t="n">
        <v>4</v>
      </c>
      <c r="B7" s="11" t="inlineStr">
        <is>
          <t>佐野市</t>
        </is>
      </c>
      <c r="C7" s="12">
        <f>IF(OR(D7="◎",E7="◎"),"◎ 営業",IF(OR(D7="△",E7="△"),"△ 着手済・要確認",IF(OR(D7="？",E7="？"),"？ 期間要確認","✕ 対象外")))</f>
        <v/>
      </c>
      <c r="D7" s="13">
        <f>IF(J7="計画なし","－",IF(J7="策定済","✕",IF(H7="","？",IF(AND(H7&gt;='集計・設定'!$C$4,H7&lt;='集計・設定'!$C$5),IF(J7="着手済","△","◎"),"✕"))))</f>
        <v/>
      </c>
      <c r="E7" s="13">
        <f>IF(P7="計画なし","－",IF(P7="策定済","✕",IF(N7="","？",IF(AND(N7&gt;='集計・設定'!$C$4,N7&lt;='集計・設定'!$C$5),IF(P7="着手済","△","◎"),"✕"))))</f>
        <v/>
      </c>
      <c r="F7" s="11" t="inlineStr">
        <is>
          <t>第2次佐野市地域公共交通計画</t>
        </is>
      </c>
      <c r="G7" s="11" t="inlineStr">
        <is>
          <t>R8〜R12</t>
        </is>
      </c>
      <c r="H7" s="13" t="n">
        <v>12</v>
      </c>
      <c r="I7" s="13" t="inlineStr">
        <is>
          <t>確認済</t>
        </is>
      </c>
      <c r="J7" s="13" t="inlineStr">
        <is>
          <t>策定済</t>
        </is>
      </c>
      <c r="K7" s="14" t="inlineStr">
        <is>
          <t>https://www.city.sano.lg.jp/material/files/group/1/koutuukeikaku2.pdf</t>
        </is>
      </c>
      <c r="L7" s="11" t="inlineStr">
        <is>
          <t>第2次佐野市環境基本計画（後期計画）</t>
        </is>
      </c>
      <c r="M7" s="11" t="inlineStr">
        <is>
          <t>R8〜R11</t>
        </is>
      </c>
      <c r="N7" s="13" t="n">
        <v>11</v>
      </c>
      <c r="O7" s="13" t="inlineStr">
        <is>
          <t>確認済</t>
        </is>
      </c>
      <c r="P7" s="13" t="inlineStr">
        <is>
          <t>策定済</t>
        </is>
      </c>
      <c r="Q7" s="14" t="inlineStr">
        <is>
          <t>https://www.city.sano.lg.jp/material/files/group/1/kankyoukouki2.pdf</t>
        </is>
      </c>
      <c r="R7" s="11" t="inlineStr">
        <is>
          <t>交通・環境とも新計画をR8.3策定済。</t>
        </is>
      </c>
      <c r="S7" s="15" t="inlineStr">
        <is>
          <t>調査済</t>
        </is>
      </c>
    </row>
    <row r="8">
      <c r="A8" s="11" t="n">
        <v>5</v>
      </c>
      <c r="B8" s="11" t="inlineStr">
        <is>
          <t>鹿沼市</t>
        </is>
      </c>
      <c r="C8" s="12">
        <f>IF(OR(D8="◎",E8="◎"),"◎ 営業",IF(OR(D8="△",E8="△"),"△ 着手済・要確認",IF(OR(D8="？",E8="？"),"？ 期間要確認","✕ 対象外")))</f>
        <v/>
      </c>
      <c r="D8" s="13">
        <f>IF(J8="計画なし","－",IF(J8="策定済","✕",IF(H8="","？",IF(AND(H8&gt;='集計・設定'!$C$4,H8&lt;='集計・設定'!$C$5),IF(J8="着手済","△","◎"),"✕"))))</f>
        <v/>
      </c>
      <c r="E8" s="13">
        <f>IF(P8="計画なし","－",IF(P8="策定済","✕",IF(N8="","？",IF(AND(N8&gt;='集計・設定'!$C$4,N8&lt;='集計・設定'!$C$5),IF(P8="着手済","△","◎"),"✕"))))</f>
        <v/>
      </c>
      <c r="F8" s="11" t="inlineStr">
        <is>
          <t>鹿沼市地域公共交通計画</t>
        </is>
      </c>
      <c r="G8" s="11" t="inlineStr">
        <is>
          <t>R4〜R9</t>
        </is>
      </c>
      <c r="H8" s="13" t="n">
        <v>9</v>
      </c>
      <c r="I8" s="13" t="inlineStr">
        <is>
          <t>確認済</t>
        </is>
      </c>
      <c r="J8" s="13" t="inlineStr">
        <is>
          <t>未確認</t>
        </is>
      </c>
      <c r="K8" s="14" t="inlineStr">
        <is>
          <t>https://www.city.kanuma.tochigi.jp/manage/contents/upload/623824c0af645.pdf</t>
        </is>
      </c>
      <c r="L8" s="11" t="inlineStr">
        <is>
          <t>第5次鹿沼市環境基本計画</t>
        </is>
      </c>
      <c r="M8" s="11" t="inlineStr">
        <is>
          <t>R4〜R8</t>
        </is>
      </c>
      <c r="N8" s="13" t="n">
        <v>8</v>
      </c>
      <c r="O8" s="13" t="inlineStr">
        <is>
          <t>確認済</t>
        </is>
      </c>
      <c r="P8" s="13" t="inlineStr">
        <is>
          <t>未確認</t>
        </is>
      </c>
      <c r="Q8" s="14" t="inlineStr">
        <is>
          <t>https://www.city.kanuma.tochigi.jp/0097/info-0000007871-1.html</t>
        </is>
      </c>
      <c r="R8" s="11" t="inlineStr">
        <is>
          <t>環境は今年度（R8）で終了。第6次の業務委託・パブコメ等は見つからず（延長の可能性もあり、環境課に要確認）。交通は予約バス運行事業者選定プロポ（R9〜R11）のみ。</t>
        </is>
      </c>
      <c r="S8" s="15" t="inlineStr">
        <is>
          <t>調査済</t>
        </is>
      </c>
    </row>
    <row r="9">
      <c r="A9" s="11" t="n">
        <v>6</v>
      </c>
      <c r="B9" s="11" t="inlineStr">
        <is>
          <t>日光市</t>
        </is>
      </c>
      <c r="C9" s="12">
        <f>IF(OR(D9="◎",E9="◎"),"◎ 営業",IF(OR(D9="△",E9="△"),"△ 着手済・要確認",IF(OR(D9="？",E9="？"),"？ 期間要確認","✕ 対象外")))</f>
        <v/>
      </c>
      <c r="D9" s="13">
        <f>IF(J9="計画なし","－",IF(J9="策定済","✕",IF(H9="","？",IF(AND(H9&gt;='集計・設定'!$C$4,H9&lt;='集計・設定'!$C$5),IF(J9="着手済","△","◎"),"✕"))))</f>
        <v/>
      </c>
      <c r="E9" s="13">
        <f>IF(P9="計画なし","－",IF(P9="策定済","✕",IF(N9="","？",IF(AND(N9&gt;='集計・設定'!$C$4,N9&lt;='集計・設定'!$C$5),IF(P9="着手済","△","◎"),"✕"))))</f>
        <v/>
      </c>
      <c r="F9" s="11" t="inlineStr">
        <is>
          <t>日光市地域公共交通計画</t>
        </is>
      </c>
      <c r="G9" s="11" t="inlineStr">
        <is>
          <t>R5.4〜R10.3</t>
        </is>
      </c>
      <c r="H9" s="13" t="n">
        <v>9</v>
      </c>
      <c r="I9" s="13" t="inlineStr">
        <is>
          <t>確認済</t>
        </is>
      </c>
      <c r="J9" s="13" t="inlineStr">
        <is>
          <t>未確認</t>
        </is>
      </c>
      <c r="K9" s="14" t="inlineStr">
        <is>
          <t>https://www.city.nikko.lg.jp/material/files/group/33/tiikikoukyoukoutuukeikaku.pdf</t>
        </is>
      </c>
      <c r="L9" s="11" t="inlineStr">
        <is>
          <t>第2次日光市環境基本計画（R1.12策定）</t>
        </is>
      </c>
      <c r="M9" s="11" t="inlineStr">
        <is>
          <t>R2〜R11（推定）</t>
        </is>
      </c>
      <c r="N9" s="16" t="n">
        <v>11</v>
      </c>
      <c r="O9" s="13" t="inlineStr">
        <is>
          <t>推定</t>
        </is>
      </c>
      <c r="P9" s="13" t="inlineStr">
        <is>
          <t>未確認</t>
        </is>
      </c>
      <c r="Q9" s="14" t="inlineStr">
        <is>
          <t>https://www.city.nikko.lg.jp/soshiki/6/1031/5/1/1/125.html</t>
        </is>
      </c>
      <c r="R9" s="11" t="inlineStr">
        <is>
          <t>交通：R8施政方針は現計画の継続のみ。次期計画の業務委託は見つからず。</t>
        </is>
      </c>
      <c r="S9" s="15" t="inlineStr">
        <is>
          <t>調査済</t>
        </is>
      </c>
    </row>
    <row r="10">
      <c r="A10" s="11" t="n">
        <v>7</v>
      </c>
      <c r="B10" s="11" t="inlineStr">
        <is>
          <t>小山市</t>
        </is>
      </c>
      <c r="C10" s="12">
        <f>IF(OR(D10="◎",E10="◎"),"◎ 営業",IF(OR(D10="△",E10="△"),"△ 着手済・要確認",IF(OR(D10="？",E10="？"),"？ 期間要確認","✕ 対象外")))</f>
        <v/>
      </c>
      <c r="D10" s="13">
        <f>IF(J10="計画なし","－",IF(J10="策定済","✕",IF(H10="","？",IF(AND(H10&gt;='集計・設定'!$C$4,H10&lt;='集計・設定'!$C$5),IF(J10="着手済","△","◎"),"✕"))))</f>
        <v/>
      </c>
      <c r="E10" s="13">
        <f>IF(P10="計画なし","－",IF(P10="策定済","✕",IF(N10="","？",IF(AND(N10&gt;='集計・設定'!$C$4,N10&lt;='集計・設定'!$C$5),IF(P10="着手済","△","◎"),"✕"))))</f>
        <v/>
      </c>
      <c r="F10" s="11" t="inlineStr">
        <is>
          <t>小山市地域公共交通計画</t>
        </is>
      </c>
      <c r="G10" s="11" t="inlineStr">
        <is>
          <t>R5.10〜R8.9</t>
        </is>
      </c>
      <c r="H10" s="13" t="n">
        <v>8</v>
      </c>
      <c r="I10" s="13" t="inlineStr">
        <is>
          <t>確認済</t>
        </is>
      </c>
      <c r="J10" s="13" t="inlineStr">
        <is>
          <t>着手済</t>
        </is>
      </c>
      <c r="K10" s="14" t="inlineStr">
        <is>
          <t>https://www.city.oyama.tochigi.jp/o-bus/news/page011195.html</t>
        </is>
      </c>
      <c r="L10" s="11" t="inlineStr">
        <is>
          <t>第4次小山市環境基本計画</t>
        </is>
      </c>
      <c r="M10" s="11" t="inlineStr">
        <is>
          <t>R5〜R14</t>
        </is>
      </c>
      <c r="N10" s="13" t="n">
        <v>14</v>
      </c>
      <c r="O10" s="13" t="inlineStr">
        <is>
          <t>確認済</t>
        </is>
      </c>
      <c r="P10" s="13" t="inlineStr">
        <is>
          <t>未確認</t>
        </is>
      </c>
      <c r="Q10" s="14" t="inlineStr">
        <is>
          <t>https://www.city.oyama.tochigi.jp/data/doc/1700382745_doc_21_0.pdf</t>
        </is>
      </c>
      <c r="R10" s="11" t="inlineStr">
        <is>
          <t>【改定作業中】交通：改訂支援業務をR7.6に公告、R8.5〜6に案のパブコメ。次期計画はR8.10〜R14.3。委託先は決定済。</t>
        </is>
      </c>
      <c r="S10" s="15" t="inlineStr">
        <is>
          <t>調査済</t>
        </is>
      </c>
    </row>
    <row r="11">
      <c r="A11" s="11" t="n">
        <v>8</v>
      </c>
      <c r="B11" s="11" t="inlineStr">
        <is>
          <t>真岡市</t>
        </is>
      </c>
      <c r="C11" s="12">
        <f>IF(OR(D11="◎",E11="◎"),"◎ 営業",IF(OR(D11="△",E11="△"),"△ 着手済・要確認",IF(OR(D11="？",E11="？"),"？ 期間要確認","✕ 対象外")))</f>
        <v/>
      </c>
      <c r="D11" s="13">
        <f>IF(J11="計画なし","－",IF(J11="策定済","✕",IF(H11="","？",IF(AND(H11&gt;='集計・設定'!$C$4,H11&lt;='集計・設定'!$C$5),IF(J11="着手済","△","◎"),"✕"))))</f>
        <v/>
      </c>
      <c r="E11" s="13">
        <f>IF(P11="計画なし","－",IF(P11="策定済","✕",IF(N11="","？",IF(AND(N11&gt;='集計・設定'!$C$4,N11&lt;='集計・設定'!$C$5),IF(P11="着手済","△","◎"),"✕"))))</f>
        <v/>
      </c>
      <c r="F11" s="11" t="inlineStr">
        <is>
          <t>真岡市地域公共交通計画（R8.3策定）</t>
        </is>
      </c>
      <c r="G11" s="11" t="inlineStr">
        <is>
          <t>R8〜R12</t>
        </is>
      </c>
      <c r="H11" s="13" t="n">
        <v>12</v>
      </c>
      <c r="I11" s="13" t="inlineStr">
        <is>
          <t>確認済</t>
        </is>
      </c>
      <c r="J11" s="13" t="inlineStr">
        <is>
          <t>策定済</t>
        </is>
      </c>
      <c r="K11" s="14" t="inlineStr">
        <is>
          <t>https://www.city.moka.lg.jp/material/files/group/47/kotsu_plan_r8.pdf</t>
        </is>
      </c>
      <c r="L11" s="11" t="inlineStr">
        <is>
          <t>第3次真岡市環境基本計画</t>
        </is>
      </c>
      <c r="M11" s="11" t="inlineStr">
        <is>
          <t>R8〜R17</t>
        </is>
      </c>
      <c r="N11" s="13" t="n">
        <v>17</v>
      </c>
      <c r="O11" s="13" t="inlineStr">
        <is>
          <t>確認済</t>
        </is>
      </c>
      <c r="P11" s="13" t="inlineStr">
        <is>
          <t>策定済</t>
        </is>
      </c>
      <c r="Q11" s="14" t="inlineStr">
        <is>
          <t>https://www.city.moka.lg.jp/material/files/group/22/20260416kankyougaiyouban.pdf</t>
        </is>
      </c>
      <c r="R11" s="11" t="inlineStr">
        <is>
          <t>交通・環境とも新計画をR8策定済。</t>
        </is>
      </c>
      <c r="S11" s="15" t="inlineStr">
        <is>
          <t>調査済</t>
        </is>
      </c>
    </row>
    <row r="12">
      <c r="A12" s="11" t="n">
        <v>9</v>
      </c>
      <c r="B12" s="11" t="inlineStr">
        <is>
          <t>大田原市</t>
        </is>
      </c>
      <c r="C12" s="12">
        <f>IF(OR(D12="◎",E12="◎"),"◎ 営業",IF(OR(D12="△",E12="△"),"△ 着手済・要確認",IF(OR(D12="？",E12="？"),"？ 期間要確認","✕ 対象外")))</f>
        <v/>
      </c>
      <c r="D12" s="13">
        <f>IF(J12="計画なし","－",IF(J12="策定済","✕",IF(H12="","？",IF(AND(H12&gt;='集計・設定'!$C$4,H12&lt;='集計・設定'!$C$5),IF(J12="着手済","△","◎"),"✕"))))</f>
        <v/>
      </c>
      <c r="E12" s="13">
        <f>IF(P12="計画なし","－",IF(P12="策定済","✕",IF(N12="","？",IF(AND(N12&gt;='集計・設定'!$C$4,N12&lt;='集計・設定'!$C$5),IF(P12="着手済","△","◎"),"✕"))))</f>
        <v/>
      </c>
      <c r="F12" s="11" t="inlineStr">
        <is>
          <t>大田原市地域公共交通計画</t>
        </is>
      </c>
      <c r="G12" s="11" t="inlineStr">
        <is>
          <t>R4〜R9</t>
        </is>
      </c>
      <c r="H12" s="13" t="n">
        <v>9</v>
      </c>
      <c r="I12" s="13" t="inlineStr">
        <is>
          <t>確認済</t>
        </is>
      </c>
      <c r="J12" s="13" t="inlineStr">
        <is>
          <t>着手済</t>
        </is>
      </c>
      <c r="K12" s="14" t="inlineStr">
        <is>
          <t>https://www.city.ohtawara.tochigi.jp/docs/2026073100056</t>
        </is>
      </c>
      <c r="L12" s="11" t="inlineStr">
        <is>
          <t>大田原市環境基本計画（第三次計画）</t>
        </is>
      </c>
      <c r="M12" s="11" t="inlineStr">
        <is>
          <t>R8〜（終期はR17と推定）</t>
        </is>
      </c>
      <c r="N12" s="16" t="n">
        <v>17</v>
      </c>
      <c r="O12" s="13" t="inlineStr">
        <is>
          <t>推定</t>
        </is>
      </c>
      <c r="P12" s="13" t="inlineStr">
        <is>
          <t>策定済</t>
        </is>
      </c>
      <c r="Q12" s="14" t="inlineStr">
        <is>
          <t>https://www.city.ohtawara.tochigi.jp/docs/2026013000019</t>
        </is>
      </c>
      <c r="R12" s="11" t="inlineStr">
        <is>
          <t>【改定作業中】交通：次期計画（R10〜5年間）の策定調査業務の公募型プロポを2026-07-31に公告。環境：第三次をR8策定済。</t>
        </is>
      </c>
      <c r="S12" s="15" t="inlineStr">
        <is>
          <t>調査済</t>
        </is>
      </c>
    </row>
    <row r="13">
      <c r="A13" s="11" t="n">
        <v>10</v>
      </c>
      <c r="B13" s="11" t="inlineStr">
        <is>
          <t>矢板市</t>
        </is>
      </c>
      <c r="C13" s="12">
        <f>IF(OR(D13="◎",E13="◎"),"◎ 営業",IF(OR(D13="△",E13="△"),"△ 着手済・要確認",IF(OR(D13="？",E13="？"),"？ 期間要確認","✕ 対象外")))</f>
        <v/>
      </c>
      <c r="D13" s="13">
        <f>IF(J13="計画なし","－",IF(J13="策定済","✕",IF(H13="","？",IF(AND(H13&gt;='集計・設定'!$C$4,H13&lt;='集計・設定'!$C$5),IF(J13="着手済","△","◎"),"✕"))))</f>
        <v/>
      </c>
      <c r="E13" s="13">
        <f>IF(P13="計画なし","－",IF(P13="策定済","✕",IF(N13="","？",IF(AND(N13&gt;='集計・設定'!$C$4,N13&lt;='集計・設定'!$C$5),IF(P13="着手済","△","◎"),"✕"))))</f>
        <v/>
      </c>
      <c r="F13" s="11" t="inlineStr">
        <is>
          <t>矢板市地域公共交通計画（R8.4策定）</t>
        </is>
      </c>
      <c r="G13" s="11" t="inlineStr">
        <is>
          <t>R8〜（終期不明）</t>
        </is>
      </c>
      <c r="H13" s="13" t="n"/>
      <c r="I13" s="13" t="inlineStr">
        <is>
          <t>不明</t>
        </is>
      </c>
      <c r="J13" s="13" t="inlineStr">
        <is>
          <t>策定済</t>
        </is>
      </c>
      <c r="K13" s="14" t="inlineStr">
        <is>
          <t>https://www.city.yaita.tochigi.jp/soshiki/toshiseibi/koukyoukoutsu-plan.html</t>
        </is>
      </c>
      <c r="L13" s="11" t="inlineStr">
        <is>
          <t>矢板市環境基本計画（R4.3策定）</t>
        </is>
      </c>
      <c r="M13" s="11" t="inlineStr">
        <is>
          <t>R4〜（終期不明）</t>
        </is>
      </c>
      <c r="N13" s="13" t="n"/>
      <c r="O13" s="13" t="inlineStr">
        <is>
          <t>不明</t>
        </is>
      </c>
      <c r="P13" s="13" t="inlineStr">
        <is>
          <t>未確認</t>
        </is>
      </c>
      <c r="Q13" s="14" t="inlineStr">
        <is>
          <t>https://www.city.yaita.tochigi.jp/soshiki/seikatsukankyou/kankyo-kihon.html</t>
        </is>
      </c>
      <c r="R13" s="11" t="inlineStr">
        <is>
          <t>交通：新計画をR8.4策定済。環境：期間を確認できず（温暖化対策は別の気候変動対策計画 R5〜R13）。</t>
        </is>
      </c>
      <c r="S13" s="15" t="inlineStr">
        <is>
          <t>調査済</t>
        </is>
      </c>
    </row>
    <row r="14">
      <c r="A14" s="11" t="n">
        <v>11</v>
      </c>
      <c r="B14" s="11" t="inlineStr">
        <is>
          <t>那須塩原市</t>
        </is>
      </c>
      <c r="C14" s="12">
        <f>IF(OR(D14="◎",E14="◎"),"◎ 営業",IF(OR(D14="△",E14="△"),"△ 着手済・要確認",IF(OR(D14="？",E14="？"),"？ 期間要確認","✕ 対象外")))</f>
        <v/>
      </c>
      <c r="D14" s="13">
        <f>IF(J14="計画なし","－",IF(J14="策定済","✕",IF(H14="","？",IF(AND(H14&gt;='集計・設定'!$C$4,H14&lt;='集計・設定'!$C$5),IF(J14="着手済","△","◎"),"✕"))))</f>
        <v/>
      </c>
      <c r="E14" s="13">
        <f>IF(P14="計画なし","－",IF(P14="策定済","✕",IF(N14="","？",IF(AND(N14&gt;='集計・設定'!$C$4,N14&lt;='集計・設定'!$C$5),IF(P14="着手済","△","◎"),"✕"))))</f>
        <v/>
      </c>
      <c r="F14" s="11" t="inlineStr">
        <is>
          <t>第2次那須塩原市地域公共交通計画／那須地域定住自立圏計画</t>
        </is>
      </c>
      <c r="G14" s="11" t="inlineStr">
        <is>
          <t>R5〜R9</t>
        </is>
      </c>
      <c r="H14" s="13" t="n">
        <v>9</v>
      </c>
      <c r="I14" s="13" t="inlineStr">
        <is>
          <t>確認済</t>
        </is>
      </c>
      <c r="J14" s="13" t="inlineStr">
        <is>
          <t>未確認</t>
        </is>
      </c>
      <c r="K14" s="14" t="inlineStr">
        <is>
          <t>https://www.city.nasushiobara.tochigi.jp/material/files/group/15/nasushiobaracity_2nd_publictransportation.pdf</t>
        </is>
      </c>
      <c r="L14" s="11" t="inlineStr">
        <is>
          <t>第2期那須塩原市環境基本計画【改定版】</t>
        </is>
      </c>
      <c r="M14" s="11" t="inlineStr">
        <is>
          <t>H29〜R12（延長）</t>
        </is>
      </c>
      <c r="N14" s="13" t="n">
        <v>12</v>
      </c>
      <c r="O14" s="13" t="inlineStr">
        <is>
          <t>確認済</t>
        </is>
      </c>
      <c r="P14" s="13" t="inlineStr">
        <is>
          <t>策定済</t>
        </is>
      </c>
      <c r="Q14" s="14" t="inlineStr">
        <is>
          <t>https://www.city.nasushiobara.tochigi.jp/material/files/group/13/dai2ki_kankyokihonkeikaku_an.pdf</t>
        </is>
      </c>
      <c r="R14" s="11" t="inlineStr">
        <is>
          <t>環境：改定版で終期をR9からR12へ延長（R7.11審議会報告。最終策定は要確認）。交通：第3次の策定業務は見つからず。定住自立圏計画（4市町共同）もR9で終了。</t>
        </is>
      </c>
      <c r="S14" s="15" t="inlineStr">
        <is>
          <t>調査済</t>
        </is>
      </c>
    </row>
    <row r="15">
      <c r="A15" s="11" t="n">
        <v>12</v>
      </c>
      <c r="B15" s="11" t="inlineStr">
        <is>
          <t>さくら市</t>
        </is>
      </c>
      <c r="C15" s="12">
        <f>IF(OR(D15="◎",E15="◎"),"◎ 営業",IF(OR(D15="△",E15="△"),"△ 着手済・要確認",IF(OR(D15="？",E15="？"),"？ 期間要確認","✕ 対象外")))</f>
        <v/>
      </c>
      <c r="D15" s="13">
        <f>IF(J15="計画なし","－",IF(J15="策定済","✕",IF(H15="","？",IF(AND(H15&gt;='集計・設定'!$C$4,H15&lt;='集計・設定'!$C$5),IF(J15="着手済","△","◎"),"✕"))))</f>
        <v/>
      </c>
      <c r="E15" s="13">
        <f>IF(P15="計画なし","－",IF(P15="策定済","✕",IF(N15="","？",IF(AND(N15&gt;='集計・設定'!$C$4,N15&lt;='集計・設定'!$C$5),IF(P15="着手済","△","◎"),"✕"))))</f>
        <v/>
      </c>
      <c r="F15" s="11" t="inlineStr">
        <is>
          <t>さくら市地域公共交通計画（R6.3策定）</t>
        </is>
      </c>
      <c r="G15" s="11" t="inlineStr">
        <is>
          <t>R6〜R10（推定）</t>
        </is>
      </c>
      <c r="H15" s="16" t="n">
        <v>10</v>
      </c>
      <c r="I15" s="13" t="inlineStr">
        <is>
          <t>推定</t>
        </is>
      </c>
      <c r="J15" s="13" t="inlineStr">
        <is>
          <t>未確認</t>
        </is>
      </c>
      <c r="K15" s="14" t="inlineStr">
        <is>
          <t>https://www.city.tochigi-sakura.lg.jp/life/000017/p003140.html</t>
        </is>
      </c>
      <c r="L15" s="11" t="inlineStr">
        <is>
          <t>第2次さくら市環境基本計画</t>
        </is>
      </c>
      <c r="M15" s="11" t="inlineStr">
        <is>
          <t>H30〜R9</t>
        </is>
      </c>
      <c r="N15" s="13" t="n">
        <v>9</v>
      </c>
      <c r="O15" s="13" t="inlineStr">
        <is>
          <t>確認済</t>
        </is>
      </c>
      <c r="P15" s="13" t="inlineStr">
        <is>
          <t>未確認</t>
        </is>
      </c>
      <c r="Q15" s="14" t="inlineStr">
        <is>
          <t>https://www.city.tochigi-sakura.lg.jp/life/000014/000121/000403/p001957.html</t>
        </is>
      </c>
      <c r="R15" s="11" t="inlineStr">
        <is>
          <t>環境はR9で終了。第3次の業務委託・アンケートは見つからず。</t>
        </is>
      </c>
      <c r="S15" s="15" t="inlineStr">
        <is>
          <t>調査済</t>
        </is>
      </c>
    </row>
    <row r="16">
      <c r="A16" s="11" t="n">
        <v>13</v>
      </c>
      <c r="B16" s="11" t="inlineStr">
        <is>
          <t>那須烏山市</t>
        </is>
      </c>
      <c r="C16" s="12">
        <f>IF(OR(D16="◎",E16="◎"),"◎ 営業",IF(OR(D16="△",E16="△"),"△ 着手済・要確認",IF(OR(D16="？",E16="？"),"？ 期間要確認","✕ 対象外")))</f>
        <v/>
      </c>
      <c r="D16" s="13">
        <f>IF(J16="計画なし","－",IF(J16="策定済","✕",IF(H16="","？",IF(AND(H16&gt;='集計・設定'!$C$4,H16&lt;='集計・設定'!$C$5),IF(J16="着手済","△","◎"),"✕"))))</f>
        <v/>
      </c>
      <c r="E16" s="13">
        <f>IF(P16="計画なし","－",IF(P16="策定済","✕",IF(N16="","？",IF(AND(N16&gt;='集計・設定'!$C$4,N16&lt;='集計・設定'!$C$5),IF(P16="着手済","△","◎"),"✕"))))</f>
        <v/>
      </c>
      <c r="F16" s="11" t="inlineStr">
        <is>
          <t>那須烏山市地域公共交通計画</t>
        </is>
      </c>
      <c r="G16" s="11" t="inlineStr">
        <is>
          <t>R3〜R7（推定）</t>
        </is>
      </c>
      <c r="H16" s="16" t="n">
        <v>7</v>
      </c>
      <c r="I16" s="13" t="inlineStr">
        <is>
          <t>推定</t>
        </is>
      </c>
      <c r="J16" s="13" t="inlineStr">
        <is>
          <t>未確認</t>
        </is>
      </c>
      <c r="K16" s="14" t="inlineStr">
        <is>
          <t>https://www.city.nasukarasuyama.lg.jp/page/page000722.html</t>
        </is>
      </c>
      <c r="L16" s="11" t="inlineStr">
        <is>
          <t>第2次那須烏山市環境基本計画（R4頃策定）</t>
        </is>
      </c>
      <c r="M16" s="11" t="inlineStr">
        <is>
          <t>不明</t>
        </is>
      </c>
      <c r="N16" s="13" t="n"/>
      <c r="O16" s="13" t="inlineStr">
        <is>
          <t>不明</t>
        </is>
      </c>
      <c r="P16" s="13" t="inlineStr">
        <is>
          <t>未確認</t>
        </is>
      </c>
      <c r="Q16" s="14" t="inlineStr">
        <is>
          <t>https://www.city.nasukarasuyama.lg.jp/page/page000773.html</t>
        </is>
      </c>
      <c r="R16" s="11" t="inlineStr">
        <is>
          <t>交通：R7で終了とみられるが、次の計画の状況（策定済・延長・作業中）を確認できず。直接確認が必要。</t>
        </is>
      </c>
      <c r="S16" s="15" t="inlineStr">
        <is>
          <t>調査済</t>
        </is>
      </c>
    </row>
    <row r="17">
      <c r="A17" s="11" t="n">
        <v>14</v>
      </c>
      <c r="B17" s="11" t="inlineStr">
        <is>
          <t>下野市</t>
        </is>
      </c>
      <c r="C17" s="12">
        <f>IF(OR(D17="◎",E17="◎"),"◎ 営業",IF(OR(D17="△",E17="△"),"△ 着手済・要確認",IF(OR(D17="？",E17="？"),"？ 期間要確認","✕ 対象外")))</f>
        <v/>
      </c>
      <c r="D17" s="13">
        <f>IF(J17="計画なし","－",IF(J17="策定済","✕",IF(H17="","？",IF(AND(H17&gt;='集計・設定'!$C$4,H17&lt;='集計・設定'!$C$5),IF(J17="着手済","△","◎"),"✕"))))</f>
        <v/>
      </c>
      <c r="E17" s="13">
        <f>IF(P17="計画なし","－",IF(P17="策定済","✕",IF(N17="","？",IF(AND(N17&gt;='集計・設定'!$C$4,N17&lt;='集計・設定'!$C$5),IF(P17="着手済","△","◎"),"✕"))))</f>
        <v/>
      </c>
      <c r="F17" s="11" t="inlineStr">
        <is>
          <t>下野市地域公共交通計画（R8.3策定）</t>
        </is>
      </c>
      <c r="G17" s="11" t="inlineStr">
        <is>
          <t>R8〜R12（推定）</t>
        </is>
      </c>
      <c r="H17" s="16" t="n">
        <v>12</v>
      </c>
      <c r="I17" s="13" t="inlineStr">
        <is>
          <t>推定</t>
        </is>
      </c>
      <c r="J17" s="13" t="inlineStr">
        <is>
          <t>策定済</t>
        </is>
      </c>
      <c r="K17" s="14" t="inlineStr">
        <is>
          <t>https://www.city.shimotsuke.lg.jp/0170/info-0000005122-3.html</t>
        </is>
      </c>
      <c r="L17" s="11" t="inlineStr">
        <is>
          <t>第2次下野市環境基本計画</t>
        </is>
      </c>
      <c r="M17" s="11" t="inlineStr">
        <is>
          <t>不明</t>
        </is>
      </c>
      <c r="N17" s="13" t="n"/>
      <c r="O17" s="13" t="inlineStr">
        <is>
          <t>不明</t>
        </is>
      </c>
      <c r="P17" s="13" t="inlineStr">
        <is>
          <t>未確認</t>
        </is>
      </c>
      <c r="Q17" s="14" t="inlineStr">
        <is>
          <t>https://www.city.shimotsuke.lg.jp/office0109/section-3.html</t>
        </is>
      </c>
      <c r="R17" s="11" t="inlineStr">
        <is>
          <t>交通：新計画をR8.3策定済。環境：期間を確認できず。</t>
        </is>
      </c>
      <c r="S17" s="15" t="inlineStr">
        <is>
          <t>調査済</t>
        </is>
      </c>
    </row>
    <row r="18">
      <c r="A18" s="11" t="n">
        <v>15</v>
      </c>
      <c r="B18" s="11" t="inlineStr">
        <is>
          <t>上三川町</t>
        </is>
      </c>
      <c r="C18" s="12">
        <f>IF(OR(D18="◎",E18="◎"),"◎ 営業",IF(OR(D18="△",E18="△"),"△ 着手済・要確認",IF(OR(D18="？",E18="？"),"？ 期間要確認","✕ 対象外")))</f>
        <v/>
      </c>
      <c r="D18" s="13">
        <f>IF(J18="計画なし","－",IF(J18="策定済","✕",IF(H18="","？",IF(AND(H18&gt;='集計・設定'!$C$4,H18&lt;='集計・設定'!$C$5),IF(J18="着手済","△","◎"),"✕"))))</f>
        <v/>
      </c>
      <c r="E18" s="13">
        <f>IF(P18="計画なし","－",IF(P18="策定済","✕",IF(N18="","？",IF(AND(N18&gt;='集計・設定'!$C$4,N18&lt;='集計・設定'!$C$5),IF(P18="着手済","△","◎"),"✕"))))</f>
        <v/>
      </c>
      <c r="F18" s="11" t="inlineStr">
        <is>
          <t>上三川町地域公共交通計画（R4.6改定）</t>
        </is>
      </c>
      <c r="G18" s="11" t="inlineStr">
        <is>
          <t>H30〜（終期不明）</t>
        </is>
      </c>
      <c r="H18" s="13" t="n"/>
      <c r="I18" s="13" t="inlineStr">
        <is>
          <t>不明</t>
        </is>
      </c>
      <c r="J18" s="13" t="inlineStr">
        <is>
          <t>未確認</t>
        </is>
      </c>
      <c r="K18" s="14" t="inlineStr">
        <is>
          <t>https://www.town.kaminokawa.lg.jp/0166/info-0000001338-0.html</t>
        </is>
      </c>
      <c r="L18" s="11" t="inlineStr">
        <is>
          <t>（環境基本計画なし）区域施策編・適応計画</t>
        </is>
      </c>
      <c r="M18" s="11" t="inlineStr">
        <is>
          <t>R6〜R12</t>
        </is>
      </c>
      <c r="N18" s="13" t="n">
        <v>12</v>
      </c>
      <c r="O18" s="13" t="inlineStr">
        <is>
          <t>確認済</t>
        </is>
      </c>
      <c r="P18" s="13" t="inlineStr">
        <is>
          <t>計画なし</t>
        </is>
      </c>
      <c r="Q18" s="14" t="inlineStr">
        <is>
          <t>https://www.town.kaminokawa.lg.jp/0003/info-0000003247-0.html</t>
        </is>
      </c>
      <c r="R18" s="11" t="inlineStr">
        <is>
          <t>交通：R7の協議会資料に計画改定の報告あり（中程度の確度・要確認）。</t>
        </is>
      </c>
      <c r="S18" s="15" t="inlineStr">
        <is>
          <t>調査済</t>
        </is>
      </c>
    </row>
    <row r="19">
      <c r="A19" s="11" t="n">
        <v>16</v>
      </c>
      <c r="B19" s="11" t="inlineStr">
        <is>
          <t>益子町</t>
        </is>
      </c>
      <c r="C19" s="12">
        <f>IF(OR(D19="◎",E19="◎"),"◎ 営業",IF(OR(D19="△",E19="△"),"△ 着手済・要確認",IF(OR(D19="？",E19="？"),"？ 期間要確認","✕ 対象外")))</f>
        <v/>
      </c>
      <c r="D19" s="13">
        <f>IF(J19="計画なし","－",IF(J19="策定済","✕",IF(H19="","？",IF(AND(H19&gt;='集計・設定'!$C$4,H19&lt;='集計・設定'!$C$5),IF(J19="着手済","△","◎"),"✕"))))</f>
        <v/>
      </c>
      <c r="E19" s="13">
        <f>IF(P19="計画なし","－",IF(P19="策定済","✕",IF(N19="","？",IF(AND(N19&gt;='集計・設定'!$C$4,N19&lt;='集計・設定'!$C$5),IF(P19="着手済","△","◎"),"✕"))))</f>
        <v/>
      </c>
      <c r="F19" s="11" t="inlineStr">
        <is>
          <t>益子町地域公共交通計画（R4.3策定）</t>
        </is>
      </c>
      <c r="G19" s="11" t="inlineStr">
        <is>
          <t>R4〜R8（推定）</t>
        </is>
      </c>
      <c r="H19" s="16" t="n">
        <v>8</v>
      </c>
      <c r="I19" s="13" t="inlineStr">
        <is>
          <t>推定</t>
        </is>
      </c>
      <c r="J19" s="13" t="inlineStr">
        <is>
          <t>未確認</t>
        </is>
      </c>
      <c r="K19" s="14" t="inlineStr">
        <is>
          <t>https://www.town.mashiko.lg.jp/page/page003396.html</t>
        </is>
      </c>
      <c r="L19" s="11" t="inlineStr">
        <is>
          <t>益子町第3次環境基本計画</t>
        </is>
      </c>
      <c r="M19" s="11" t="inlineStr">
        <is>
          <t>R5〜R14</t>
        </is>
      </c>
      <c r="N19" s="13" t="n">
        <v>14</v>
      </c>
      <c r="O19" s="13" t="inlineStr">
        <is>
          <t>確認済</t>
        </is>
      </c>
      <c r="P19" s="13" t="inlineStr">
        <is>
          <t>未確認</t>
        </is>
      </c>
      <c r="Q19" s="14" t="inlineStr">
        <is>
          <t>https://www.town.mashiko.lg.jp/page/page000467.html</t>
        </is>
      </c>
      <c r="R19" s="11" t="inlineStr">
        <is>
          <t>交通：R8で終了とみられるが、次の計画の業務委託は見つからず。</t>
        </is>
      </c>
      <c r="S19" s="15" t="inlineStr">
        <is>
          <t>調査済</t>
        </is>
      </c>
    </row>
    <row r="20">
      <c r="A20" s="11" t="n">
        <v>17</v>
      </c>
      <c r="B20" s="11" t="inlineStr">
        <is>
          <t>茂木町</t>
        </is>
      </c>
      <c r="C20" s="12">
        <f>IF(OR(D20="◎",E20="◎"),"◎ 営業",IF(OR(D20="△",E20="△"),"△ 着手済・要確認",IF(OR(D20="？",E20="？"),"？ 期間要確認","✕ 対象外")))</f>
        <v/>
      </c>
      <c r="D20" s="13">
        <f>IF(J20="計画なし","－",IF(J20="策定済","✕",IF(H20="","？",IF(AND(H20&gt;='集計・設定'!$C$4,H20&lt;='集計・設定'!$C$5),IF(J20="着手済","△","◎"),"✕"))))</f>
        <v/>
      </c>
      <c r="E20" s="13">
        <f>IF(P20="計画なし","－",IF(P20="策定済","✕",IF(N20="","？",IF(AND(N20&gt;='集計・設定'!$C$4,N20&lt;='集計・設定'!$C$5),IF(P20="着手済","△","◎"),"✕"))))</f>
        <v/>
      </c>
      <c r="F20" s="11" t="inlineStr">
        <is>
          <t>茂木町地域公共交通計画</t>
        </is>
      </c>
      <c r="G20" s="11" t="inlineStr">
        <is>
          <t>不明</t>
        </is>
      </c>
      <c r="H20" s="13" t="n"/>
      <c r="I20" s="13" t="inlineStr">
        <is>
          <t>不明</t>
        </is>
      </c>
      <c r="J20" s="13" t="inlineStr">
        <is>
          <t>未確認</t>
        </is>
      </c>
      <c r="K20" s="14" t="inlineStr">
        <is>
          <t>https://www.town.motegi.tochigi.jp/motegi/nextpage.php?cd=6374&amp;syurui=2</t>
        </is>
      </c>
      <c r="L20" s="11" t="inlineStr">
        <is>
          <t>（環境基本計画なし）区域施策編</t>
        </is>
      </c>
      <c r="M20" s="11" t="inlineStr">
        <is>
          <t>R6〜R12</t>
        </is>
      </c>
      <c r="N20" s="13" t="n">
        <v>12</v>
      </c>
      <c r="O20" s="13" t="inlineStr">
        <is>
          <t>確認済</t>
        </is>
      </c>
      <c r="P20" s="13" t="inlineStr">
        <is>
          <t>計画なし</t>
        </is>
      </c>
      <c r="Q20" s="14" t="inlineStr">
        <is>
          <t>https://www.town.motegi.tochigi.jp/motegi/nextpage.php?cd=7672&amp;syurui=2</t>
        </is>
      </c>
      <c r="R20" s="11" t="inlineStr">
        <is>
          <t>交通：期間を確認できず。</t>
        </is>
      </c>
      <c r="S20" s="15" t="inlineStr">
        <is>
          <t>調査済</t>
        </is>
      </c>
    </row>
    <row r="21">
      <c r="A21" s="11" t="n">
        <v>18</v>
      </c>
      <c r="B21" s="11" t="inlineStr">
        <is>
          <t>市貝町</t>
        </is>
      </c>
      <c r="C21" s="12">
        <f>IF(OR(D21="◎",E21="◎"),"◎ 営業",IF(OR(D21="△",E21="△"),"△ 着手済・要確認",IF(OR(D21="？",E21="？"),"？ 期間要確認","✕ 対象外")))</f>
        <v/>
      </c>
      <c r="D21" s="13">
        <f>IF(J21="計画なし","－",IF(J21="策定済","✕",IF(H21="","？",IF(AND(H21&gt;='集計・設定'!$C$4,H21&lt;='集計・設定'!$C$5),IF(J21="着手済","△","◎"),"✕"))))</f>
        <v/>
      </c>
      <c r="E21" s="13">
        <f>IF(P21="計画なし","－",IF(P21="策定済","✕",IF(N21="","？",IF(AND(N21&gt;='集計・設定'!$C$4,N21&lt;='集計・設定'!$C$5),IF(P21="着手済","△","◎"),"✕"))))</f>
        <v/>
      </c>
      <c r="F21" s="11" t="inlineStr">
        <is>
          <t>市貝町地域公共交通計画（R6.3頃策定）</t>
        </is>
      </c>
      <c r="G21" s="11" t="inlineStr">
        <is>
          <t>不明</t>
        </is>
      </c>
      <c r="H21" s="13" t="n"/>
      <c r="I21" s="13" t="inlineStr">
        <is>
          <t>不明</t>
        </is>
      </c>
      <c r="J21" s="13" t="inlineStr">
        <is>
          <t>未確認</t>
        </is>
      </c>
      <c r="K21" s="14" t="inlineStr">
        <is>
          <t>https://www.town.ichikai.tochigi.jp/info/785</t>
        </is>
      </c>
      <c r="L21" s="11" t="inlineStr">
        <is>
          <t>市貝町環境基本計画及び地球温暖化対策実行計画</t>
        </is>
      </c>
      <c r="M21" s="11" t="inlineStr">
        <is>
          <t>不明</t>
        </is>
      </c>
      <c r="N21" s="13" t="n"/>
      <c r="O21" s="13" t="inlineStr">
        <is>
          <t>不明</t>
        </is>
      </c>
      <c r="P21" s="13" t="inlineStr">
        <is>
          <t>未確認</t>
        </is>
      </c>
      <c r="Q21" s="14" t="inlineStr">
        <is>
          <t>https://www.town.ichikai.tochigi.jp/info/1814</t>
        </is>
      </c>
      <c r="R21" s="11" t="inlineStr">
        <is>
          <t>どちらも期間を確認できず。</t>
        </is>
      </c>
      <c r="S21" s="15" t="inlineStr">
        <is>
          <t>調査済</t>
        </is>
      </c>
    </row>
    <row r="22">
      <c r="A22" s="11" t="n">
        <v>19</v>
      </c>
      <c r="B22" s="11" t="inlineStr">
        <is>
          <t>芳賀町</t>
        </is>
      </c>
      <c r="C22" s="12">
        <f>IF(OR(D22="◎",E22="◎"),"◎ 営業",IF(OR(D22="△",E22="△"),"△ 着手済・要確認",IF(OR(D22="？",E22="？"),"？ 期間要確認","✕ 対象外")))</f>
        <v/>
      </c>
      <c r="D22" s="13">
        <f>IF(J22="計画なし","－",IF(J22="策定済","✕",IF(H22="","？",IF(AND(H22&gt;='集計・設定'!$C$4,H22&lt;='集計・設定'!$C$5),IF(J22="着手済","△","◎"),"✕"))))</f>
        <v/>
      </c>
      <c r="E22" s="13">
        <f>IF(P22="計画なし","－",IF(P22="策定済","✕",IF(N22="","？",IF(AND(N22&gt;='集計・設定'!$C$4,N22&lt;='集計・設定'!$C$5),IF(P22="着手済","△","◎"),"✕"))))</f>
        <v/>
      </c>
      <c r="F22" s="11" t="inlineStr">
        <is>
          <t>芳賀・宇都宮地域公共交通計画（宇都宮市と共同）</t>
        </is>
      </c>
      <c r="G22" s="11" t="inlineStr">
        <is>
          <t>R6〜R15</t>
        </is>
      </c>
      <c r="H22" s="13" t="n">
        <v>15</v>
      </c>
      <c r="I22" s="13" t="inlineStr">
        <is>
          <t>確認済</t>
        </is>
      </c>
      <c r="J22" s="13" t="inlineStr">
        <is>
          <t>未確認</t>
        </is>
      </c>
      <c r="K22" s="14" t="inlineStr">
        <is>
          <t>https://www.town.tochigi-haga.lg.jp/kurashi/sekatsu/kokyokotsu/koukyoukoutsuu/koukyoukoutsuu6.html</t>
        </is>
      </c>
      <c r="L22" s="11" t="inlineStr">
        <is>
          <t>（環境基本計画なし）2050カーボンニュートラル実現計画（R6.4）</t>
        </is>
      </c>
      <c r="M22" s="11" t="inlineStr">
        <is>
          <t>〜R12（2030目標）</t>
        </is>
      </c>
      <c r="N22" s="13" t="n"/>
      <c r="O22" s="13" t="inlineStr">
        <is>
          <t>不明</t>
        </is>
      </c>
      <c r="P22" s="13" t="inlineStr">
        <is>
          <t>計画なし</t>
        </is>
      </c>
      <c r="Q22" s="14" t="inlineStr">
        <is>
          <t>https://www.town.tochigi-haga.lg.jp/kurashi/kurashi/ka-bonnyu-toraru/documents/jitugennkeikaku1.pdf</t>
        </is>
      </c>
      <c r="R22" s="11" t="inlineStr">
        <is>
          <t>交通はR15まで。環境基本計画はなし。</t>
        </is>
      </c>
      <c r="S22" s="15" t="inlineStr">
        <is>
          <t>調査済</t>
        </is>
      </c>
    </row>
    <row r="23">
      <c r="A23" s="11" t="n">
        <v>20</v>
      </c>
      <c r="B23" s="11" t="inlineStr">
        <is>
          <t>壬生町</t>
        </is>
      </c>
      <c r="C23" s="12">
        <f>IF(OR(D23="◎",E23="◎"),"◎ 営業",IF(OR(D23="△",E23="△"),"△ 着手済・要確認",IF(OR(D23="？",E23="？"),"？ 期間要確認","✕ 対象外")))</f>
        <v/>
      </c>
      <c r="D23" s="13">
        <f>IF(J23="計画なし","－",IF(J23="策定済","✕",IF(H23="","？",IF(AND(H23&gt;='集計・設定'!$C$4,H23&lt;='集計・設定'!$C$5),IF(J23="着手済","△","◎"),"✕"))))</f>
        <v/>
      </c>
      <c r="E23" s="13">
        <f>IF(P23="計画なし","－",IF(P23="策定済","✕",IF(N23="","？",IF(AND(N23&gt;='集計・設定'!$C$4,N23&lt;='集計・設定'!$C$5),IF(P23="着手済","△","◎"),"✕"))))</f>
        <v/>
      </c>
      <c r="F23" s="11" t="inlineStr">
        <is>
          <t>壬生町地域公共交通計画</t>
        </is>
      </c>
      <c r="G23" s="11" t="inlineStr">
        <is>
          <t>R4〜R8</t>
        </is>
      </c>
      <c r="H23" s="13" t="n">
        <v>8</v>
      </c>
      <c r="I23" s="13" t="inlineStr">
        <is>
          <t>確認済</t>
        </is>
      </c>
      <c r="J23" s="13" t="inlineStr">
        <is>
          <t>着手済</t>
        </is>
      </c>
      <c r="K23" s="14" t="inlineStr">
        <is>
          <t>https://www.town.mibu.tochigi.jp/docs/2026042000042</t>
        </is>
      </c>
      <c r="L23" s="11" t="inlineStr">
        <is>
          <t>壬生町環境基本計画（温対・適応計画を兼ねる）</t>
        </is>
      </c>
      <c r="M23" s="11" t="inlineStr">
        <is>
          <t>R7〜R12</t>
        </is>
      </c>
      <c r="N23" s="13" t="n">
        <v>12</v>
      </c>
      <c r="O23" s="13" t="inlineStr">
        <is>
          <t>確認済</t>
        </is>
      </c>
      <c r="P23" s="13" t="inlineStr">
        <is>
          <t>策定済</t>
        </is>
      </c>
      <c r="Q23" s="14" t="inlineStr">
        <is>
          <t>https://www.town.mibu.tochigi.jp/docs/2025032700030/file_contents/mibumachikankyokihonkeikaku.pdf</t>
        </is>
      </c>
      <c r="R23" s="11" t="inlineStr">
        <is>
          <t>【改定作業中】交通：次期計画の策定業務委託の公募型プロポをR8.4.23に公告（事業者はR8.6に選定済）。</t>
        </is>
      </c>
      <c r="S23" s="15" t="inlineStr">
        <is>
          <t>調査済</t>
        </is>
      </c>
    </row>
    <row r="24">
      <c r="A24" s="11" t="n">
        <v>21</v>
      </c>
      <c r="B24" s="11" t="inlineStr">
        <is>
          <t>野木町</t>
        </is>
      </c>
      <c r="C24" s="12">
        <f>IF(OR(D24="◎",E24="◎"),"◎ 営業",IF(OR(D24="△",E24="△"),"△ 着手済・要確認",IF(OR(D24="？",E24="？"),"？ 期間要確認","✕ 対象外")))</f>
        <v/>
      </c>
      <c r="D24" s="13">
        <f>IF(J24="計画なし","－",IF(J24="策定済","✕",IF(H24="","？",IF(AND(H24&gt;='集計・設定'!$C$4,H24&lt;='集計・設定'!$C$5),IF(J24="着手済","△","◎"),"✕"))))</f>
        <v/>
      </c>
      <c r="E24" s="13">
        <f>IF(P24="計画なし","－",IF(P24="策定済","✕",IF(N24="","？",IF(AND(N24&gt;='集計・設定'!$C$4,N24&lt;='集計・設定'!$C$5),IF(P24="着手済","△","◎"),"✕"))))</f>
        <v/>
      </c>
      <c r="F24" s="11" t="inlineStr">
        <is>
          <t>野木町地域公共交通計画</t>
        </is>
      </c>
      <c r="G24" s="11" t="inlineStr">
        <is>
          <t>R6〜R10</t>
        </is>
      </c>
      <c r="H24" s="16" t="n">
        <v>10</v>
      </c>
      <c r="I24" s="13" t="inlineStr">
        <is>
          <t>推定</t>
        </is>
      </c>
      <c r="J24" s="13" t="inlineStr">
        <is>
          <t>未確認</t>
        </is>
      </c>
      <c r="K24" s="14" t="inlineStr">
        <is>
          <t>https://www.town.nogi.lg.jp/cyousei/cyousei_jyouhou/keikaku/keikaku_toshiseibi/page005745.html</t>
        </is>
      </c>
      <c r="L24" s="11" t="inlineStr">
        <is>
          <t>（環境基本計画なし）区域施策編</t>
        </is>
      </c>
      <c r="M24" s="11" t="inlineStr">
        <is>
          <t>不明</t>
        </is>
      </c>
      <c r="N24" s="13" t="n"/>
      <c r="O24" s="13" t="inlineStr">
        <is>
          <t>不明</t>
        </is>
      </c>
      <c r="P24" s="13" t="inlineStr">
        <is>
          <t>計画なし</t>
        </is>
      </c>
      <c r="Q24" s="14" t="inlineStr">
        <is>
          <t>https://www.town.nogi.lg.jp/kurashi/kankyou/ondanka/hojo/</t>
        </is>
      </c>
      <c r="R24" s="11" t="inlineStr">
        <is>
          <t>交通はR10まで（検索結果1件のみで確度は中程度）。</t>
        </is>
      </c>
      <c r="S24" s="15" t="inlineStr">
        <is>
          <t>調査済</t>
        </is>
      </c>
    </row>
    <row r="25">
      <c r="A25" s="11" t="n">
        <v>22</v>
      </c>
      <c r="B25" s="11" t="inlineStr">
        <is>
          <t>塩谷町</t>
        </is>
      </c>
      <c r="C25" s="12">
        <f>IF(OR(D25="◎",E25="◎"),"◎ 営業",IF(OR(D25="△",E25="△"),"△ 着手済・要確認",IF(OR(D25="？",E25="？"),"？ 期間要確認","✕ 対象外")))</f>
        <v/>
      </c>
      <c r="D25" s="13">
        <f>IF(J25="計画なし","－",IF(J25="策定済","✕",IF(H25="","？",IF(AND(H25&gt;='集計・設定'!$C$4,H25&lt;='集計・設定'!$C$5),IF(J25="着手済","△","◎"),"✕"))))</f>
        <v/>
      </c>
      <c r="E25" s="13">
        <f>IF(P25="計画なし","－",IF(P25="策定済","✕",IF(N25="","？",IF(AND(N25&gt;='集計・設定'!$C$4,N25&lt;='集計・設定'!$C$5),IF(P25="着手済","△","◎"),"✕"))))</f>
        <v/>
      </c>
      <c r="F25" s="11" t="inlineStr">
        <is>
          <t>塩谷町地域公共交通計画</t>
        </is>
      </c>
      <c r="G25" s="11" t="inlineStr">
        <is>
          <t>不明</t>
        </is>
      </c>
      <c r="H25" s="13" t="n"/>
      <c r="I25" s="13" t="inlineStr">
        <is>
          <t>不明</t>
        </is>
      </c>
      <c r="J25" s="13" t="inlineStr">
        <is>
          <t>未確認</t>
        </is>
      </c>
      <c r="K25" s="14" t="inlineStr">
        <is>
          <t>https://www.town.shioya.tochigi.jp/info/2531</t>
        </is>
      </c>
      <c r="L25" s="11" t="inlineStr">
        <is>
          <t>（環境基本計画なし）区域施策編（R7.3改定）</t>
        </is>
      </c>
      <c r="M25" s="11" t="inlineStr">
        <is>
          <t>不明</t>
        </is>
      </c>
      <c r="N25" s="13" t="n"/>
      <c r="O25" s="13" t="inlineStr">
        <is>
          <t>不明</t>
        </is>
      </c>
      <c r="P25" s="13" t="inlineStr">
        <is>
          <t>計画なし</t>
        </is>
      </c>
      <c r="Q25" s="14" t="inlineStr">
        <is>
          <t>https://www.town.shioya.tochigi.jp/info/2490</t>
        </is>
      </c>
      <c r="R25" s="11" t="inlineStr">
        <is>
          <t>交通：R7に「地域公共交通事業支援業務」のプロポあり（約1,240万円）。計画改定を含むかは要確認。</t>
        </is>
      </c>
      <c r="S25" s="15" t="inlineStr">
        <is>
          <t>調査済</t>
        </is>
      </c>
    </row>
    <row r="26">
      <c r="A26" s="11" t="n">
        <v>23</v>
      </c>
      <c r="B26" s="11" t="inlineStr">
        <is>
          <t>高根沢町</t>
        </is>
      </c>
      <c r="C26" s="12">
        <f>IF(OR(D26="◎",E26="◎"),"◎ 営業",IF(OR(D26="△",E26="△"),"△ 着手済・要確認",IF(OR(D26="？",E26="？"),"？ 期間要確認","✕ 対象外")))</f>
        <v/>
      </c>
      <c r="D26" s="13">
        <f>IF(J26="計画なし","－",IF(J26="策定済","✕",IF(H26="","？",IF(AND(H26&gt;='集計・設定'!$C$4,H26&lt;='集計・設定'!$C$5),IF(J26="着手済","△","◎"),"✕"))))</f>
        <v/>
      </c>
      <c r="E26" s="13">
        <f>IF(P26="計画なし","－",IF(P26="策定済","✕",IF(N26="","？",IF(AND(N26&gt;='集計・設定'!$C$4,N26&lt;='集計・設定'!$C$5),IF(P26="着手済","△","◎"),"✕"))))</f>
        <v/>
      </c>
      <c r="F26" s="11" t="inlineStr">
        <is>
          <t>高根沢町地域公共交通計画</t>
        </is>
      </c>
      <c r="G26" s="11" t="inlineStr">
        <is>
          <t>R8〜R12</t>
        </is>
      </c>
      <c r="H26" s="13" t="n">
        <v>12</v>
      </c>
      <c r="I26" s="13" t="inlineStr">
        <is>
          <t>確認済</t>
        </is>
      </c>
      <c r="J26" s="13" t="inlineStr">
        <is>
          <t>策定済</t>
        </is>
      </c>
      <c r="K26" s="14" t="inlineStr">
        <is>
          <t>https://www.town.takanezawa.tochigi.jp/gyosei/plan/bunya/documents/202604koutsukeikaku.pdf</t>
        </is>
      </c>
      <c r="L26" s="11" t="inlineStr">
        <is>
          <t>高根沢町環境基本計画2026</t>
        </is>
      </c>
      <c r="M26" s="11" t="inlineStr">
        <is>
          <t>R8〜R17</t>
        </is>
      </c>
      <c r="N26" s="13" t="n">
        <v>17</v>
      </c>
      <c r="O26" s="13" t="inlineStr">
        <is>
          <t>確認済</t>
        </is>
      </c>
      <c r="P26" s="13" t="inlineStr">
        <is>
          <t>策定済</t>
        </is>
      </c>
      <c r="Q26" s="14" t="inlineStr">
        <is>
          <t>https://www.town.takanezawa.tochigi.jp/life/kankyo/keikaku/documents/kankyoukihon2026gaiyou.pdf</t>
        </is>
      </c>
      <c r="R26" s="11" t="inlineStr">
        <is>
          <t>交通・環境とも新計画をR8策定済。</t>
        </is>
      </c>
      <c r="S26" s="15" t="inlineStr">
        <is>
          <t>調査済</t>
        </is>
      </c>
    </row>
    <row r="27">
      <c r="A27" s="11" t="n">
        <v>24</v>
      </c>
      <c r="B27" s="11" t="inlineStr">
        <is>
          <t>那須町</t>
        </is>
      </c>
      <c r="C27" s="12">
        <f>IF(OR(D27="◎",E27="◎"),"◎ 営業",IF(OR(D27="△",E27="△"),"△ 着手済・要確認",IF(OR(D27="？",E27="？"),"？ 期間要確認","✕ 対象外")))</f>
        <v/>
      </c>
      <c r="D27" s="13">
        <f>IF(J27="計画なし","－",IF(J27="策定済","✕",IF(H27="","？",IF(AND(H27&gt;='集計・設定'!$C$4,H27&lt;='集計・設定'!$C$5),IF(J27="着手済","△","◎"),"✕"))))</f>
        <v/>
      </c>
      <c r="E27" s="13">
        <f>IF(P27="計画なし","－",IF(P27="策定済","✕",IF(N27="","？",IF(AND(N27&gt;='集計・設定'!$C$4,N27&lt;='集計・設定'!$C$5),IF(P27="着手済","△","◎"),"✕"))))</f>
        <v/>
      </c>
      <c r="F27" s="11" t="inlineStr">
        <is>
          <t>那須町地域公共交通計画／那須地域定住自立圏計画</t>
        </is>
      </c>
      <c r="G27" s="11" t="inlineStr">
        <is>
          <t>R4〜R9</t>
        </is>
      </c>
      <c r="H27" s="13" t="n">
        <v>9</v>
      </c>
      <c r="I27" s="13" t="inlineStr">
        <is>
          <t>確認済</t>
        </is>
      </c>
      <c r="J27" s="13" t="inlineStr">
        <is>
          <t>未確認</t>
        </is>
      </c>
      <c r="K27" s="14" t="inlineStr">
        <is>
          <t>https://www.town.nasu.lg.jp/manage/contents/upload/6243b2b07f368.pdf</t>
        </is>
      </c>
      <c r="L27" s="11" t="inlineStr">
        <is>
          <t>第3次那須町環境基本計画</t>
        </is>
      </c>
      <c r="M27" s="11" t="inlineStr">
        <is>
          <t>R8〜R17</t>
        </is>
      </c>
      <c r="N27" s="13" t="n">
        <v>17</v>
      </c>
      <c r="O27" s="13" t="inlineStr">
        <is>
          <t>確認済</t>
        </is>
      </c>
      <c r="P27" s="13" t="inlineStr">
        <is>
          <t>策定済</t>
        </is>
      </c>
      <c r="Q27" s="14" t="inlineStr">
        <is>
          <t>http://www.town.nasu.lg.jp/0076/info-0000004347-1.html</t>
        </is>
      </c>
      <c r="R27" s="11" t="inlineStr">
        <is>
          <t>交通：次期計画の業務委託は見つからず。環境：第3次をR8策定済。</t>
        </is>
      </c>
      <c r="S27" s="15" t="inlineStr">
        <is>
          <t>調査済</t>
        </is>
      </c>
    </row>
    <row r="28">
      <c r="A28" s="11" t="n">
        <v>25</v>
      </c>
      <c r="B28" s="11" t="inlineStr">
        <is>
          <t>那珂川町</t>
        </is>
      </c>
      <c r="C28" s="12">
        <f>IF(OR(D28="◎",E28="◎"),"◎ 営業",IF(OR(D28="△",E28="△"),"△ 着手済・要確認",IF(OR(D28="？",E28="？"),"？ 期間要確認","✕ 対象外")))</f>
        <v/>
      </c>
      <c r="D28" s="13">
        <f>IF(J28="計画なし","－",IF(J28="策定済","✕",IF(H28="","？",IF(AND(H28&gt;='集計・設定'!$C$4,H28&lt;='集計・設定'!$C$5),IF(J28="着手済","△","◎"),"✕"))))</f>
        <v/>
      </c>
      <c r="E28" s="13">
        <f>IF(P28="計画なし","－",IF(P28="策定済","✕",IF(N28="","？",IF(AND(N28&gt;='集計・設定'!$C$4,N28&lt;='集計・設定'!$C$5),IF(P28="着手済","△","◎"),"✕"))))</f>
        <v/>
      </c>
      <c r="F28" s="11" t="inlineStr">
        <is>
          <t>那須地域定住自立圏地域公共交通計画＋町計画（R5.3策定）</t>
        </is>
      </c>
      <c r="G28" s="11" t="inlineStr">
        <is>
          <t>R5〜R9（定住自立圏）</t>
        </is>
      </c>
      <c r="H28" s="13" t="n">
        <v>9</v>
      </c>
      <c r="I28" s="13" t="inlineStr">
        <is>
          <t>確認済</t>
        </is>
      </c>
      <c r="J28" s="13" t="inlineStr">
        <is>
          <t>未確認</t>
        </is>
      </c>
      <c r="K28" s="14" t="inlineStr">
        <is>
          <t>https://www.city.nasushiobara.tochigi.jp/soshikikarasagasu/kb/shinoseisakutokeikaku/1/5504.html</t>
        </is>
      </c>
      <c r="L28" s="11" t="inlineStr">
        <is>
          <t>第2次那珂川町環境基本計画（後期計画）</t>
        </is>
      </c>
      <c r="M28" s="11" t="inlineStr">
        <is>
          <t>不明</t>
        </is>
      </c>
      <c r="N28" s="13" t="n"/>
      <c r="O28" s="13" t="inlineStr">
        <is>
          <t>不明</t>
        </is>
      </c>
      <c r="P28" s="13" t="inlineStr">
        <is>
          <t>未確認</t>
        </is>
      </c>
      <c r="Q28" s="14" t="inlineStr">
        <is>
          <t>https://www.town.tochigi-nakagawa.lg.jp/35kankyo/01keikaku/index.html</t>
        </is>
      </c>
      <c r="R28" s="11" t="inlineStr">
        <is>
          <t>交通：定住自立圏計画はR9で終了。町計画の期間は不明。環境：期間を確認できず。</t>
        </is>
      </c>
      <c r="S28" s="15" t="inlineStr">
        <is>
          <t>調査済</t>
        </is>
      </c>
    </row>
  </sheetData>
  <autoFilter ref="A3:S28"/>
  <conditionalFormatting sqref="A4:S28">
    <cfRule type="expression" priority="1" dxfId="0">
      <formula>LEFT($C4,1)="◎"</formula>
    </cfRule>
    <cfRule type="expression" priority="2" dxfId="1">
      <formula>LEFT($C4,1)="△"</formula>
    </cfRule>
    <cfRule type="expression" priority="3" dxfId="2">
      <formula>LEFT($C4,1)="？"</formula>
    </cfRule>
    <cfRule type="expression" priority="4" dxfId="3">
      <formula>LEFT($C4,1)="✕"</formula>
    </cfRule>
  </conditionalFormatting>
  <dataValidations count="1">
    <dataValidation sqref="J4:J28 P4:P28" showDropDown="0" showInputMessage="0" showErrorMessage="0" allowBlank="1" type="list">
      <formula1>"未確認,着手済,策定済,計画なし"</formula1>
    </dataValidation>
  </dataValidations>
  <hyperlinks>
    <hyperlink xmlns:r="http://schemas.openxmlformats.org/officeDocument/2006/relationships" ref="K4" r:id="rId1"/>
    <hyperlink xmlns:r="http://schemas.openxmlformats.org/officeDocument/2006/relationships" ref="Q4" r:id="rId2"/>
    <hyperlink xmlns:r="http://schemas.openxmlformats.org/officeDocument/2006/relationships" ref="K5" r:id="rId3"/>
    <hyperlink xmlns:r="http://schemas.openxmlformats.org/officeDocument/2006/relationships" ref="Q5" r:id="rId4"/>
    <hyperlink xmlns:r="http://schemas.openxmlformats.org/officeDocument/2006/relationships" ref="K6" r:id="rId5"/>
    <hyperlink xmlns:r="http://schemas.openxmlformats.org/officeDocument/2006/relationships" ref="Q6" r:id="rId6"/>
    <hyperlink xmlns:r="http://schemas.openxmlformats.org/officeDocument/2006/relationships" ref="K7" r:id="rId7"/>
    <hyperlink xmlns:r="http://schemas.openxmlformats.org/officeDocument/2006/relationships" ref="Q7" r:id="rId8"/>
    <hyperlink xmlns:r="http://schemas.openxmlformats.org/officeDocument/2006/relationships" ref="K8" r:id="rId9"/>
    <hyperlink xmlns:r="http://schemas.openxmlformats.org/officeDocument/2006/relationships" ref="Q8" r:id="rId10"/>
    <hyperlink xmlns:r="http://schemas.openxmlformats.org/officeDocument/2006/relationships" ref="K9" r:id="rId11"/>
    <hyperlink xmlns:r="http://schemas.openxmlformats.org/officeDocument/2006/relationships" ref="Q9" r:id="rId12"/>
    <hyperlink xmlns:r="http://schemas.openxmlformats.org/officeDocument/2006/relationships" ref="K10" r:id="rId13"/>
    <hyperlink xmlns:r="http://schemas.openxmlformats.org/officeDocument/2006/relationships" ref="Q10" r:id="rId14"/>
    <hyperlink xmlns:r="http://schemas.openxmlformats.org/officeDocument/2006/relationships" ref="K11" r:id="rId15"/>
    <hyperlink xmlns:r="http://schemas.openxmlformats.org/officeDocument/2006/relationships" ref="Q11" r:id="rId16"/>
    <hyperlink xmlns:r="http://schemas.openxmlformats.org/officeDocument/2006/relationships" ref="K12" r:id="rId17"/>
    <hyperlink xmlns:r="http://schemas.openxmlformats.org/officeDocument/2006/relationships" ref="Q12" r:id="rId18"/>
    <hyperlink xmlns:r="http://schemas.openxmlformats.org/officeDocument/2006/relationships" ref="K13" r:id="rId19"/>
    <hyperlink xmlns:r="http://schemas.openxmlformats.org/officeDocument/2006/relationships" ref="Q13" r:id="rId20"/>
    <hyperlink xmlns:r="http://schemas.openxmlformats.org/officeDocument/2006/relationships" ref="K14" r:id="rId21"/>
    <hyperlink xmlns:r="http://schemas.openxmlformats.org/officeDocument/2006/relationships" ref="Q14" r:id="rId22"/>
    <hyperlink xmlns:r="http://schemas.openxmlformats.org/officeDocument/2006/relationships" ref="K15" r:id="rId23"/>
    <hyperlink xmlns:r="http://schemas.openxmlformats.org/officeDocument/2006/relationships" ref="Q15" r:id="rId24"/>
    <hyperlink xmlns:r="http://schemas.openxmlformats.org/officeDocument/2006/relationships" ref="K16" r:id="rId25"/>
    <hyperlink xmlns:r="http://schemas.openxmlformats.org/officeDocument/2006/relationships" ref="Q16" r:id="rId26"/>
    <hyperlink xmlns:r="http://schemas.openxmlformats.org/officeDocument/2006/relationships" ref="K17" r:id="rId27"/>
    <hyperlink xmlns:r="http://schemas.openxmlformats.org/officeDocument/2006/relationships" ref="Q17" r:id="rId28"/>
    <hyperlink xmlns:r="http://schemas.openxmlformats.org/officeDocument/2006/relationships" ref="K18" r:id="rId29"/>
    <hyperlink xmlns:r="http://schemas.openxmlformats.org/officeDocument/2006/relationships" ref="Q18" r:id="rId30"/>
    <hyperlink xmlns:r="http://schemas.openxmlformats.org/officeDocument/2006/relationships" ref="K19" r:id="rId31"/>
    <hyperlink xmlns:r="http://schemas.openxmlformats.org/officeDocument/2006/relationships" ref="Q19" r:id="rId32"/>
    <hyperlink xmlns:r="http://schemas.openxmlformats.org/officeDocument/2006/relationships" ref="K20" r:id="rId33"/>
    <hyperlink xmlns:r="http://schemas.openxmlformats.org/officeDocument/2006/relationships" ref="Q20" r:id="rId34"/>
    <hyperlink xmlns:r="http://schemas.openxmlformats.org/officeDocument/2006/relationships" ref="K21" r:id="rId35"/>
    <hyperlink xmlns:r="http://schemas.openxmlformats.org/officeDocument/2006/relationships" ref="Q21" r:id="rId36"/>
    <hyperlink xmlns:r="http://schemas.openxmlformats.org/officeDocument/2006/relationships" ref="K22" r:id="rId37"/>
    <hyperlink xmlns:r="http://schemas.openxmlformats.org/officeDocument/2006/relationships" ref="Q22" r:id="rId38"/>
    <hyperlink xmlns:r="http://schemas.openxmlformats.org/officeDocument/2006/relationships" ref="K23" r:id="rId39"/>
    <hyperlink xmlns:r="http://schemas.openxmlformats.org/officeDocument/2006/relationships" ref="Q23" r:id="rId40"/>
    <hyperlink xmlns:r="http://schemas.openxmlformats.org/officeDocument/2006/relationships" ref="K24" r:id="rId41"/>
    <hyperlink xmlns:r="http://schemas.openxmlformats.org/officeDocument/2006/relationships" ref="Q24" r:id="rId42"/>
    <hyperlink xmlns:r="http://schemas.openxmlformats.org/officeDocument/2006/relationships" ref="K25" r:id="rId43"/>
    <hyperlink xmlns:r="http://schemas.openxmlformats.org/officeDocument/2006/relationships" ref="Q25" r:id="rId44"/>
    <hyperlink xmlns:r="http://schemas.openxmlformats.org/officeDocument/2006/relationships" ref="K26" r:id="rId45"/>
    <hyperlink xmlns:r="http://schemas.openxmlformats.org/officeDocument/2006/relationships" ref="Q26" r:id="rId46"/>
    <hyperlink xmlns:r="http://schemas.openxmlformats.org/officeDocument/2006/relationships" ref="K27" r:id="rId47"/>
    <hyperlink xmlns:r="http://schemas.openxmlformats.org/officeDocument/2006/relationships" ref="Q27" r:id="rId48"/>
    <hyperlink xmlns:r="http://schemas.openxmlformats.org/officeDocument/2006/relationships" ref="K28" r:id="rId49"/>
    <hyperlink xmlns:r="http://schemas.openxmlformats.org/officeDocument/2006/relationships" ref="Q28" r:id="rId50"/>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S47"/>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5" customWidth="1" min="1" max="1"/>
    <col width="12" customWidth="1" min="2" max="2"/>
    <col width="16" customWidth="1" min="3" max="3"/>
    <col width="7" customWidth="1" min="4" max="4"/>
    <col width="7" customWidth="1" min="5" max="5"/>
    <col width="30" customWidth="1" min="6" max="6"/>
    <col width="15" customWidth="1" min="7" max="7"/>
    <col width="9" customWidth="1" min="8" max="8"/>
    <col width="8" customWidth="1" min="9" max="9"/>
    <col width="9" customWidth="1" min="10" max="10"/>
    <col width="34" customWidth="1" min="11" max="11"/>
    <col width="30" customWidth="1" min="12" max="12"/>
    <col width="15" customWidth="1" min="13" max="13"/>
    <col width="9" customWidth="1" min="14" max="14"/>
    <col width="8" customWidth="1" min="15" max="15"/>
    <col width="9" customWidth="1" min="16" max="16"/>
    <col width="34" customWidth="1" min="17" max="17"/>
    <col width="55" customWidth="1" min="18" max="18"/>
    <col width="14" customWidth="1" min="19" max="19"/>
  </cols>
  <sheetData>
    <row r="1">
      <c r="A1" s="1" t="inlineStr">
        <is>
          <t>茨城県　地域公共交通計画・環境基本計画の終期一覧（2026年9月30日時点の調査）</t>
        </is>
      </c>
    </row>
    <row r="2">
      <c r="A2" s="9" t="inlineStr">
        <is>
          <t>営業判定：どちらかの計画の終期が対象年度（「集計・設定」シートで設定、初期値はR9のみ）→◎。次期計画に着手済→△。期間不明→？。</t>
        </is>
      </c>
    </row>
    <row r="3" ht="32" customHeight="1">
      <c r="A3" s="10" t="inlineStr">
        <is>
          <t>No</t>
        </is>
      </c>
      <c r="B3" s="10" t="inlineStr">
        <is>
          <t>市町村</t>
        </is>
      </c>
      <c r="C3" s="10" t="inlineStr">
        <is>
          <t>営業判定</t>
        </is>
      </c>
      <c r="D3" s="10" t="inlineStr">
        <is>
          <t>交通判定</t>
        </is>
      </c>
      <c r="E3" s="10" t="inlineStr">
        <is>
          <t>環境判定</t>
        </is>
      </c>
      <c r="F3" s="10" t="inlineStr">
        <is>
          <t>地域公共交通計画</t>
        </is>
      </c>
      <c r="G3" s="10" t="inlineStr">
        <is>
          <t>交通 計画期間</t>
        </is>
      </c>
      <c r="H3" s="10" t="inlineStr">
        <is>
          <t>交通 終期(令和年度)</t>
        </is>
      </c>
      <c r="I3" s="10" t="inlineStr">
        <is>
          <t>交通 確度</t>
        </is>
      </c>
      <c r="J3" s="10" t="inlineStr">
        <is>
          <t>交通 改定状況</t>
        </is>
      </c>
      <c r="K3" s="10" t="inlineStr">
        <is>
          <t>交通 計画リンク（エビデンス）</t>
        </is>
      </c>
      <c r="L3" s="10" t="inlineStr">
        <is>
          <t>環境基本計画</t>
        </is>
      </c>
      <c r="M3" s="10" t="inlineStr">
        <is>
          <t>環境 計画期間</t>
        </is>
      </c>
      <c r="N3" s="10" t="inlineStr">
        <is>
          <t>環境 終期(令和年度)</t>
        </is>
      </c>
      <c r="O3" s="10" t="inlineStr">
        <is>
          <t>環境 確度</t>
        </is>
      </c>
      <c r="P3" s="10" t="inlineStr">
        <is>
          <t>環境 改定状況</t>
        </is>
      </c>
      <c r="Q3" s="10" t="inlineStr">
        <is>
          <t>環境 計画リンク（エビデンス）</t>
        </is>
      </c>
      <c r="R3" s="10" t="inlineStr">
        <is>
          <t>注釈（改定作業の状況など）</t>
        </is>
      </c>
      <c r="S3" s="10" t="inlineStr">
        <is>
          <t>調査状況</t>
        </is>
      </c>
    </row>
    <row r="4">
      <c r="A4" s="11" t="n">
        <v>1</v>
      </c>
      <c r="B4" s="11" t="inlineStr">
        <is>
          <t>水戸市</t>
        </is>
      </c>
      <c r="C4" s="12">
        <f>IF(OR(D4="◎",E4="◎"),"◎ 営業",IF(OR(D4="△",E4="△"),"△ 着手済・要確認",IF(OR(D4="？",E4="？"),"？ 期間要確認","✕ 対象外")))</f>
        <v/>
      </c>
      <c r="D4" s="13">
        <f>IF(J4="計画なし","－",IF(J4="策定済","✕",IF(H4="","？",IF(AND(H4&gt;='集計・設定'!$C$4,H4&lt;='集計・設定'!$C$5),IF(J4="着手済","△","◎"),"✕"))))</f>
        <v/>
      </c>
      <c r="E4" s="13">
        <f>IF(P4="計画なし","－",IF(P4="策定済","✕",IF(N4="","？",IF(AND(N4&gt;='集計・設定'!$C$4,N4&lt;='集計・設定'!$C$5),IF(P4="着手済","△","◎"),"✕"))))</f>
        <v/>
      </c>
      <c r="F4" s="11" t="inlineStr">
        <is>
          <t>水戸市地域公共交通計画</t>
        </is>
      </c>
      <c r="G4" s="11" t="inlineStr">
        <is>
          <t>R6〜R10</t>
        </is>
      </c>
      <c r="H4" s="13" t="n">
        <v>10</v>
      </c>
      <c r="I4" s="13" t="inlineStr">
        <is>
          <t>確認済</t>
        </is>
      </c>
      <c r="J4" s="13" t="inlineStr">
        <is>
          <t>未確認</t>
        </is>
      </c>
      <c r="K4" s="14" t="inlineStr">
        <is>
          <t>https://www.city.mito.lg.jp/page/117784.html</t>
        </is>
      </c>
      <c r="L4" s="11" t="inlineStr">
        <is>
          <t>水戸市環境基本計画（第3次）</t>
        </is>
      </c>
      <c r="M4" s="11" t="inlineStr">
        <is>
          <t>R7〜R16（推定）</t>
        </is>
      </c>
      <c r="N4" s="16" t="n">
        <v>16</v>
      </c>
      <c r="O4" s="13" t="inlineStr">
        <is>
          <t>推定</t>
        </is>
      </c>
      <c r="P4" s="13" t="inlineStr">
        <is>
          <t>未確認</t>
        </is>
      </c>
      <c r="Q4" s="14" t="inlineStr">
        <is>
          <t>https://www.city.mito.lg.jp/page/3982.html</t>
        </is>
      </c>
      <c r="R4" s="11" t="inlineStr">
        <is>
          <t>交通計画本文PDF: https://www.city.mito.lg.jp/uploaded/attachment/51687.pdf（素案パブコメ結果 https://www.city.mito.lg.jp/page/93836.html）。環境基本計画第3次は2024年12月策定との検索結果あり、期間は未確認（10年と推定）。次期計画作業は未確認。</t>
        </is>
      </c>
      <c r="S4" s="15" t="inlineStr">
        <is>
          <t>調査済</t>
        </is>
      </c>
    </row>
    <row r="5">
      <c r="A5" s="11" t="n">
        <v>2</v>
      </c>
      <c r="B5" s="11" t="inlineStr">
        <is>
          <t>日立市</t>
        </is>
      </c>
      <c r="C5" s="12">
        <f>IF(OR(D5="◎",E5="◎"),"◎ 営業",IF(OR(D5="△",E5="△"),"△ 着手済・要確認",IF(OR(D5="？",E5="？"),"？ 期間要確認","✕ 対象外")))</f>
        <v/>
      </c>
      <c r="D5" s="13">
        <f>IF(J5="計画なし","－",IF(J5="策定済","✕",IF(H5="","？",IF(AND(H5&gt;='集計・設定'!$C$4,H5&lt;='集計・設定'!$C$5),IF(J5="着手済","△","◎"),"✕"))))</f>
        <v/>
      </c>
      <c r="E5" s="13">
        <f>IF(P5="計画なし","－",IF(P5="策定済","✕",IF(N5="","？",IF(AND(N5&gt;='集計・設定'!$C$4,N5&lt;='集計・設定'!$C$5),IF(P5="着手済","△","◎"),"✕"))))</f>
        <v/>
      </c>
      <c r="F5" s="11" t="inlineStr">
        <is>
          <t>日立市地域公共交通計画</t>
        </is>
      </c>
      <c r="G5" s="11" t="inlineStr">
        <is>
          <t>R6〜R10</t>
        </is>
      </c>
      <c r="H5" s="13" t="n">
        <v>10</v>
      </c>
      <c r="I5" s="13" t="inlineStr">
        <is>
          <t>確認済</t>
        </is>
      </c>
      <c r="J5" s="13" t="inlineStr">
        <is>
          <t>未確認</t>
        </is>
      </c>
      <c r="K5" s="14" t="inlineStr">
        <is>
          <t>https://www.city.hitachi.lg.jp/machizukuri_kankyo/kotsu_doro/1002832/1012175.html</t>
        </is>
      </c>
      <c r="L5" s="11" t="inlineStr">
        <is>
          <t>第4次日立市環境基本計画</t>
        </is>
      </c>
      <c r="M5" s="11" t="inlineStr">
        <is>
          <t>R5〜R12</t>
        </is>
      </c>
      <c r="N5" s="13" t="n">
        <v>12</v>
      </c>
      <c r="O5" s="13" t="inlineStr">
        <is>
          <t>確認済</t>
        </is>
      </c>
      <c r="P5" s="13" t="inlineStr">
        <is>
          <t>未確認</t>
        </is>
      </c>
      <c r="Q5" s="14" t="inlineStr">
        <is>
          <t>https://www.city.hitachi.lg.jp/_res/projects/default_project/_page_/001/011/987/keikakuhonpen.pdf</t>
        </is>
      </c>
      <c r="R5" s="11" t="inlineStr">
        <is>
          <t>交通計画PDF: https://www.city.hitachi.lg.jp/_res/projects/default_project/_page_/001/012/175/hitachikotukeikaku.pdf 。日立製作所と2035年公共交通グランドデザインを策定（https://www.city.hitachi.lg.jp/machizukuri_kankyo/kotsu_doro/1002832/1014747.html）。次期計画作業は未確認。</t>
        </is>
      </c>
      <c r="S5" s="15" t="inlineStr">
        <is>
          <t>調査済</t>
        </is>
      </c>
    </row>
    <row r="6">
      <c r="A6" s="11" t="n">
        <v>3</v>
      </c>
      <c r="B6" s="11" t="inlineStr">
        <is>
          <t>土浦市</t>
        </is>
      </c>
      <c r="C6" s="12">
        <f>IF(OR(D6="◎",E6="◎"),"◎ 営業",IF(OR(D6="△",E6="△"),"△ 着手済・要確認",IF(OR(D6="？",E6="？"),"？ 期間要確認","✕ 対象外")))</f>
        <v/>
      </c>
      <c r="D6" s="13">
        <f>IF(J6="計画なし","－",IF(J6="策定済","✕",IF(H6="","？",IF(AND(H6&gt;='集計・設定'!$C$4,H6&lt;='集計・設定'!$C$5),IF(J6="着手済","△","◎"),"✕"))))</f>
        <v/>
      </c>
      <c r="E6" s="13">
        <f>IF(P6="計画なし","－",IF(P6="策定済","✕",IF(N6="","？",IF(AND(N6&gt;='集計・設定'!$C$4,N6&lt;='集計・設定'!$C$5),IF(P6="着手済","△","◎"),"✕"))))</f>
        <v/>
      </c>
      <c r="F6" s="11" t="inlineStr">
        <is>
          <t>土浦市地域公共交通計画</t>
        </is>
      </c>
      <c r="G6" s="11" t="inlineStr">
        <is>
          <t>R4〜R8</t>
        </is>
      </c>
      <c r="H6" s="16" t="n">
        <v>8</v>
      </c>
      <c r="I6" s="13" t="inlineStr">
        <is>
          <t>推定</t>
        </is>
      </c>
      <c r="J6" s="13" t="inlineStr">
        <is>
          <t>未確認</t>
        </is>
      </c>
      <c r="K6" s="14" t="inlineStr">
        <is>
          <t>https://www.city.tsuchiura.lg.jp/page/page009677.html</t>
        </is>
      </c>
      <c r="L6" s="11" t="inlineStr">
        <is>
          <t>第三期土浦市環境基本計画</t>
        </is>
      </c>
      <c r="M6" s="11" t="inlineStr">
        <is>
          <t>R4〜R13</t>
        </is>
      </c>
      <c r="N6" s="13" t="n">
        <v>13</v>
      </c>
      <c r="O6" s="13" t="inlineStr">
        <is>
          <t>確認済</t>
        </is>
      </c>
      <c r="P6" s="13" t="inlineStr">
        <is>
          <t>未確認</t>
        </is>
      </c>
      <c r="Q6" s="14" t="inlineStr">
        <is>
          <t>https://www.city.tsuchiura.lg.jp/shisei/shinokeikaku/kankyo-kotsu-machizukuri/page017189.html</t>
        </is>
      </c>
      <c r="R6" s="11" t="inlineStr">
        <is>
          <t>交通計画はR4年3月策定（網形成計画の後継）。期間R4〜R8は5年と推定（検索要約で示唆されたが原文未確認）。R8終了なら次期計画作業が今年度進行中の可能性大だが、検索上限到達のため未確認。要確認。</t>
        </is>
      </c>
      <c r="S6" s="15" t="inlineStr">
        <is>
          <t>調査済</t>
        </is>
      </c>
    </row>
    <row r="7">
      <c r="A7" s="11" t="n">
        <v>4</v>
      </c>
      <c r="B7" s="11" t="inlineStr">
        <is>
          <t>古河市</t>
        </is>
      </c>
      <c r="C7" s="12">
        <f>IF(OR(D7="◎",E7="◎"),"◎ 営業",IF(OR(D7="△",E7="△"),"△ 着手済・要確認",IF(OR(D7="？",E7="？"),"？ 期間要確認","✕ 対象外")))</f>
        <v/>
      </c>
      <c r="D7" s="13">
        <f>IF(J7="計画なし","－",IF(J7="策定済","✕",IF(H7="","？",IF(AND(H7&gt;='集計・設定'!$C$4,H7&lt;='集計・設定'!$C$5),IF(J7="着手済","△","◎"),"✕"))))</f>
        <v/>
      </c>
      <c r="E7" s="13">
        <f>IF(P7="計画なし","－",IF(P7="策定済","✕",IF(N7="","？",IF(AND(N7&gt;='集計・設定'!$C$4,N7&lt;='集計・設定'!$C$5),IF(P7="着手済","△","◎"),"✕"))))</f>
        <v/>
      </c>
      <c r="F7" s="11" t="n"/>
      <c r="G7" s="11" t="inlineStr">
        <is>
          <t>不明</t>
        </is>
      </c>
      <c r="H7" s="13" t="n"/>
      <c r="I7" s="13" t="inlineStr">
        <is>
          <t>不明</t>
        </is>
      </c>
      <c r="J7" s="13" t="inlineStr">
        <is>
          <t>未確認</t>
        </is>
      </c>
      <c r="K7" s="11" t="n"/>
      <c r="L7" s="11" t="n"/>
      <c r="M7" s="11" t="inlineStr">
        <is>
          <t>不明</t>
        </is>
      </c>
      <c r="N7" s="13" t="n"/>
      <c r="O7" s="13" t="inlineStr">
        <is>
          <t>不明</t>
        </is>
      </c>
      <c r="P7" s="13" t="inlineStr">
        <is>
          <t>未確認</t>
        </is>
      </c>
      <c r="Q7" s="11" t="n"/>
      <c r="R7" s="11" t="inlineStr">
        <is>
          <t>未調査（セッションのWebSearch上限200回に到達し、自治体サイトへの直接アクセスもプロキシで遮断されたため調査不能）。要再調査。</t>
        </is>
      </c>
      <c r="S7" s="17" t="inlineStr">
        <is>
          <t>未調査</t>
        </is>
      </c>
    </row>
    <row r="8">
      <c r="A8" s="11" t="n">
        <v>5</v>
      </c>
      <c r="B8" s="11" t="inlineStr">
        <is>
          <t>石岡市</t>
        </is>
      </c>
      <c r="C8" s="12">
        <f>IF(OR(D8="◎",E8="◎"),"◎ 営業",IF(OR(D8="△",E8="△"),"△ 着手済・要確認",IF(OR(D8="？",E8="？"),"？ 期間要確認","✕ 対象外")))</f>
        <v/>
      </c>
      <c r="D8" s="13">
        <f>IF(J8="計画なし","－",IF(J8="策定済","✕",IF(H8="","？",IF(AND(H8&gt;='集計・設定'!$C$4,H8&lt;='集計・設定'!$C$5),IF(J8="着手済","△","◎"),"✕"))))</f>
        <v/>
      </c>
      <c r="E8" s="13">
        <f>IF(P8="計画なし","－",IF(P8="策定済","✕",IF(N8="","？",IF(AND(N8&gt;='集計・設定'!$C$4,N8&lt;='集計・設定'!$C$5),IF(P8="着手済","△","◎"),"✕"))))</f>
        <v/>
      </c>
      <c r="F8" s="11" t="n"/>
      <c r="G8" s="11" t="inlineStr">
        <is>
          <t>不明</t>
        </is>
      </c>
      <c r="H8" s="13" t="n"/>
      <c r="I8" s="13" t="inlineStr">
        <is>
          <t>不明</t>
        </is>
      </c>
      <c r="J8" s="13" t="inlineStr">
        <is>
          <t>未確認</t>
        </is>
      </c>
      <c r="K8" s="11" t="n"/>
      <c r="L8" s="11" t="n"/>
      <c r="M8" s="11" t="inlineStr">
        <is>
          <t>不明</t>
        </is>
      </c>
      <c r="N8" s="13" t="n"/>
      <c r="O8" s="13" t="inlineStr">
        <is>
          <t>不明</t>
        </is>
      </c>
      <c r="P8" s="13" t="inlineStr">
        <is>
          <t>未確認</t>
        </is>
      </c>
      <c r="Q8" s="11" t="n"/>
      <c r="R8" s="11" t="inlineStr">
        <is>
          <t>未調査（セッションのWebSearch上限200回に到達し、自治体サイトへの直接アクセスもプロキシで遮断されたため調査不能）。要再調査。</t>
        </is>
      </c>
      <c r="S8" s="17" t="inlineStr">
        <is>
          <t>未調査</t>
        </is>
      </c>
    </row>
    <row r="9">
      <c r="A9" s="11" t="n">
        <v>6</v>
      </c>
      <c r="B9" s="11" t="inlineStr">
        <is>
          <t>結城市</t>
        </is>
      </c>
      <c r="C9" s="12">
        <f>IF(OR(D9="◎",E9="◎"),"◎ 営業",IF(OR(D9="△",E9="△"),"△ 着手済・要確認",IF(OR(D9="？",E9="？"),"？ 期間要確認","✕ 対象外")))</f>
        <v/>
      </c>
      <c r="D9" s="13">
        <f>IF(J9="計画なし","－",IF(J9="策定済","✕",IF(H9="","？",IF(AND(H9&gt;='集計・設定'!$C$4,H9&lt;='集計・設定'!$C$5),IF(J9="着手済","△","◎"),"✕"))))</f>
        <v/>
      </c>
      <c r="E9" s="13">
        <f>IF(P9="計画なし","－",IF(P9="策定済","✕",IF(N9="","？",IF(AND(N9&gt;='集計・設定'!$C$4,N9&lt;='集計・設定'!$C$5),IF(P9="着手済","△","◎"),"✕"))))</f>
        <v/>
      </c>
      <c r="F9" s="11" t="n"/>
      <c r="G9" s="11" t="inlineStr">
        <is>
          <t>不明</t>
        </is>
      </c>
      <c r="H9" s="13" t="n"/>
      <c r="I9" s="13" t="inlineStr">
        <is>
          <t>不明</t>
        </is>
      </c>
      <c r="J9" s="13" t="inlineStr">
        <is>
          <t>未確認</t>
        </is>
      </c>
      <c r="K9" s="11" t="n"/>
      <c r="L9" s="11" t="n"/>
      <c r="M9" s="11" t="inlineStr">
        <is>
          <t>不明</t>
        </is>
      </c>
      <c r="N9" s="13" t="n"/>
      <c r="O9" s="13" t="inlineStr">
        <is>
          <t>不明</t>
        </is>
      </c>
      <c r="P9" s="13" t="inlineStr">
        <is>
          <t>未確認</t>
        </is>
      </c>
      <c r="Q9" s="11" t="n"/>
      <c r="R9" s="11" t="inlineStr">
        <is>
          <t>未調査（セッションのWebSearch上限200回に到達し、自治体サイトへの直接アクセスもプロキシで遮断されたため調査不能）。要再調査。</t>
        </is>
      </c>
      <c r="S9" s="17" t="inlineStr">
        <is>
          <t>未調査</t>
        </is>
      </c>
    </row>
    <row r="10">
      <c r="A10" s="11" t="n">
        <v>7</v>
      </c>
      <c r="B10" s="11" t="inlineStr">
        <is>
          <t>龍ケ崎市</t>
        </is>
      </c>
      <c r="C10" s="12">
        <f>IF(OR(D10="◎",E10="◎"),"◎ 営業",IF(OR(D10="△",E10="△"),"△ 着手済・要確認",IF(OR(D10="？",E10="？"),"？ 期間要確認","✕ 対象外")))</f>
        <v/>
      </c>
      <c r="D10" s="13">
        <f>IF(J10="計画なし","－",IF(J10="策定済","✕",IF(H10="","？",IF(AND(H10&gt;='集計・設定'!$C$4,H10&lt;='集計・設定'!$C$5),IF(J10="着手済","△","◎"),"✕"))))</f>
        <v/>
      </c>
      <c r="E10" s="13">
        <f>IF(P10="計画なし","－",IF(P10="策定済","✕",IF(N10="","？",IF(AND(N10&gt;='集計・設定'!$C$4,N10&lt;='集計・設定'!$C$5),IF(P10="着手済","△","◎"),"✕"))))</f>
        <v/>
      </c>
      <c r="F10" s="11" t="n"/>
      <c r="G10" s="11" t="inlineStr">
        <is>
          <t>不明</t>
        </is>
      </c>
      <c r="H10" s="13" t="n"/>
      <c r="I10" s="13" t="inlineStr">
        <is>
          <t>不明</t>
        </is>
      </c>
      <c r="J10" s="13" t="inlineStr">
        <is>
          <t>未確認</t>
        </is>
      </c>
      <c r="K10" s="11" t="n"/>
      <c r="L10" s="11" t="n"/>
      <c r="M10" s="11" t="inlineStr">
        <is>
          <t>不明</t>
        </is>
      </c>
      <c r="N10" s="13" t="n"/>
      <c r="O10" s="13" t="inlineStr">
        <is>
          <t>不明</t>
        </is>
      </c>
      <c r="P10" s="13" t="inlineStr">
        <is>
          <t>未確認</t>
        </is>
      </c>
      <c r="Q10" s="11" t="n"/>
      <c r="R10" s="11" t="inlineStr">
        <is>
          <t>未調査（セッションのWebSearch上限200回に到達し、自治体サイトへの直接アクセスもプロキシで遮断されたため調査不能）。要再調査。</t>
        </is>
      </c>
      <c r="S10" s="17" t="inlineStr">
        <is>
          <t>未調査</t>
        </is>
      </c>
    </row>
    <row r="11">
      <c r="A11" s="11" t="n">
        <v>8</v>
      </c>
      <c r="B11" s="11" t="inlineStr">
        <is>
          <t>下妻市</t>
        </is>
      </c>
      <c r="C11" s="12">
        <f>IF(OR(D11="◎",E11="◎"),"◎ 営業",IF(OR(D11="△",E11="△"),"△ 着手済・要確認",IF(OR(D11="？",E11="？"),"？ 期間要確認","✕ 対象外")))</f>
        <v/>
      </c>
      <c r="D11" s="13">
        <f>IF(J11="計画なし","－",IF(J11="策定済","✕",IF(H11="","？",IF(AND(H11&gt;='集計・設定'!$C$4,H11&lt;='集計・設定'!$C$5),IF(J11="着手済","△","◎"),"✕"))))</f>
        <v/>
      </c>
      <c r="E11" s="13">
        <f>IF(P11="計画なし","－",IF(P11="策定済","✕",IF(N11="","？",IF(AND(N11&gt;='集計・設定'!$C$4,N11&lt;='集計・設定'!$C$5),IF(P11="着手済","△","◎"),"✕"))))</f>
        <v/>
      </c>
      <c r="F11" s="11" t="n"/>
      <c r="G11" s="11" t="inlineStr">
        <is>
          <t>不明</t>
        </is>
      </c>
      <c r="H11" s="13" t="n"/>
      <c r="I11" s="13" t="inlineStr">
        <is>
          <t>不明</t>
        </is>
      </c>
      <c r="J11" s="13" t="inlineStr">
        <is>
          <t>未確認</t>
        </is>
      </c>
      <c r="K11" s="11" t="n"/>
      <c r="L11" s="11" t="n"/>
      <c r="M11" s="11" t="inlineStr">
        <is>
          <t>不明</t>
        </is>
      </c>
      <c r="N11" s="13" t="n"/>
      <c r="O11" s="13" t="inlineStr">
        <is>
          <t>不明</t>
        </is>
      </c>
      <c r="P11" s="13" t="inlineStr">
        <is>
          <t>未確認</t>
        </is>
      </c>
      <c r="Q11" s="11" t="n"/>
      <c r="R11" s="11" t="inlineStr">
        <is>
          <t>未調査（セッションのWebSearch上限200回に到達し、自治体サイトへの直接アクセスもプロキシで遮断されたため調査不能）。要再調査。</t>
        </is>
      </c>
      <c r="S11" s="17" t="inlineStr">
        <is>
          <t>未調査</t>
        </is>
      </c>
    </row>
    <row r="12">
      <c r="A12" s="11" t="n">
        <v>9</v>
      </c>
      <c r="B12" s="11" t="inlineStr">
        <is>
          <t>常総市</t>
        </is>
      </c>
      <c r="C12" s="12">
        <f>IF(OR(D12="◎",E12="◎"),"◎ 営業",IF(OR(D12="△",E12="△"),"△ 着手済・要確認",IF(OR(D12="？",E12="？"),"？ 期間要確認","✕ 対象外")))</f>
        <v/>
      </c>
      <c r="D12" s="13">
        <f>IF(J12="計画なし","－",IF(J12="策定済","✕",IF(H12="","？",IF(AND(H12&gt;='集計・設定'!$C$4,H12&lt;='集計・設定'!$C$5),IF(J12="着手済","△","◎"),"✕"))))</f>
        <v/>
      </c>
      <c r="E12" s="13">
        <f>IF(P12="計画なし","－",IF(P12="策定済","✕",IF(N12="","？",IF(AND(N12&gt;='集計・設定'!$C$4,N12&lt;='集計・設定'!$C$5),IF(P12="着手済","△","◎"),"✕"))))</f>
        <v/>
      </c>
      <c r="F12" s="11" t="n"/>
      <c r="G12" s="11" t="inlineStr">
        <is>
          <t>不明</t>
        </is>
      </c>
      <c r="H12" s="13" t="n"/>
      <c r="I12" s="13" t="inlineStr">
        <is>
          <t>不明</t>
        </is>
      </c>
      <c r="J12" s="13" t="inlineStr">
        <is>
          <t>未確認</t>
        </is>
      </c>
      <c r="K12" s="11" t="n"/>
      <c r="L12" s="11" t="n"/>
      <c r="M12" s="11" t="inlineStr">
        <is>
          <t>不明</t>
        </is>
      </c>
      <c r="N12" s="13" t="n"/>
      <c r="O12" s="13" t="inlineStr">
        <is>
          <t>不明</t>
        </is>
      </c>
      <c r="P12" s="13" t="inlineStr">
        <is>
          <t>未確認</t>
        </is>
      </c>
      <c r="Q12" s="11" t="n"/>
      <c r="R12" s="11" t="inlineStr">
        <is>
          <t>未調査（セッションのWebSearch上限200回に到達し、自治体サイトへの直接アクセスもプロキシで遮断されたため調査不能）。要再調査。</t>
        </is>
      </c>
      <c r="S12" s="17" t="inlineStr">
        <is>
          <t>未調査</t>
        </is>
      </c>
    </row>
    <row r="13">
      <c r="A13" s="11" t="n">
        <v>10</v>
      </c>
      <c r="B13" s="11" t="inlineStr">
        <is>
          <t>常陸太田市</t>
        </is>
      </c>
      <c r="C13" s="12">
        <f>IF(OR(D13="◎",E13="◎"),"◎ 営業",IF(OR(D13="△",E13="△"),"△ 着手済・要確認",IF(OR(D13="？",E13="？"),"？ 期間要確認","✕ 対象外")))</f>
        <v/>
      </c>
      <c r="D13" s="13">
        <f>IF(J13="計画なし","－",IF(J13="策定済","✕",IF(H13="","？",IF(AND(H13&gt;='集計・設定'!$C$4,H13&lt;='集計・設定'!$C$5),IF(J13="着手済","△","◎"),"✕"))))</f>
        <v/>
      </c>
      <c r="E13" s="13">
        <f>IF(P13="計画なし","－",IF(P13="策定済","✕",IF(N13="","？",IF(AND(N13&gt;='集計・設定'!$C$4,N13&lt;='集計・設定'!$C$5),IF(P13="着手済","△","◎"),"✕"))))</f>
        <v/>
      </c>
      <c r="F13" s="11" t="n"/>
      <c r="G13" s="11" t="inlineStr">
        <is>
          <t>不明</t>
        </is>
      </c>
      <c r="H13" s="13" t="n"/>
      <c r="I13" s="13" t="inlineStr">
        <is>
          <t>不明</t>
        </is>
      </c>
      <c r="J13" s="13" t="inlineStr">
        <is>
          <t>未確認</t>
        </is>
      </c>
      <c r="K13" s="11" t="n"/>
      <c r="L13" s="11" t="n"/>
      <c r="M13" s="11" t="inlineStr">
        <is>
          <t>不明</t>
        </is>
      </c>
      <c r="N13" s="13" t="n"/>
      <c r="O13" s="13" t="inlineStr">
        <is>
          <t>不明</t>
        </is>
      </c>
      <c r="P13" s="13" t="inlineStr">
        <is>
          <t>未確認</t>
        </is>
      </c>
      <c r="Q13" s="11" t="n"/>
      <c r="R13" s="11" t="inlineStr">
        <is>
          <t>未調査（セッションのWebSearch上限200回に到達し、自治体サイトへの直接アクセスもプロキシで遮断されたため調査不能）。要再調査。</t>
        </is>
      </c>
      <c r="S13" s="17" t="inlineStr">
        <is>
          <t>未調査</t>
        </is>
      </c>
    </row>
    <row r="14">
      <c r="A14" s="11" t="n">
        <v>11</v>
      </c>
      <c r="B14" s="11" t="inlineStr">
        <is>
          <t>高萩市</t>
        </is>
      </c>
      <c r="C14" s="12">
        <f>IF(OR(D14="◎",E14="◎"),"◎ 営業",IF(OR(D14="△",E14="△"),"△ 着手済・要確認",IF(OR(D14="？",E14="？"),"？ 期間要確認","✕ 対象外")))</f>
        <v/>
      </c>
      <c r="D14" s="13">
        <f>IF(J14="計画なし","－",IF(J14="策定済","✕",IF(H14="","？",IF(AND(H14&gt;='集計・設定'!$C$4,H14&lt;='集計・設定'!$C$5),IF(J14="着手済","△","◎"),"✕"))))</f>
        <v/>
      </c>
      <c r="E14" s="13">
        <f>IF(P14="計画なし","－",IF(P14="策定済","✕",IF(N14="","？",IF(AND(N14&gt;='集計・設定'!$C$4,N14&lt;='集計・設定'!$C$5),IF(P14="着手済","△","◎"),"✕"))))</f>
        <v/>
      </c>
      <c r="F14" s="11" t="n"/>
      <c r="G14" s="11" t="inlineStr">
        <is>
          <t>不明</t>
        </is>
      </c>
      <c r="H14" s="13" t="n"/>
      <c r="I14" s="13" t="inlineStr">
        <is>
          <t>不明</t>
        </is>
      </c>
      <c r="J14" s="13" t="inlineStr">
        <is>
          <t>未確認</t>
        </is>
      </c>
      <c r="K14" s="11" t="n"/>
      <c r="L14" s="11" t="n"/>
      <c r="M14" s="11" t="inlineStr">
        <is>
          <t>不明</t>
        </is>
      </c>
      <c r="N14" s="13" t="n"/>
      <c r="O14" s="13" t="inlineStr">
        <is>
          <t>不明</t>
        </is>
      </c>
      <c r="P14" s="13" t="inlineStr">
        <is>
          <t>未確認</t>
        </is>
      </c>
      <c r="Q14" s="11" t="n"/>
      <c r="R14" s="11" t="inlineStr">
        <is>
          <t>未調査（セッションのWebSearch上限200回に到達し、自治体サイトへの直接アクセスもプロキシで遮断されたため調査不能）。要再調査。</t>
        </is>
      </c>
      <c r="S14" s="17" t="inlineStr">
        <is>
          <t>未調査</t>
        </is>
      </c>
    </row>
    <row r="15">
      <c r="A15" s="11" t="n">
        <v>12</v>
      </c>
      <c r="B15" s="11" t="inlineStr">
        <is>
          <t>北茨城市</t>
        </is>
      </c>
      <c r="C15" s="12">
        <f>IF(OR(D15="◎",E15="◎"),"◎ 営業",IF(OR(D15="△",E15="△"),"△ 着手済・要確認",IF(OR(D15="？",E15="？"),"？ 期間要確認","✕ 対象外")))</f>
        <v/>
      </c>
      <c r="D15" s="13">
        <f>IF(J15="計画なし","－",IF(J15="策定済","✕",IF(H15="","？",IF(AND(H15&gt;='集計・設定'!$C$4,H15&lt;='集計・設定'!$C$5),IF(J15="着手済","△","◎"),"✕"))))</f>
        <v/>
      </c>
      <c r="E15" s="13">
        <f>IF(P15="計画なし","－",IF(P15="策定済","✕",IF(N15="","？",IF(AND(N15&gt;='集計・設定'!$C$4,N15&lt;='集計・設定'!$C$5),IF(P15="着手済","△","◎"),"✕"))))</f>
        <v/>
      </c>
      <c r="F15" s="11" t="inlineStr">
        <is>
          <t>北茨城市地域公共交通計画</t>
        </is>
      </c>
      <c r="G15" s="11" t="inlineStr">
        <is>
          <t>R6〜R10</t>
        </is>
      </c>
      <c r="H15" s="13" t="n">
        <v>10</v>
      </c>
      <c r="I15" s="13" t="inlineStr">
        <is>
          <t>確認済</t>
        </is>
      </c>
      <c r="J15" s="13" t="inlineStr">
        <is>
          <t>未確認</t>
        </is>
      </c>
      <c r="K15" s="14" t="inlineStr">
        <is>
          <t>https://www.city.kitaibaraki.lg.jp/docs/2024013000015</t>
        </is>
      </c>
      <c r="L15" s="11" t="inlineStr">
        <is>
          <t>第2次北茨城市環境基本計画</t>
        </is>
      </c>
      <c r="M15" s="11" t="inlineStr">
        <is>
          <t>R7〜R16</t>
        </is>
      </c>
      <c r="N15" s="13" t="n">
        <v>16</v>
      </c>
      <c r="O15" s="13" t="inlineStr">
        <is>
          <t>確認済</t>
        </is>
      </c>
      <c r="P15" s="13" t="inlineStr">
        <is>
          <t>策定済</t>
        </is>
      </c>
      <c r="Q15" s="14" t="inlineStr">
        <is>
          <t>https://cms.city.kitaibaraki.lg.jp/docs/2025060500022/file_contents/file_20256113161234_1.pdf</t>
        </is>
      </c>
      <c r="R15" s="11" t="inlineStr">
        <is>
          <t>環境基本計画は2025(R7)年3月策定・2025〜2034年度。区域施策編(R3策定)・エネルギービジョン(R6.4)あり。交通計画の次期改定作業は未確認。立地適正化計画素案のパブコメ実施(2026年8月) https://www.city.kitaibaraki.lg.jp/docs/2026080500016</t>
        </is>
      </c>
      <c r="S15" s="15" t="inlineStr">
        <is>
          <t>調査済</t>
        </is>
      </c>
    </row>
    <row r="16">
      <c r="A16" s="11" t="n">
        <v>13</v>
      </c>
      <c r="B16" s="11" t="inlineStr">
        <is>
          <t>笠間市</t>
        </is>
      </c>
      <c r="C16" s="12">
        <f>IF(OR(D16="◎",E16="◎"),"◎ 営業",IF(OR(D16="△",E16="△"),"△ 着手済・要確認",IF(OR(D16="？",E16="？"),"？ 期間要確認","✕ 対象外")))</f>
        <v/>
      </c>
      <c r="D16" s="13">
        <f>IF(J16="計画なし","－",IF(J16="策定済","✕",IF(H16="","？",IF(AND(H16&gt;='集計・設定'!$C$4,H16&lt;='集計・設定'!$C$5),IF(J16="着手済","△","◎"),"✕"))))</f>
        <v/>
      </c>
      <c r="E16" s="13">
        <f>IF(P16="計画なし","－",IF(P16="策定済","✕",IF(N16="","？",IF(AND(N16&gt;='集計・設定'!$C$4,N16&lt;='集計・設定'!$C$5),IF(P16="着手済","△","◎"),"✕"))))</f>
        <v/>
      </c>
      <c r="F16" s="11" t="inlineStr">
        <is>
          <t>笠間市地域公共交通計画</t>
        </is>
      </c>
      <c r="G16" s="11" t="inlineStr">
        <is>
          <t>R7〜R11</t>
        </is>
      </c>
      <c r="H16" s="13" t="n">
        <v>11</v>
      </c>
      <c r="I16" s="13" t="inlineStr">
        <is>
          <t>確認済</t>
        </is>
      </c>
      <c r="J16" s="13" t="inlineStr">
        <is>
          <t>策定済</t>
        </is>
      </c>
      <c r="K16" s="14" t="inlineStr">
        <is>
          <t>https://www.city.kasama.lg.jp/data/doc/1758843883_doc_70_0.pdf</t>
        </is>
      </c>
      <c r="L16" s="11" t="inlineStr">
        <is>
          <t>第3次笠間市環境基本計画</t>
        </is>
      </c>
      <c r="M16" s="11" t="inlineStr">
        <is>
          <t>R8〜R12</t>
        </is>
      </c>
      <c r="N16" s="13" t="n">
        <v>12</v>
      </c>
      <c r="O16" s="13" t="inlineStr">
        <is>
          <t>確認済</t>
        </is>
      </c>
      <c r="P16" s="13" t="inlineStr">
        <is>
          <t>策定済</t>
        </is>
      </c>
      <c r="Q16" s="14" t="inlineStr">
        <is>
          <t>https://www.city.kasama.lg.jp/data/doc/1774510801_doc_207_0.pdf</t>
        </is>
      </c>
      <c r="R16" s="11" t="inlineStr">
        <is>
          <t>交通計画はR7年7月策定(2025〜2029年度)。環境基本計画第3次はR8年3月策定。いずれもPDF URLは検索結果上のもので本文の同定は未検証(取得ブロック)。</t>
        </is>
      </c>
      <c r="S16" s="15" t="inlineStr">
        <is>
          <t>調査済</t>
        </is>
      </c>
    </row>
    <row r="17">
      <c r="A17" s="11" t="n">
        <v>14</v>
      </c>
      <c r="B17" s="11" t="inlineStr">
        <is>
          <t>取手市</t>
        </is>
      </c>
      <c r="C17" s="12">
        <f>IF(OR(D17="◎",E17="◎"),"◎ 営業",IF(OR(D17="△",E17="△"),"△ 着手済・要確認",IF(OR(D17="？",E17="？"),"？ 期間要確認","✕ 対象外")))</f>
        <v/>
      </c>
      <c r="D17" s="13">
        <f>IF(J17="計画なし","－",IF(J17="策定済","✕",IF(H17="","？",IF(AND(H17&gt;='集計・設定'!$C$4,H17&lt;='集計・設定'!$C$5),IF(J17="着手済","△","◎"),"✕"))))</f>
        <v/>
      </c>
      <c r="E17" s="13">
        <f>IF(P17="計画なし","－",IF(P17="策定済","✕",IF(N17="","？",IF(AND(N17&gt;='集計・設定'!$C$4,N17&lt;='集計・設定'!$C$5),IF(P17="着手済","△","◎"),"✕"))))</f>
        <v/>
      </c>
      <c r="F17" s="11" t="inlineStr">
        <is>
          <t>取手市地域公共交通計画</t>
        </is>
      </c>
      <c r="G17" s="11" t="inlineStr">
        <is>
          <t>不明</t>
        </is>
      </c>
      <c r="H17" s="13" t="n"/>
      <c r="I17" s="13" t="inlineStr">
        <is>
          <t>不明</t>
        </is>
      </c>
      <c r="J17" s="13" t="inlineStr">
        <is>
          <t>未確認</t>
        </is>
      </c>
      <c r="K17" s="14" t="inlineStr">
        <is>
          <t>https://www.city.toride.ibaraki.jp/seisaku/shise/machizukuri/sogo/plan2024/kanrenkeikaku.html</t>
        </is>
      </c>
      <c r="L17" s="11" t="inlineStr">
        <is>
          <t>第二次取手市環境基本計画</t>
        </is>
      </c>
      <c r="M17" s="11" t="inlineStr">
        <is>
          <t>R1〜R10</t>
        </is>
      </c>
      <c r="N17" s="13" t="n">
        <v>10</v>
      </c>
      <c r="O17" s="13" t="inlineStr">
        <is>
          <t>確認済</t>
        </is>
      </c>
      <c r="P17" s="13" t="inlineStr">
        <is>
          <t>未確認</t>
        </is>
      </c>
      <c r="Q17" s="14" t="inlineStr">
        <is>
          <t>https://www.city.toride.ibaraki.jp/seisaku/shise/machizukuri/sogo/plan2024/documents/33dai2jikannkyoukihonkeikaku.pdf</t>
        </is>
      </c>
      <c r="R17" s="11" t="inlineStr">
        <is>
          <t>交通計画は総合計画関連計画ページで存在のみ確認、期間不明(t_urlは関連計画一覧ページ)。環境基本計画は2019〜2028年度(2024年度中間見直し予定)。区域施策編R5〜R12あり。緑の基本計画R8.3改訂。</t>
        </is>
      </c>
      <c r="S17" s="15" t="inlineStr">
        <is>
          <t>調査済</t>
        </is>
      </c>
    </row>
    <row r="18">
      <c r="A18" s="11" t="n">
        <v>15</v>
      </c>
      <c r="B18" s="11" t="inlineStr">
        <is>
          <t>牛久市</t>
        </is>
      </c>
      <c r="C18" s="12">
        <f>IF(OR(D18="◎",E18="◎"),"◎ 営業",IF(OR(D18="△",E18="△"),"△ 着手済・要確認",IF(OR(D18="？",E18="？"),"？ 期間要確認","✕ 対象外")))</f>
        <v/>
      </c>
      <c r="D18" s="13">
        <f>IF(J18="計画なし","－",IF(J18="策定済","✕",IF(H18="","？",IF(AND(H18&gt;='集計・設定'!$C$4,H18&lt;='集計・設定'!$C$5),IF(J18="着手済","△","◎"),"✕"))))</f>
        <v/>
      </c>
      <c r="E18" s="13">
        <f>IF(P18="計画なし","－",IF(P18="策定済","✕",IF(N18="","？",IF(AND(N18&gt;='集計・設定'!$C$4,N18&lt;='集計・設定'!$C$5),IF(P18="着手済","△","◎"),"✕"))))</f>
        <v/>
      </c>
      <c r="F18" s="11" t="inlineStr">
        <is>
          <t>第2次牛久市地域公共交通計画</t>
        </is>
      </c>
      <c r="G18" s="11" t="inlineStr">
        <is>
          <t>R8〜R11</t>
        </is>
      </c>
      <c r="H18" s="13" t="n">
        <v>11</v>
      </c>
      <c r="I18" s="13" t="inlineStr">
        <is>
          <t>確認済</t>
        </is>
      </c>
      <c r="J18" s="13" t="inlineStr">
        <is>
          <t>策定済</t>
        </is>
      </c>
      <c r="K18" s="14" t="inlineStr">
        <is>
          <t>https://www.city.ushiku.lg.jp/kurashi-tetsuduki/seikatsu/kokyokotsu/page014651.html</t>
        </is>
      </c>
      <c r="L18" s="11" t="inlineStr">
        <is>
          <t>牛久市第4期環境基本計画</t>
        </is>
      </c>
      <c r="M18" s="11" t="inlineStr">
        <is>
          <t>R4〜R8</t>
        </is>
      </c>
      <c r="N18" s="13" t="n">
        <v>8</v>
      </c>
      <c r="O18" s="13" t="inlineStr">
        <is>
          <t>確認済</t>
        </is>
      </c>
      <c r="P18" s="13" t="inlineStr">
        <is>
          <t>未確認</t>
        </is>
      </c>
      <c r="Q18" s="14" t="inlineStr">
        <is>
          <t>https://www.city.ushiku.lg.jp/page/page002088.html</t>
        </is>
      </c>
      <c r="R18" s="11" t="inlineStr">
        <is>
          <t>交通計画第2次は素案R8.1→策定済(R8〜R11)、R8.10バス路線再編予定。環境基本計画(第4期)はR8年度末で終了→第5期策定作業がR8年度進行中の可能性大だが検索上限で未確認。e_urlは環境政策課ページ。</t>
        </is>
      </c>
      <c r="S18" s="15" t="inlineStr">
        <is>
          <t>調査済</t>
        </is>
      </c>
    </row>
    <row r="19">
      <c r="A19" s="11" t="n">
        <v>16</v>
      </c>
      <c r="B19" s="11" t="inlineStr">
        <is>
          <t>つくば市</t>
        </is>
      </c>
      <c r="C19" s="12">
        <f>IF(OR(D19="◎",E19="◎"),"◎ 営業",IF(OR(D19="△",E19="△"),"△ 着手済・要確認",IF(OR(D19="？",E19="？"),"？ 期間要確認","✕ 対象外")))</f>
        <v/>
      </c>
      <c r="D19" s="13">
        <f>IF(J19="計画なし","－",IF(J19="策定済","✕",IF(H19="","？",IF(AND(H19&gt;='集計・設定'!$C$4,H19&lt;='集計・設定'!$C$5),IF(J19="着手済","△","◎"),"✕"))))</f>
        <v/>
      </c>
      <c r="E19" s="13">
        <f>IF(P19="計画なし","－",IF(P19="策定済","✕",IF(N19="","？",IF(AND(N19&gt;='集計・設定'!$C$4,N19&lt;='集計・設定'!$C$5),IF(P19="着手済","△","◎"),"✕"))))</f>
        <v/>
      </c>
      <c r="F19" s="11" t="n"/>
      <c r="G19" s="11" t="inlineStr">
        <is>
          <t>不明</t>
        </is>
      </c>
      <c r="H19" s="13" t="n"/>
      <c r="I19" s="13" t="inlineStr">
        <is>
          <t>不明</t>
        </is>
      </c>
      <c r="J19" s="13" t="inlineStr">
        <is>
          <t>未確認</t>
        </is>
      </c>
      <c r="K19" s="11" t="n"/>
      <c r="L19" s="11" t="n"/>
      <c r="M19" s="11" t="inlineStr">
        <is>
          <t>不明</t>
        </is>
      </c>
      <c r="N19" s="13" t="n"/>
      <c r="O19" s="13" t="inlineStr">
        <is>
          <t>不明</t>
        </is>
      </c>
      <c r="P19" s="13" t="inlineStr">
        <is>
          <t>未確認</t>
        </is>
      </c>
      <c r="Q19" s="11" t="n"/>
      <c r="R19" s="11" t="inlineStr">
        <is>
          <t>未調査：セッションのWeb検索上限(200回)に達したため調査できず。要再調査。</t>
        </is>
      </c>
      <c r="S19" s="17" t="inlineStr">
        <is>
          <t>未調査</t>
        </is>
      </c>
    </row>
    <row r="20">
      <c r="A20" s="11" t="n">
        <v>17</v>
      </c>
      <c r="B20" s="11" t="inlineStr">
        <is>
          <t>ひたちなか市</t>
        </is>
      </c>
      <c r="C20" s="12">
        <f>IF(OR(D20="◎",E20="◎"),"◎ 営業",IF(OR(D20="△",E20="△"),"△ 着手済・要確認",IF(OR(D20="？",E20="？"),"？ 期間要確認","✕ 対象外")))</f>
        <v/>
      </c>
      <c r="D20" s="13">
        <f>IF(J20="計画なし","－",IF(J20="策定済","✕",IF(H20="","？",IF(AND(H20&gt;='集計・設定'!$C$4,H20&lt;='集計・設定'!$C$5),IF(J20="着手済","△","◎"),"✕"))))</f>
        <v/>
      </c>
      <c r="E20" s="13">
        <f>IF(P20="計画なし","－",IF(P20="策定済","✕",IF(N20="","？",IF(AND(N20&gt;='集計・設定'!$C$4,N20&lt;='集計・設定'!$C$5),IF(P20="着手済","△","◎"),"✕"))))</f>
        <v/>
      </c>
      <c r="F20" s="11" t="n"/>
      <c r="G20" s="11" t="inlineStr">
        <is>
          <t>不明</t>
        </is>
      </c>
      <c r="H20" s="13" t="n"/>
      <c r="I20" s="13" t="inlineStr">
        <is>
          <t>不明</t>
        </is>
      </c>
      <c r="J20" s="13" t="inlineStr">
        <is>
          <t>未確認</t>
        </is>
      </c>
      <c r="K20" s="11" t="n"/>
      <c r="L20" s="11" t="n"/>
      <c r="M20" s="11" t="inlineStr">
        <is>
          <t>不明</t>
        </is>
      </c>
      <c r="N20" s="13" t="n"/>
      <c r="O20" s="13" t="inlineStr">
        <is>
          <t>不明</t>
        </is>
      </c>
      <c r="P20" s="13" t="inlineStr">
        <is>
          <t>未確認</t>
        </is>
      </c>
      <c r="Q20" s="11" t="n"/>
      <c r="R20" s="11" t="inlineStr">
        <is>
          <t>未調査：セッションのWeb検索上限(200回)に達したため調査できず。要再調査。</t>
        </is>
      </c>
      <c r="S20" s="17" t="inlineStr">
        <is>
          <t>未調査</t>
        </is>
      </c>
    </row>
    <row r="21">
      <c r="A21" s="11" t="n">
        <v>18</v>
      </c>
      <c r="B21" s="11" t="inlineStr">
        <is>
          <t>鹿嶋市</t>
        </is>
      </c>
      <c r="C21" s="12">
        <f>IF(OR(D21="◎",E21="◎"),"◎ 営業",IF(OR(D21="△",E21="△"),"△ 着手済・要確認",IF(OR(D21="？",E21="？"),"？ 期間要確認","✕ 対象外")))</f>
        <v/>
      </c>
      <c r="D21" s="13">
        <f>IF(J21="計画なし","－",IF(J21="策定済","✕",IF(H21="","？",IF(AND(H21&gt;='集計・設定'!$C$4,H21&lt;='集計・設定'!$C$5),IF(J21="着手済","△","◎"),"✕"))))</f>
        <v/>
      </c>
      <c r="E21" s="13">
        <f>IF(P21="計画なし","－",IF(P21="策定済","✕",IF(N21="","？",IF(AND(N21&gt;='集計・設定'!$C$4,N21&lt;='集計・設定'!$C$5),IF(P21="着手済","△","◎"),"✕"))))</f>
        <v/>
      </c>
      <c r="F21" s="11" t="n"/>
      <c r="G21" s="11" t="inlineStr">
        <is>
          <t>不明</t>
        </is>
      </c>
      <c r="H21" s="13" t="n"/>
      <c r="I21" s="13" t="inlineStr">
        <is>
          <t>不明</t>
        </is>
      </c>
      <c r="J21" s="13" t="inlineStr">
        <is>
          <t>未確認</t>
        </is>
      </c>
      <c r="K21" s="11" t="n"/>
      <c r="L21" s="11" t="n"/>
      <c r="M21" s="11" t="inlineStr">
        <is>
          <t>不明</t>
        </is>
      </c>
      <c r="N21" s="13" t="n"/>
      <c r="O21" s="13" t="inlineStr">
        <is>
          <t>不明</t>
        </is>
      </c>
      <c r="P21" s="13" t="inlineStr">
        <is>
          <t>未確認</t>
        </is>
      </c>
      <c r="Q21" s="11" t="n"/>
      <c r="R21" s="11" t="inlineStr">
        <is>
          <t>未調査：セッションのWeb検索上限(200回)に達したため調査できず。要再調査。</t>
        </is>
      </c>
      <c r="S21" s="17" t="inlineStr">
        <is>
          <t>未調査</t>
        </is>
      </c>
    </row>
    <row r="22">
      <c r="A22" s="11" t="n">
        <v>19</v>
      </c>
      <c r="B22" s="11" t="inlineStr">
        <is>
          <t>潮来市</t>
        </is>
      </c>
      <c r="C22" s="12">
        <f>IF(OR(D22="◎",E22="◎"),"◎ 営業",IF(OR(D22="△",E22="△"),"△ 着手済・要確認",IF(OR(D22="？",E22="？"),"？ 期間要確認","✕ 対象外")))</f>
        <v/>
      </c>
      <c r="D22" s="13">
        <f>IF(J22="計画なし","－",IF(J22="策定済","✕",IF(H22="","？",IF(AND(H22&gt;='集計・設定'!$C$4,H22&lt;='集計・設定'!$C$5),IF(J22="着手済","△","◎"),"✕"))))</f>
        <v/>
      </c>
      <c r="E22" s="13">
        <f>IF(P22="計画なし","－",IF(P22="策定済","✕",IF(N22="","？",IF(AND(N22&gt;='集計・設定'!$C$4,N22&lt;='集計・設定'!$C$5),IF(P22="着手済","△","◎"),"✕"))))</f>
        <v/>
      </c>
      <c r="F22" s="11" t="n"/>
      <c r="G22" s="11" t="inlineStr">
        <is>
          <t>不明</t>
        </is>
      </c>
      <c r="H22" s="13" t="n"/>
      <c r="I22" s="13" t="inlineStr">
        <is>
          <t>不明</t>
        </is>
      </c>
      <c r="J22" s="13" t="inlineStr">
        <is>
          <t>未確認</t>
        </is>
      </c>
      <c r="K22" s="11" t="n"/>
      <c r="L22" s="11" t="n"/>
      <c r="M22" s="11" t="inlineStr">
        <is>
          <t>不明</t>
        </is>
      </c>
      <c r="N22" s="13" t="n"/>
      <c r="O22" s="13" t="inlineStr">
        <is>
          <t>不明</t>
        </is>
      </c>
      <c r="P22" s="13" t="inlineStr">
        <is>
          <t>未確認</t>
        </is>
      </c>
      <c r="Q22" s="11" t="n"/>
      <c r="R22" s="11" t="inlineStr">
        <is>
          <t>未調査：セッションのWeb検索上限(200回)に達したため調査できず。要再調査。</t>
        </is>
      </c>
      <c r="S22" s="17" t="inlineStr">
        <is>
          <t>未調査</t>
        </is>
      </c>
    </row>
    <row r="23">
      <c r="A23" s="11" t="n">
        <v>20</v>
      </c>
      <c r="B23" s="11" t="inlineStr">
        <is>
          <t>守谷市</t>
        </is>
      </c>
      <c r="C23" s="12">
        <f>IF(OR(D23="◎",E23="◎"),"◎ 営業",IF(OR(D23="△",E23="△"),"△ 着手済・要確認",IF(OR(D23="？",E23="？"),"？ 期間要確認","✕ 対象外")))</f>
        <v/>
      </c>
      <c r="D23" s="13">
        <f>IF(J23="計画なし","－",IF(J23="策定済","✕",IF(H23="","？",IF(AND(H23&gt;='集計・設定'!$C$4,H23&lt;='集計・設定'!$C$5),IF(J23="着手済","△","◎"),"✕"))))</f>
        <v/>
      </c>
      <c r="E23" s="13">
        <f>IF(P23="計画なし","－",IF(P23="策定済","✕",IF(N23="","？",IF(AND(N23&gt;='集計・設定'!$C$4,N23&lt;='集計・設定'!$C$5),IF(P23="着手済","△","◎"),"✕"))))</f>
        <v/>
      </c>
      <c r="F23" s="11" t="n"/>
      <c r="G23" s="11" t="inlineStr">
        <is>
          <t>不明</t>
        </is>
      </c>
      <c r="H23" s="13" t="n"/>
      <c r="I23" s="13" t="inlineStr">
        <is>
          <t>不明</t>
        </is>
      </c>
      <c r="J23" s="13" t="inlineStr">
        <is>
          <t>未確認</t>
        </is>
      </c>
      <c r="K23" s="11" t="n"/>
      <c r="L23" s="11" t="n"/>
      <c r="M23" s="11" t="inlineStr">
        <is>
          <t>不明</t>
        </is>
      </c>
      <c r="N23" s="13" t="n"/>
      <c r="O23" s="13" t="inlineStr">
        <is>
          <t>不明</t>
        </is>
      </c>
      <c r="P23" s="13" t="inlineStr">
        <is>
          <t>未確認</t>
        </is>
      </c>
      <c r="Q23" s="11" t="n"/>
      <c r="R23" s="11" t="inlineStr">
        <is>
          <t>未調査：セッションのWeb検索上限(200回)に達したため調査できず。要再調査。</t>
        </is>
      </c>
      <c r="S23" s="17" t="inlineStr">
        <is>
          <t>未調査</t>
        </is>
      </c>
    </row>
    <row r="24">
      <c r="A24" s="11" t="n">
        <v>21</v>
      </c>
      <c r="B24" s="11" t="inlineStr">
        <is>
          <t>常陸大宮市</t>
        </is>
      </c>
      <c r="C24" s="12">
        <f>IF(OR(D24="◎",E24="◎"),"◎ 営業",IF(OR(D24="△",E24="△"),"△ 着手済・要確認",IF(OR(D24="？",E24="？"),"？ 期間要確認","✕ 対象外")))</f>
        <v/>
      </c>
      <c r="D24" s="13">
        <f>IF(J24="計画なし","－",IF(J24="策定済","✕",IF(H24="","？",IF(AND(H24&gt;='集計・設定'!$C$4,H24&lt;='集計・設定'!$C$5),IF(J24="着手済","△","◎"),"✕"))))</f>
        <v/>
      </c>
      <c r="E24" s="13">
        <f>IF(P24="計画なし","－",IF(P24="策定済","✕",IF(N24="","？",IF(AND(N24&gt;='集計・設定'!$C$4,N24&lt;='集計・設定'!$C$5),IF(P24="着手済","△","◎"),"✕"))))</f>
        <v/>
      </c>
      <c r="F24" s="11" t="n"/>
      <c r="G24" s="11" t="inlineStr">
        <is>
          <t>不明</t>
        </is>
      </c>
      <c r="H24" s="13" t="n"/>
      <c r="I24" s="13" t="inlineStr">
        <is>
          <t>不明</t>
        </is>
      </c>
      <c r="J24" s="13" t="inlineStr">
        <is>
          <t>未確認</t>
        </is>
      </c>
      <c r="K24" s="11" t="n"/>
      <c r="L24" s="11" t="n"/>
      <c r="M24" s="11" t="inlineStr">
        <is>
          <t>不明</t>
        </is>
      </c>
      <c r="N24" s="13" t="n"/>
      <c r="O24" s="13" t="inlineStr">
        <is>
          <t>不明</t>
        </is>
      </c>
      <c r="P24" s="13" t="inlineStr">
        <is>
          <t>未確認</t>
        </is>
      </c>
      <c r="Q24" s="11" t="n"/>
      <c r="R24" s="11" t="inlineStr">
        <is>
          <t>未調査：セッションのWeb検索上限(200回)に達したため調査できず。要再調査。</t>
        </is>
      </c>
      <c r="S24" s="17" t="inlineStr">
        <is>
          <t>未調査</t>
        </is>
      </c>
    </row>
    <row r="25">
      <c r="A25" s="11" t="n">
        <v>22</v>
      </c>
      <c r="B25" s="11" t="inlineStr">
        <is>
          <t>那珂市</t>
        </is>
      </c>
      <c r="C25" s="12">
        <f>IF(OR(D25="◎",E25="◎"),"◎ 営業",IF(OR(D25="△",E25="△"),"△ 着手済・要確認",IF(OR(D25="？",E25="？"),"？ 期間要確認","✕ 対象外")))</f>
        <v/>
      </c>
      <c r="D25" s="13">
        <f>IF(J25="計画なし","－",IF(J25="策定済","✕",IF(H25="","？",IF(AND(H25&gt;='集計・設定'!$C$4,H25&lt;='集計・設定'!$C$5),IF(J25="着手済","△","◎"),"✕"))))</f>
        <v/>
      </c>
      <c r="E25" s="13">
        <f>IF(P25="計画なし","－",IF(P25="策定済","✕",IF(N25="","？",IF(AND(N25&gt;='集計・設定'!$C$4,N25&lt;='集計・設定'!$C$5),IF(P25="着手済","△","◎"),"✕"))))</f>
        <v/>
      </c>
      <c r="F25" s="11" t="n"/>
      <c r="G25" s="11" t="inlineStr">
        <is>
          <t>不明</t>
        </is>
      </c>
      <c r="H25" s="13" t="n"/>
      <c r="I25" s="13" t="inlineStr">
        <is>
          <t>不明</t>
        </is>
      </c>
      <c r="J25" s="13" t="inlineStr">
        <is>
          <t>未確認</t>
        </is>
      </c>
      <c r="K25" s="11" t="n"/>
      <c r="L25" s="11" t="n"/>
      <c r="M25" s="11" t="inlineStr">
        <is>
          <t>不明</t>
        </is>
      </c>
      <c r="N25" s="13" t="n"/>
      <c r="O25" s="13" t="inlineStr">
        <is>
          <t>不明</t>
        </is>
      </c>
      <c r="P25" s="13" t="inlineStr">
        <is>
          <t>未確認</t>
        </is>
      </c>
      <c r="Q25" s="11" t="n"/>
      <c r="R25" s="11" t="inlineStr">
        <is>
          <t>未調査：セッションのWeb検索上限(200回)に達したため調査できず。要再調査。</t>
        </is>
      </c>
      <c r="S25" s="17" t="inlineStr">
        <is>
          <t>未調査</t>
        </is>
      </c>
    </row>
    <row r="26">
      <c r="A26" s="11" t="n">
        <v>23</v>
      </c>
      <c r="B26" s="11" t="inlineStr">
        <is>
          <t>筑西市</t>
        </is>
      </c>
      <c r="C26" s="12">
        <f>IF(OR(D26="◎",E26="◎"),"◎ 営業",IF(OR(D26="△",E26="△"),"△ 着手済・要確認",IF(OR(D26="？",E26="？"),"？ 期間要確認","✕ 対象外")))</f>
        <v/>
      </c>
      <c r="D26" s="13">
        <f>IF(J26="計画なし","－",IF(J26="策定済","✕",IF(H26="","？",IF(AND(H26&gt;='集計・設定'!$C$4,H26&lt;='集計・設定'!$C$5),IF(J26="着手済","△","◎"),"✕"))))</f>
        <v/>
      </c>
      <c r="E26" s="13">
        <f>IF(P26="計画なし","－",IF(P26="策定済","✕",IF(N26="","？",IF(AND(N26&gt;='集計・設定'!$C$4,N26&lt;='集計・設定'!$C$5),IF(P26="着手済","△","◎"),"✕"))))</f>
        <v/>
      </c>
      <c r="F26" s="11" t="inlineStr">
        <is>
          <t>筑西市地域公共交通計画</t>
        </is>
      </c>
      <c r="G26" s="11" t="inlineStr">
        <is>
          <t>不明</t>
        </is>
      </c>
      <c r="H26" s="13" t="n"/>
      <c r="I26" s="13" t="inlineStr">
        <is>
          <t>不明</t>
        </is>
      </c>
      <c r="J26" s="13" t="inlineStr">
        <is>
          <t>着手済</t>
        </is>
      </c>
      <c r="K26" s="14" t="inlineStr">
        <is>
          <t>https://www.city.chikusei.lg.jp/machidukuri/traffic/page009177.html</t>
        </is>
      </c>
      <c r="L26" s="11" t="inlineStr">
        <is>
          <t>第2次筑西市環境基本計画</t>
        </is>
      </c>
      <c r="M26" s="11" t="inlineStr">
        <is>
          <t>不明</t>
        </is>
      </c>
      <c r="N26" s="13" t="n"/>
      <c r="O26" s="13" t="inlineStr">
        <is>
          <t>不明</t>
        </is>
      </c>
      <c r="P26" s="13" t="inlineStr">
        <is>
          <t>未確認</t>
        </is>
      </c>
      <c r="Q26" s="11" t="n"/>
      <c r="R26" s="11" t="inlineStr">
        <is>
          <t>「第2次筑西市地域公共交通計画策定支援業務委託」公募型プロポーザル実施（事業者選定済）https://www.city.chikusei.lg.jp/jigyousha/proposal/proposal-project/page012557.html 。現行交通計画の期間は検索結果で確認できず（目標達成状況をR6末時点で公表）。環境基本計画は第2次策定済だが期間・URL未確認（所管：環境課）。</t>
        </is>
      </c>
      <c r="S26" s="15" t="inlineStr">
        <is>
          <t>調査済</t>
        </is>
      </c>
    </row>
    <row r="27">
      <c r="A27" s="11" t="n">
        <v>24</v>
      </c>
      <c r="B27" s="11" t="inlineStr">
        <is>
          <t>坂東市</t>
        </is>
      </c>
      <c r="C27" s="12">
        <f>IF(OR(D27="◎",E27="◎"),"◎ 営業",IF(OR(D27="△",E27="△"),"△ 着手済・要確認",IF(OR(D27="？",E27="？"),"？ 期間要確認","✕ 対象外")))</f>
        <v/>
      </c>
      <c r="D27" s="13">
        <f>IF(J27="計画なし","－",IF(J27="策定済","✕",IF(H27="","？",IF(AND(H27&gt;='集計・設定'!$C$4,H27&lt;='集計・設定'!$C$5),IF(J27="着手済","△","◎"),"✕"))))</f>
        <v/>
      </c>
      <c r="E27" s="13">
        <f>IF(P27="計画なし","－",IF(P27="策定済","✕",IF(N27="","？",IF(AND(N27&gt;='集計・設定'!$C$4,N27&lt;='集計・設定'!$C$5),IF(P27="着手済","△","◎"),"✕"))))</f>
        <v/>
      </c>
      <c r="F27" s="11" t="inlineStr">
        <is>
          <t>坂東市地域公共交通網形成計画</t>
        </is>
      </c>
      <c r="G27" s="11" t="inlineStr">
        <is>
          <t>R2〜R11</t>
        </is>
      </c>
      <c r="H27" s="13" t="n">
        <v>11</v>
      </c>
      <c r="I27" s="13" t="inlineStr">
        <is>
          <t>確認済</t>
        </is>
      </c>
      <c r="J27" s="13" t="inlineStr">
        <is>
          <t>未確認</t>
        </is>
      </c>
      <c r="K27" s="14" t="inlineStr">
        <is>
          <t>https://www.city.bando.lg.jp/page/page006076.html</t>
        </is>
      </c>
      <c r="L27" s="11" t="inlineStr">
        <is>
          <t>坂東市環境基本計画（第2期）</t>
        </is>
      </c>
      <c r="M27" s="11" t="inlineStr">
        <is>
          <t>R6〜R15</t>
        </is>
      </c>
      <c r="N27" s="16" t="n">
        <v>15</v>
      </c>
      <c r="O27" s="13" t="inlineStr">
        <is>
          <t>推定</t>
        </is>
      </c>
      <c r="P27" s="13" t="inlineStr">
        <is>
          <t>未確認</t>
        </is>
      </c>
      <c r="Q27" s="14" t="inlineStr">
        <is>
          <t>https://www.city.bando.lg.jp/page/page010074.html</t>
        </is>
      </c>
      <c r="R27" s="11" t="inlineStr">
        <is>
          <t>交通は網形成計画（R2.3策定、10年）のまま。旧環境基本計画はH25〜（10年）で期間終了に伴い新計画策定（パブコメ結果 https://www.city.bando.lg.jp/page/page009872.html ）。新計画の期間は推定。</t>
        </is>
      </c>
      <c r="S27" s="15" t="inlineStr">
        <is>
          <t>調査済</t>
        </is>
      </c>
    </row>
    <row r="28">
      <c r="A28" s="11" t="n">
        <v>25</v>
      </c>
      <c r="B28" s="11" t="inlineStr">
        <is>
          <t>稲敷市</t>
        </is>
      </c>
      <c r="C28" s="12">
        <f>IF(OR(D28="◎",E28="◎"),"◎ 営業",IF(OR(D28="△",E28="△"),"△ 着手済・要確認",IF(OR(D28="？",E28="？"),"？ 期間要確認","✕ 対象外")))</f>
        <v/>
      </c>
      <c r="D28" s="13">
        <f>IF(J28="計画なし","－",IF(J28="策定済","✕",IF(H28="","？",IF(AND(H28&gt;='集計・設定'!$C$4,H28&lt;='集計・設定'!$C$5),IF(J28="着手済","△","◎"),"✕"))))</f>
        <v/>
      </c>
      <c r="E28" s="13">
        <f>IF(P28="計画なし","－",IF(P28="策定済","✕",IF(N28="","？",IF(AND(N28&gt;='集計・設定'!$C$4,N28&lt;='集計・設定'!$C$5),IF(P28="着手済","△","◎"),"✕"))))</f>
        <v/>
      </c>
      <c r="F28" s="11" t="inlineStr">
        <is>
          <t>稲敷市地域公共交通計画</t>
        </is>
      </c>
      <c r="G28" s="11" t="inlineStr">
        <is>
          <t>不明</t>
        </is>
      </c>
      <c r="H28" s="13" t="n"/>
      <c r="I28" s="13" t="inlineStr">
        <is>
          <t>不明</t>
        </is>
      </c>
      <c r="J28" s="13" t="inlineStr">
        <is>
          <t>未確認</t>
        </is>
      </c>
      <c r="K28" s="14" t="inlineStr">
        <is>
          <t>https://www.city.inashiki.lg.jp/page/page004756.html</t>
        </is>
      </c>
      <c r="L28" s="11" t="inlineStr">
        <is>
          <t>稲敷市環境基本計画</t>
        </is>
      </c>
      <c r="M28" s="11" t="inlineStr">
        <is>
          <t>R3〜</t>
        </is>
      </c>
      <c r="N28" s="16" t="n"/>
      <c r="O28" s="13" t="inlineStr">
        <is>
          <t>推定</t>
        </is>
      </c>
      <c r="P28" s="13" t="inlineStr">
        <is>
          <t>未確認</t>
        </is>
      </c>
      <c r="Q28" s="14" t="inlineStr">
        <is>
          <t>https://www.city.inashiki.lg.jp/page/page007577.html</t>
        </is>
      </c>
      <c r="R28" s="11" t="inlineStr">
        <is>
          <t>交通計画はH28網形成計画の後継として策定、R5.4一部改訂（あずまコミュニティバス再編）。期間未確認。環境基本計画はR3.3策定（期間未確認）。次期計画作業は未確認（検索上限で深掘り不可）。</t>
        </is>
      </c>
      <c r="S28" s="15" t="inlineStr">
        <is>
          <t>調査済</t>
        </is>
      </c>
    </row>
    <row r="29">
      <c r="A29" s="11" t="n">
        <v>26</v>
      </c>
      <c r="B29" s="11" t="inlineStr">
        <is>
          <t>かすみがうら市</t>
        </is>
      </c>
      <c r="C29" s="12">
        <f>IF(OR(D29="◎",E29="◎"),"◎ 営業",IF(OR(D29="△",E29="△"),"△ 着手済・要確認",IF(OR(D29="？",E29="？"),"？ 期間要確認","✕ 対象外")))</f>
        <v/>
      </c>
      <c r="D29" s="13">
        <f>IF(J29="計画なし","－",IF(J29="策定済","✕",IF(H29="","？",IF(AND(H29&gt;='集計・設定'!$C$4,H29&lt;='集計・設定'!$C$5),IF(J29="着手済","△","◎"),"✕"))))</f>
        <v/>
      </c>
      <c r="E29" s="13">
        <f>IF(P29="計画なし","－",IF(P29="策定済","✕",IF(N29="","？",IF(AND(N29&gt;='集計・設定'!$C$4,N29&lt;='集計・設定'!$C$5),IF(P29="着手済","△","◎"),"✕"))))</f>
        <v/>
      </c>
      <c r="F29" s="11" t="n"/>
      <c r="G29" s="11" t="inlineStr">
        <is>
          <t>不明</t>
        </is>
      </c>
      <c r="H29" s="13" t="n"/>
      <c r="I29" s="13" t="inlineStr">
        <is>
          <t>不明</t>
        </is>
      </c>
      <c r="J29" s="13" t="inlineStr">
        <is>
          <t>未確認</t>
        </is>
      </c>
      <c r="K29" s="11" t="n"/>
      <c r="L29" s="11" t="n"/>
      <c r="M29" s="11" t="inlineStr">
        <is>
          <t>不明</t>
        </is>
      </c>
      <c r="N29" s="13" t="n"/>
      <c r="O29" s="13" t="inlineStr">
        <is>
          <t>不明</t>
        </is>
      </c>
      <c r="P29" s="13" t="inlineStr">
        <is>
          <t>未確認</t>
        </is>
      </c>
      <c r="Q29" s="11" t="n"/>
      <c r="R29" s="11" t="inlineStr">
        <is>
          <t>セッションのWeb検索上限到達により未調査。要再調査。 参考：市PDF https://www.city.kasumigaura.lg.jp/data/doc/1761039730_doc_36_0.pdf に令和3〜7年度の計画期間記載の可能性（内容未確認）。</t>
        </is>
      </c>
      <c r="S29" s="17" t="inlineStr">
        <is>
          <t>未調査</t>
        </is>
      </c>
    </row>
    <row r="30">
      <c r="A30" s="11" t="n">
        <v>27</v>
      </c>
      <c r="B30" s="11" t="inlineStr">
        <is>
          <t>桜川市</t>
        </is>
      </c>
      <c r="C30" s="12">
        <f>IF(OR(D30="◎",E30="◎"),"◎ 営業",IF(OR(D30="△",E30="△"),"△ 着手済・要確認",IF(OR(D30="？",E30="？"),"？ 期間要確認","✕ 対象外")))</f>
        <v/>
      </c>
      <c r="D30" s="13">
        <f>IF(J30="計画なし","－",IF(J30="策定済","✕",IF(H30="","？",IF(AND(H30&gt;='集計・設定'!$C$4,H30&lt;='集計・設定'!$C$5),IF(J30="着手済","△","◎"),"✕"))))</f>
        <v/>
      </c>
      <c r="E30" s="13">
        <f>IF(P30="計画なし","－",IF(P30="策定済","✕",IF(N30="","？",IF(AND(N30&gt;='集計・設定'!$C$4,N30&lt;='集計・設定'!$C$5),IF(P30="着手済","△","◎"),"✕"))))</f>
        <v/>
      </c>
      <c r="F30" s="11" t="n"/>
      <c r="G30" s="11" t="inlineStr">
        <is>
          <t>不明</t>
        </is>
      </c>
      <c r="H30" s="13" t="n"/>
      <c r="I30" s="13" t="inlineStr">
        <is>
          <t>不明</t>
        </is>
      </c>
      <c r="J30" s="13" t="inlineStr">
        <is>
          <t>未確認</t>
        </is>
      </c>
      <c r="K30" s="11" t="n"/>
      <c r="L30" s="11" t="n"/>
      <c r="M30" s="11" t="inlineStr">
        <is>
          <t>不明</t>
        </is>
      </c>
      <c r="N30" s="13" t="n"/>
      <c r="O30" s="13" t="inlineStr">
        <is>
          <t>不明</t>
        </is>
      </c>
      <c r="P30" s="13" t="inlineStr">
        <is>
          <t>未確認</t>
        </is>
      </c>
      <c r="Q30" s="11" t="n"/>
      <c r="R30" s="11" t="inlineStr">
        <is>
          <t>セッションのWeb検索上限到達により未調査。要再調査。</t>
        </is>
      </c>
      <c r="S30" s="17" t="inlineStr">
        <is>
          <t>未調査</t>
        </is>
      </c>
    </row>
    <row r="31">
      <c r="A31" s="11" t="n">
        <v>28</v>
      </c>
      <c r="B31" s="11" t="inlineStr">
        <is>
          <t>神栖市</t>
        </is>
      </c>
      <c r="C31" s="12">
        <f>IF(OR(D31="◎",E31="◎"),"◎ 営業",IF(OR(D31="△",E31="△"),"△ 着手済・要確認",IF(OR(D31="？",E31="？"),"？ 期間要確認","✕ 対象外")))</f>
        <v/>
      </c>
      <c r="D31" s="13">
        <f>IF(J31="計画なし","－",IF(J31="策定済","✕",IF(H31="","？",IF(AND(H31&gt;='集計・設定'!$C$4,H31&lt;='集計・設定'!$C$5),IF(J31="着手済","△","◎"),"✕"))))</f>
        <v/>
      </c>
      <c r="E31" s="13">
        <f>IF(P31="計画なし","－",IF(P31="策定済","✕",IF(N31="","？",IF(AND(N31&gt;='集計・設定'!$C$4,N31&lt;='集計・設定'!$C$5),IF(P31="着手済","△","◎"),"✕"))))</f>
        <v/>
      </c>
      <c r="F31" s="11" t="n"/>
      <c r="G31" s="11" t="inlineStr">
        <is>
          <t>不明</t>
        </is>
      </c>
      <c r="H31" s="13" t="n"/>
      <c r="I31" s="13" t="inlineStr">
        <is>
          <t>不明</t>
        </is>
      </c>
      <c r="J31" s="13" t="inlineStr">
        <is>
          <t>未確認</t>
        </is>
      </c>
      <c r="K31" s="11" t="n"/>
      <c r="L31" s="11" t="n"/>
      <c r="M31" s="11" t="inlineStr">
        <is>
          <t>不明</t>
        </is>
      </c>
      <c r="N31" s="13" t="n"/>
      <c r="O31" s="13" t="inlineStr">
        <is>
          <t>不明</t>
        </is>
      </c>
      <c r="P31" s="13" t="inlineStr">
        <is>
          <t>未確認</t>
        </is>
      </c>
      <c r="Q31" s="11" t="n"/>
      <c r="R31" s="11" t="inlineStr">
        <is>
          <t>セッションのWeb検索上限到達により未調査。要再調査。</t>
        </is>
      </c>
      <c r="S31" s="17" t="inlineStr">
        <is>
          <t>未調査</t>
        </is>
      </c>
    </row>
    <row r="32">
      <c r="A32" s="11" t="n">
        <v>29</v>
      </c>
      <c r="B32" s="11" t="inlineStr">
        <is>
          <t>行方市</t>
        </is>
      </c>
      <c r="C32" s="12">
        <f>IF(OR(D32="◎",E32="◎"),"◎ 営業",IF(OR(D32="△",E32="△"),"△ 着手済・要確認",IF(OR(D32="？",E32="？"),"？ 期間要確認","✕ 対象外")))</f>
        <v/>
      </c>
      <c r="D32" s="13">
        <f>IF(J32="計画なし","－",IF(J32="策定済","✕",IF(H32="","？",IF(AND(H32&gt;='集計・設定'!$C$4,H32&lt;='集計・設定'!$C$5),IF(J32="着手済","△","◎"),"✕"))))</f>
        <v/>
      </c>
      <c r="E32" s="13">
        <f>IF(P32="計画なし","－",IF(P32="策定済","✕",IF(N32="","？",IF(AND(N32&gt;='集計・設定'!$C$4,N32&lt;='集計・設定'!$C$5),IF(P32="着手済","△","◎"),"✕"))))</f>
        <v/>
      </c>
      <c r="F32" s="11" t="n"/>
      <c r="G32" s="11" t="inlineStr">
        <is>
          <t>不明</t>
        </is>
      </c>
      <c r="H32" s="13" t="n"/>
      <c r="I32" s="13" t="inlineStr">
        <is>
          <t>不明</t>
        </is>
      </c>
      <c r="J32" s="13" t="inlineStr">
        <is>
          <t>未確認</t>
        </is>
      </c>
      <c r="K32" s="11" t="n"/>
      <c r="L32" s="11" t="n"/>
      <c r="M32" s="11" t="inlineStr">
        <is>
          <t>不明</t>
        </is>
      </c>
      <c r="N32" s="13" t="n"/>
      <c r="O32" s="13" t="inlineStr">
        <is>
          <t>不明</t>
        </is>
      </c>
      <c r="P32" s="13" t="inlineStr">
        <is>
          <t>未確認</t>
        </is>
      </c>
      <c r="Q32" s="11" t="n"/>
      <c r="R32" s="11" t="inlineStr">
        <is>
          <t>セッションのWeb検索上限到達により未調査。要再調査。</t>
        </is>
      </c>
      <c r="S32" s="17" t="inlineStr">
        <is>
          <t>未調査</t>
        </is>
      </c>
    </row>
    <row r="33">
      <c r="A33" s="11" t="n">
        <v>30</v>
      </c>
      <c r="B33" s="11" t="inlineStr">
        <is>
          <t>鉾田市</t>
        </is>
      </c>
      <c r="C33" s="12">
        <f>IF(OR(D33="◎",E33="◎"),"◎ 営業",IF(OR(D33="△",E33="△"),"△ 着手済・要確認",IF(OR(D33="？",E33="？"),"？ 期間要確認","✕ 対象外")))</f>
        <v/>
      </c>
      <c r="D33" s="13">
        <f>IF(J33="計画なし","－",IF(J33="策定済","✕",IF(H33="","？",IF(AND(H33&gt;='集計・設定'!$C$4,H33&lt;='集計・設定'!$C$5),IF(J33="着手済","△","◎"),"✕"))))</f>
        <v/>
      </c>
      <c r="E33" s="13">
        <f>IF(P33="計画なし","－",IF(P33="策定済","✕",IF(N33="","？",IF(AND(N33&gt;='集計・設定'!$C$4,N33&lt;='集計・設定'!$C$5),IF(P33="着手済","△","◎"),"✕"))))</f>
        <v/>
      </c>
      <c r="F33" s="11" t="n"/>
      <c r="G33" s="11" t="inlineStr">
        <is>
          <t>不明</t>
        </is>
      </c>
      <c r="H33" s="13" t="n"/>
      <c r="I33" s="13" t="inlineStr">
        <is>
          <t>不明</t>
        </is>
      </c>
      <c r="J33" s="13" t="inlineStr">
        <is>
          <t>未確認</t>
        </is>
      </c>
      <c r="K33" s="11" t="n"/>
      <c r="L33" s="11" t="n"/>
      <c r="M33" s="11" t="inlineStr">
        <is>
          <t>不明</t>
        </is>
      </c>
      <c r="N33" s="13" t="n"/>
      <c r="O33" s="13" t="inlineStr">
        <is>
          <t>不明</t>
        </is>
      </c>
      <c r="P33" s="13" t="inlineStr">
        <is>
          <t>未確認</t>
        </is>
      </c>
      <c r="Q33" s="11" t="n"/>
      <c r="R33" s="11" t="inlineStr">
        <is>
          <t>セッションのWeb検索上限到達により未調査。要再調査。</t>
        </is>
      </c>
      <c r="S33" s="17" t="inlineStr">
        <is>
          <t>未調査</t>
        </is>
      </c>
    </row>
    <row r="34">
      <c r="A34" s="11" t="n">
        <v>31</v>
      </c>
      <c r="B34" s="11" t="inlineStr">
        <is>
          <t>つくばみらい市</t>
        </is>
      </c>
      <c r="C34" s="12">
        <f>IF(OR(D34="◎",E34="◎"),"◎ 営業",IF(OR(D34="△",E34="△"),"△ 着手済・要確認",IF(OR(D34="？",E34="？"),"？ 期間要確認","✕ 対象外")))</f>
        <v/>
      </c>
      <c r="D34" s="13">
        <f>IF(J34="計画なし","－",IF(J34="策定済","✕",IF(H34="","？",IF(AND(H34&gt;='集計・設定'!$C$4,H34&lt;='集計・設定'!$C$5),IF(J34="着手済","△","◎"),"✕"))))</f>
        <v/>
      </c>
      <c r="E34" s="13">
        <f>IF(P34="計画なし","－",IF(P34="策定済","✕",IF(N34="","？",IF(AND(N34&gt;='集計・設定'!$C$4,N34&lt;='集計・設定'!$C$5),IF(P34="着手済","△","◎"),"✕"))))</f>
        <v/>
      </c>
      <c r="F34" s="11" t="n"/>
      <c r="G34" s="11" t="inlineStr">
        <is>
          <t>不明</t>
        </is>
      </c>
      <c r="H34" s="13" t="n"/>
      <c r="I34" s="13" t="inlineStr">
        <is>
          <t>不明</t>
        </is>
      </c>
      <c r="J34" s="13" t="inlineStr">
        <is>
          <t>未確認</t>
        </is>
      </c>
      <c r="K34" s="11" t="n"/>
      <c r="L34" s="11" t="n"/>
      <c r="M34" s="11" t="inlineStr">
        <is>
          <t>不明</t>
        </is>
      </c>
      <c r="N34" s="13" t="n"/>
      <c r="O34" s="13" t="inlineStr">
        <is>
          <t>不明</t>
        </is>
      </c>
      <c r="P34" s="13" t="inlineStr">
        <is>
          <t>未確認</t>
        </is>
      </c>
      <c r="Q34" s="11" t="n"/>
      <c r="R34" s="11" t="inlineStr">
        <is>
          <t>セッションのWeb検索上限到達により未調査。要再調査。</t>
        </is>
      </c>
      <c r="S34" s="17" t="inlineStr">
        <is>
          <t>未調査</t>
        </is>
      </c>
    </row>
    <row r="35">
      <c r="A35" s="11" t="n">
        <v>32</v>
      </c>
      <c r="B35" s="11" t="inlineStr">
        <is>
          <t>小美玉市</t>
        </is>
      </c>
      <c r="C35" s="12">
        <f>IF(OR(D35="◎",E35="◎"),"◎ 営業",IF(OR(D35="△",E35="△"),"△ 着手済・要確認",IF(OR(D35="？",E35="？"),"？ 期間要確認","✕ 対象外")))</f>
        <v/>
      </c>
      <c r="D35" s="13">
        <f>IF(J35="計画なし","－",IF(J35="策定済","✕",IF(H35="","？",IF(AND(H35&gt;='集計・設定'!$C$4,H35&lt;='集計・設定'!$C$5),IF(J35="着手済","△","◎"),"✕"))))</f>
        <v/>
      </c>
      <c r="E35" s="13">
        <f>IF(P35="計画なし","－",IF(P35="策定済","✕",IF(N35="","？",IF(AND(N35&gt;='集計・設定'!$C$4,N35&lt;='集計・設定'!$C$5),IF(P35="着手済","△","◎"),"✕"))))</f>
        <v/>
      </c>
      <c r="F35" s="11" t="n"/>
      <c r="G35" s="11" t="inlineStr">
        <is>
          <t>不明</t>
        </is>
      </c>
      <c r="H35" s="13" t="n"/>
      <c r="I35" s="13" t="inlineStr">
        <is>
          <t>不明</t>
        </is>
      </c>
      <c r="J35" s="13" t="inlineStr">
        <is>
          <t>未確認</t>
        </is>
      </c>
      <c r="K35" s="11" t="n"/>
      <c r="L35" s="11" t="n"/>
      <c r="M35" s="11" t="inlineStr">
        <is>
          <t>不明</t>
        </is>
      </c>
      <c r="N35" s="13" t="n"/>
      <c r="O35" s="13" t="inlineStr">
        <is>
          <t>不明</t>
        </is>
      </c>
      <c r="P35" s="13" t="inlineStr">
        <is>
          <t>未確認</t>
        </is>
      </c>
      <c r="Q35" s="11" t="n"/>
      <c r="R35" s="11" t="inlineStr">
        <is>
          <t>セッションのWeb検索上限到達により未調査。要再調査。</t>
        </is>
      </c>
      <c r="S35" s="17" t="inlineStr">
        <is>
          <t>未調査</t>
        </is>
      </c>
    </row>
    <row r="36">
      <c r="A36" s="11" t="n">
        <v>33</v>
      </c>
      <c r="B36" s="11" t="inlineStr">
        <is>
          <t>茨城町</t>
        </is>
      </c>
      <c r="C36" s="12">
        <f>IF(OR(D36="◎",E36="◎"),"◎ 営業",IF(OR(D36="△",E36="△"),"△ 着手済・要確認",IF(OR(D36="？",E36="？"),"？ 期間要確認","✕ 対象外")))</f>
        <v/>
      </c>
      <c r="D36" s="13">
        <f>IF(J36="計画なし","－",IF(J36="策定済","✕",IF(H36="","？",IF(AND(H36&gt;='集計・設定'!$C$4,H36&lt;='集計・設定'!$C$5),IF(J36="着手済","△","◎"),"✕"))))</f>
        <v/>
      </c>
      <c r="E36" s="13">
        <f>IF(P36="計画なし","－",IF(P36="策定済","✕",IF(N36="","？",IF(AND(N36&gt;='集計・設定'!$C$4,N36&lt;='集計・設定'!$C$5),IF(P36="着手済","△","◎"),"✕"))))</f>
        <v/>
      </c>
      <c r="F36" s="11" t="n"/>
      <c r="G36" s="11" t="inlineStr">
        <is>
          <t>不明</t>
        </is>
      </c>
      <c r="H36" s="13" t="n"/>
      <c r="I36" s="13" t="inlineStr">
        <is>
          <t>不明</t>
        </is>
      </c>
      <c r="J36" s="13" t="inlineStr">
        <is>
          <t>未確認</t>
        </is>
      </c>
      <c r="K36" s="11" t="n"/>
      <c r="L36" s="11" t="n"/>
      <c r="M36" s="11" t="inlineStr">
        <is>
          <t>不明</t>
        </is>
      </c>
      <c r="N36" s="13" t="n"/>
      <c r="O36" s="13" t="inlineStr">
        <is>
          <t>不明</t>
        </is>
      </c>
      <c r="P36" s="13" t="inlineStr">
        <is>
          <t>未確認</t>
        </is>
      </c>
      <c r="Q36" s="11" t="n"/>
      <c r="R36" s="11" t="inlineStr">
        <is>
          <t>セッションのWeb検索上限到達により未調査。要再調査。</t>
        </is>
      </c>
      <c r="S36" s="17" t="inlineStr">
        <is>
          <t>未調査</t>
        </is>
      </c>
    </row>
    <row r="37">
      <c r="A37" s="11" t="n">
        <v>34</v>
      </c>
      <c r="B37" s="11" t="inlineStr">
        <is>
          <t>大洗町</t>
        </is>
      </c>
      <c r="C37" s="12">
        <f>IF(OR(D37="◎",E37="◎"),"◎ 営業",IF(OR(D37="△",E37="△"),"△ 着手済・要確認",IF(OR(D37="？",E37="？"),"？ 期間要確認","✕ 対象外")))</f>
        <v/>
      </c>
      <c r="D37" s="13">
        <f>IF(J37="計画なし","－",IF(J37="策定済","✕",IF(H37="","？",IF(AND(H37&gt;='集計・設定'!$C$4,H37&lt;='集計・設定'!$C$5),IF(J37="着手済","△","◎"),"✕"))))</f>
        <v/>
      </c>
      <c r="E37" s="13">
        <f>IF(P37="計画なし","－",IF(P37="策定済","✕",IF(N37="","？",IF(AND(N37&gt;='集計・設定'!$C$4,N37&lt;='集計・設定'!$C$5),IF(P37="着手済","△","◎"),"✕"))))</f>
        <v/>
      </c>
      <c r="F37" s="11" t="inlineStr">
        <is>
          <t>大洗町地域公共交通計画</t>
        </is>
      </c>
      <c r="G37" s="11" t="inlineStr">
        <is>
          <t>R6〜R10</t>
        </is>
      </c>
      <c r="H37" s="16" t="n">
        <v>10</v>
      </c>
      <c r="I37" s="13" t="inlineStr">
        <is>
          <t>推定</t>
        </is>
      </c>
      <c r="J37" s="13" t="inlineStr">
        <is>
          <t>着手済</t>
        </is>
      </c>
      <c r="K37" s="14" t="inlineStr">
        <is>
          <t>https://www.town.oarai.lg.jp/wp/wp-content/uploads/2023/07/%E5%A4%A7%E6%B4%97%E7%94%BA%E5%9C%B0%E5%9F%9F%E5%85%AC%E5%85%B1%E4%BA%A4%E9%80%9A%E8%A8%88%E7%94%BB.pdf</t>
        </is>
      </c>
      <c r="L37" s="11" t="inlineStr">
        <is>
          <t>第2次大洗町環境基本計画</t>
        </is>
      </c>
      <c r="M37" s="11" t="inlineStr">
        <is>
          <t>R1〜R10</t>
        </is>
      </c>
      <c r="N37" s="13" t="n">
        <v>10</v>
      </c>
      <c r="O37" s="13" t="inlineStr">
        <is>
          <t>確認済</t>
        </is>
      </c>
      <c r="P37" s="13" t="inlineStr">
        <is>
          <t>未確認</t>
        </is>
      </c>
      <c r="Q37" s="14" t="inlineStr">
        <is>
          <t>https://www.town.oarai.lg.jp/wp/wp-content/uploads/2021/03/%E7%AC%AC2%E6%AC%A1%E5%A4%A7%E6%B4%97%E7%94%BA%E7%92%B0%E5%A2%83%E5%9F%BA%E6%9C%AC%E8%A8%88%E7%94%BB%EF%BC%88PDF%EF%BC%89.pdf</t>
        </is>
      </c>
      <c r="R37" s="11" t="inlineStr">
        <is>
          <t>交通計画は2024年3月策定（期間はR6〜R10と推定、本文未確認）。町循環バス再編に伴い計画一部改定（案）のパブコメ実施・結果公表済、R8.10.1施行予定 https://www.town.oarai.lg.jp/cat1/koutsuu/ooaraimachichiikikoukyoukoutuukaigi/32819/ 。環境基本計画は第2次（2019.3策定、R1〜R10）で次期作業は未確認。</t>
        </is>
      </c>
      <c r="S37" s="15" t="inlineStr">
        <is>
          <t>調査済</t>
        </is>
      </c>
    </row>
    <row r="38">
      <c r="A38" s="11" t="n">
        <v>35</v>
      </c>
      <c r="B38" s="11" t="inlineStr">
        <is>
          <t>城里町</t>
        </is>
      </c>
      <c r="C38" s="12">
        <f>IF(OR(D38="◎",E38="◎"),"◎ 営業",IF(OR(D38="△",E38="△"),"△ 着手済・要確認",IF(OR(D38="？",E38="？"),"？ 期間要確認","✕ 対象外")))</f>
        <v/>
      </c>
      <c r="D38" s="13">
        <f>IF(J38="計画なし","－",IF(J38="策定済","✕",IF(H38="","？",IF(AND(H38&gt;='集計・設定'!$C$4,H38&lt;='集計・設定'!$C$5),IF(J38="着手済","△","◎"),"✕"))))</f>
        <v/>
      </c>
      <c r="E38" s="13">
        <f>IF(P38="計画なし","－",IF(P38="策定済","✕",IF(N38="","？",IF(AND(N38&gt;='集計・設定'!$C$4,N38&lt;='集計・設定'!$C$5),IF(P38="着手済","△","◎"),"✕"))))</f>
        <v/>
      </c>
      <c r="F38" s="11" t="inlineStr">
        <is>
          <t>城里町地域公共交通計画</t>
        </is>
      </c>
      <c r="G38" s="11" t="inlineStr">
        <is>
          <t>R8〜R12</t>
        </is>
      </c>
      <c r="H38" s="16" t="n">
        <v>12</v>
      </c>
      <c r="I38" s="13" t="inlineStr">
        <is>
          <t>推定</t>
        </is>
      </c>
      <c r="J38" s="13" t="inlineStr">
        <is>
          <t>策定済</t>
        </is>
      </c>
      <c r="K38" s="14" t="inlineStr">
        <is>
          <t>https://www.town.shirosato.lg.jp/page/page006784.html</t>
        </is>
      </c>
      <c r="L38" s="11" t="inlineStr">
        <is>
          <t>城里町環境基本計画</t>
        </is>
      </c>
      <c r="M38" s="11" t="inlineStr">
        <is>
          <t>R3〜R12</t>
        </is>
      </c>
      <c r="N38" s="16" t="n">
        <v>12</v>
      </c>
      <c r="O38" s="13" t="inlineStr">
        <is>
          <t>推定</t>
        </is>
      </c>
      <c r="P38" s="13" t="inlineStr">
        <is>
          <t>未確認</t>
        </is>
      </c>
      <c r="Q38" s="14" t="inlineStr">
        <is>
          <t>https://www.town.shirosato.lg.jp/data/doc/1630301878_doc_711_0.pdf</t>
        </is>
      </c>
      <c r="R38" s="11" t="inlineStr">
        <is>
          <t>旧網形成計画（H28策定）がR7年度で満了したため、新しい地域公共交通計画を策定・公表済（期間R8〜R12はまだ推定） https://www.town.shirosato.lg.jp/page/page006764.html 。国交省関東運輸局の計画策定事業リストにも掲載あり https://wwwtb.mlit.go.jp/kanto/content/000322403.pdf 。環境基本計画はR3.3策定（期間R3〜R12は推定）。</t>
        </is>
      </c>
      <c r="S38" s="15" t="inlineStr">
        <is>
          <t>調査済</t>
        </is>
      </c>
    </row>
    <row r="39">
      <c r="A39" s="11" t="n">
        <v>36</v>
      </c>
      <c r="B39" s="11" t="inlineStr">
        <is>
          <t>東海村</t>
        </is>
      </c>
      <c r="C39" s="12">
        <f>IF(OR(D39="◎",E39="◎"),"◎ 営業",IF(OR(D39="△",E39="△"),"△ 着手済・要確認",IF(OR(D39="？",E39="？"),"？ 期間要確認","✕ 対象外")))</f>
        <v/>
      </c>
      <c r="D39" s="13">
        <f>IF(J39="計画なし","－",IF(J39="策定済","✕",IF(H39="","？",IF(AND(H39&gt;='集計・設定'!$C$4,H39&lt;='集計・設定'!$C$5),IF(J39="着手済","△","◎"),"✕"))))</f>
        <v/>
      </c>
      <c r="E39" s="13">
        <f>IF(P39="計画なし","－",IF(P39="策定済","✕",IF(N39="","？",IF(AND(N39&gt;='集計・設定'!$C$4,N39&lt;='集計・設定'!$C$5),IF(P39="着手済","△","◎"),"✕"))))</f>
        <v/>
      </c>
      <c r="F39" s="11" t="inlineStr">
        <is>
          <t>東海村地域公共交通計画</t>
        </is>
      </c>
      <c r="G39" s="11" t="inlineStr">
        <is>
          <t>不明</t>
        </is>
      </c>
      <c r="H39" s="13" t="n"/>
      <c r="I39" s="13" t="inlineStr">
        <is>
          <t>不明</t>
        </is>
      </c>
      <c r="J39" s="13" t="inlineStr">
        <is>
          <t>未確認</t>
        </is>
      </c>
      <c r="K39" s="14" t="inlineStr">
        <is>
          <t>https://www.vill.tokai.ibaraki.jp/soshikikarasagasu/sangyobu/sangyoseisakuka/1/1_2/2/5673.html</t>
        </is>
      </c>
      <c r="L39" s="11" t="inlineStr">
        <is>
          <t>第4次東海村環境基本計画</t>
        </is>
      </c>
      <c r="M39" s="11" t="inlineStr">
        <is>
          <t>R8〜R17</t>
        </is>
      </c>
      <c r="N39" s="13" t="n">
        <v>17</v>
      </c>
      <c r="O39" s="13" t="inlineStr">
        <is>
          <t>確認済</t>
        </is>
      </c>
      <c r="P39" s="13" t="inlineStr">
        <is>
          <t>策定済</t>
        </is>
      </c>
      <c r="Q39" s="14" t="inlineStr">
        <is>
          <t>https://www.vill.tokai.ibaraki.jp/soshikikarasagasu/somminseikatsubu/kankyoseisakuka/1/1/4/11386.html</t>
        </is>
      </c>
      <c r="R39" s="11" t="inlineStr">
        <is>
          <t>交通計画はR3年2月にパブコメを行い策定。期間は未確認（旧網形成計画はH27〜H32）。第3次環境基本計画はR3〜R7で満了。第4次（R8〜R17）の案内ページあり https://www.vill.tokai.ibaraki.jp/soshikikarasagasu/somminseikatsubu/kankyoseisakuka/1/1/4/11386.html 。策定済と判断したが、策定時期は要確認。</t>
        </is>
      </c>
      <c r="S39" s="15" t="inlineStr">
        <is>
          <t>調査済</t>
        </is>
      </c>
    </row>
    <row r="40">
      <c r="A40" s="11" t="n">
        <v>37</v>
      </c>
      <c r="B40" s="11" t="inlineStr">
        <is>
          <t>大子町</t>
        </is>
      </c>
      <c r="C40" s="12">
        <f>IF(OR(D40="◎",E40="◎"),"◎ 営業",IF(OR(D40="△",E40="△"),"△ 着手済・要確認",IF(OR(D40="？",E40="？"),"？ 期間要確認","✕ 対象外")))</f>
        <v/>
      </c>
      <c r="D40" s="13">
        <f>IF(J40="計画なし","－",IF(J40="策定済","✕",IF(H40="","？",IF(AND(H40&gt;='集計・設定'!$C$4,H40&lt;='集計・設定'!$C$5),IF(J40="着手済","△","◎"),"✕"))))</f>
        <v/>
      </c>
      <c r="E40" s="13">
        <f>IF(P40="計画なし","－",IF(P40="策定済","✕",IF(N40="","？",IF(AND(N40&gt;='集計・設定'!$C$4,N40&lt;='集計・設定'!$C$5),IF(P40="着手済","△","◎"),"✕"))))</f>
        <v/>
      </c>
      <c r="F40" s="11" t="n"/>
      <c r="G40" s="11" t="inlineStr">
        <is>
          <t>不明</t>
        </is>
      </c>
      <c r="H40" s="13" t="n"/>
      <c r="I40" s="13" t="inlineStr">
        <is>
          <t>不明</t>
        </is>
      </c>
      <c r="J40" s="13" t="inlineStr">
        <is>
          <t>未確認</t>
        </is>
      </c>
      <c r="K40" s="11" t="n"/>
      <c r="L40" s="11" t="n"/>
      <c r="M40" s="11" t="inlineStr">
        <is>
          <t>不明</t>
        </is>
      </c>
      <c r="N40" s="13" t="n"/>
      <c r="O40" s="13" t="inlineStr">
        <is>
          <t>不明</t>
        </is>
      </c>
      <c r="P40" s="13" t="inlineStr">
        <is>
          <t>未確認</t>
        </is>
      </c>
      <c r="Q40" s="11" t="n"/>
      <c r="R40" s="11" t="inlineStr">
        <is>
          <t>※検索予算上限到達のため未調査</t>
        </is>
      </c>
      <c r="S40" s="17" t="inlineStr">
        <is>
          <t>未調査</t>
        </is>
      </c>
    </row>
    <row r="41">
      <c r="A41" s="11" t="n">
        <v>38</v>
      </c>
      <c r="B41" s="11" t="inlineStr">
        <is>
          <t>美浦村</t>
        </is>
      </c>
      <c r="C41" s="12">
        <f>IF(OR(D41="◎",E41="◎"),"◎ 営業",IF(OR(D41="△",E41="△"),"△ 着手済・要確認",IF(OR(D41="？",E41="？"),"？ 期間要確認","✕ 対象外")))</f>
        <v/>
      </c>
      <c r="D41" s="13">
        <f>IF(J41="計画なし","－",IF(J41="策定済","✕",IF(H41="","？",IF(AND(H41&gt;='集計・設定'!$C$4,H41&lt;='集計・設定'!$C$5),IF(J41="着手済","△","◎"),"✕"))))</f>
        <v/>
      </c>
      <c r="E41" s="13">
        <f>IF(P41="計画なし","－",IF(P41="策定済","✕",IF(N41="","？",IF(AND(N41&gt;='集計・設定'!$C$4,N41&lt;='集計・設定'!$C$5),IF(P41="着手済","△","◎"),"✕"))))</f>
        <v/>
      </c>
      <c r="F41" s="11" t="n"/>
      <c r="G41" s="11" t="inlineStr">
        <is>
          <t>不明</t>
        </is>
      </c>
      <c r="H41" s="13" t="n"/>
      <c r="I41" s="13" t="inlineStr">
        <is>
          <t>不明</t>
        </is>
      </c>
      <c r="J41" s="13" t="inlineStr">
        <is>
          <t>未確認</t>
        </is>
      </c>
      <c r="K41" s="11" t="n"/>
      <c r="L41" s="11" t="n"/>
      <c r="M41" s="11" t="inlineStr">
        <is>
          <t>不明</t>
        </is>
      </c>
      <c r="N41" s="13" t="n"/>
      <c r="O41" s="13" t="inlineStr">
        <is>
          <t>不明</t>
        </is>
      </c>
      <c r="P41" s="13" t="inlineStr">
        <is>
          <t>未確認</t>
        </is>
      </c>
      <c r="Q41" s="11" t="n"/>
      <c r="R41" s="11" t="inlineStr">
        <is>
          <t>※検索予算上限到達のため未調査</t>
        </is>
      </c>
      <c r="S41" s="17" t="inlineStr">
        <is>
          <t>未調査</t>
        </is>
      </c>
    </row>
    <row r="42">
      <c r="A42" s="11" t="n">
        <v>39</v>
      </c>
      <c r="B42" s="11" t="inlineStr">
        <is>
          <t>阿見町</t>
        </is>
      </c>
      <c r="C42" s="12">
        <f>IF(OR(D42="◎",E42="◎"),"◎ 営業",IF(OR(D42="△",E42="△"),"△ 着手済・要確認",IF(OR(D42="？",E42="？"),"？ 期間要確認","✕ 対象外")))</f>
        <v/>
      </c>
      <c r="D42" s="13">
        <f>IF(J42="計画なし","－",IF(J42="策定済","✕",IF(H42="","？",IF(AND(H42&gt;='集計・設定'!$C$4,H42&lt;='集計・設定'!$C$5),IF(J42="着手済","△","◎"),"✕"))))</f>
        <v/>
      </c>
      <c r="E42" s="13">
        <f>IF(P42="計画なし","－",IF(P42="策定済","✕",IF(N42="","？",IF(AND(N42&gt;='集計・設定'!$C$4,N42&lt;='集計・設定'!$C$5),IF(P42="着手済","△","◎"),"✕"))))</f>
        <v/>
      </c>
      <c r="F42" s="11" t="n"/>
      <c r="G42" s="11" t="inlineStr">
        <is>
          <t>不明</t>
        </is>
      </c>
      <c r="H42" s="13" t="n"/>
      <c r="I42" s="13" t="inlineStr">
        <is>
          <t>不明</t>
        </is>
      </c>
      <c r="J42" s="13" t="inlineStr">
        <is>
          <t>未確認</t>
        </is>
      </c>
      <c r="K42" s="11" t="n"/>
      <c r="L42" s="11" t="n"/>
      <c r="M42" s="11" t="inlineStr">
        <is>
          <t>不明</t>
        </is>
      </c>
      <c r="N42" s="13" t="n"/>
      <c r="O42" s="13" t="inlineStr">
        <is>
          <t>不明</t>
        </is>
      </c>
      <c r="P42" s="13" t="inlineStr">
        <is>
          <t>未確認</t>
        </is>
      </c>
      <c r="Q42" s="11" t="n"/>
      <c r="R42" s="11" t="inlineStr">
        <is>
          <t>※検索予算上限到達のため未調査。検索中に阿見町のR8年度第1回協議会資料を偶然発見。交通計画関連とみられる https://www.town.ami.lg.jp/cmsfiles/contents/0000009/9640/R8_dai1kaikyougikai_siryo.pdf</t>
        </is>
      </c>
      <c r="S42" s="17" t="inlineStr">
        <is>
          <t>未調査</t>
        </is>
      </c>
    </row>
    <row r="43">
      <c r="A43" s="11" t="n">
        <v>40</v>
      </c>
      <c r="B43" s="11" t="inlineStr">
        <is>
          <t>河内町</t>
        </is>
      </c>
      <c r="C43" s="12">
        <f>IF(OR(D43="◎",E43="◎"),"◎ 営業",IF(OR(D43="△",E43="△"),"△ 着手済・要確認",IF(OR(D43="？",E43="？"),"？ 期間要確認","✕ 対象外")))</f>
        <v/>
      </c>
      <c r="D43" s="13">
        <f>IF(J43="計画なし","－",IF(J43="策定済","✕",IF(H43="","？",IF(AND(H43&gt;='集計・設定'!$C$4,H43&lt;='集計・設定'!$C$5),IF(J43="着手済","△","◎"),"✕"))))</f>
        <v/>
      </c>
      <c r="E43" s="13">
        <f>IF(P43="計画なし","－",IF(P43="策定済","✕",IF(N43="","？",IF(AND(N43&gt;='集計・設定'!$C$4,N43&lt;='集計・設定'!$C$5),IF(P43="着手済","△","◎"),"✕"))))</f>
        <v/>
      </c>
      <c r="F43" s="11" t="n"/>
      <c r="G43" s="11" t="inlineStr">
        <is>
          <t>不明</t>
        </is>
      </c>
      <c r="H43" s="13" t="n"/>
      <c r="I43" s="13" t="inlineStr">
        <is>
          <t>不明</t>
        </is>
      </c>
      <c r="J43" s="13" t="inlineStr">
        <is>
          <t>未確認</t>
        </is>
      </c>
      <c r="K43" s="11" t="n"/>
      <c r="L43" s="11" t="n"/>
      <c r="M43" s="11" t="inlineStr">
        <is>
          <t>不明</t>
        </is>
      </c>
      <c r="N43" s="13" t="n"/>
      <c r="O43" s="13" t="inlineStr">
        <is>
          <t>不明</t>
        </is>
      </c>
      <c r="P43" s="13" t="inlineStr">
        <is>
          <t>未確認</t>
        </is>
      </c>
      <c r="Q43" s="11" t="n"/>
      <c r="R43" s="11" t="inlineStr">
        <is>
          <t>※検索予算上限到達のため未調査</t>
        </is>
      </c>
      <c r="S43" s="17" t="inlineStr">
        <is>
          <t>未調査</t>
        </is>
      </c>
    </row>
    <row r="44">
      <c r="A44" s="11" t="n">
        <v>41</v>
      </c>
      <c r="B44" s="11" t="inlineStr">
        <is>
          <t>八千代町</t>
        </is>
      </c>
      <c r="C44" s="12">
        <f>IF(OR(D44="◎",E44="◎"),"◎ 営業",IF(OR(D44="△",E44="△"),"△ 着手済・要確認",IF(OR(D44="？",E44="？"),"？ 期間要確認","✕ 対象外")))</f>
        <v/>
      </c>
      <c r="D44" s="13">
        <f>IF(J44="計画なし","－",IF(J44="策定済","✕",IF(H44="","？",IF(AND(H44&gt;='集計・設定'!$C$4,H44&lt;='集計・設定'!$C$5),IF(J44="着手済","△","◎"),"✕"))))</f>
        <v/>
      </c>
      <c r="E44" s="13">
        <f>IF(P44="計画なし","－",IF(P44="策定済","✕",IF(N44="","？",IF(AND(N44&gt;='集計・設定'!$C$4,N44&lt;='集計・設定'!$C$5),IF(P44="着手済","△","◎"),"✕"))))</f>
        <v/>
      </c>
      <c r="F44" s="11" t="n"/>
      <c r="G44" s="11" t="inlineStr">
        <is>
          <t>不明</t>
        </is>
      </c>
      <c r="H44" s="13" t="n"/>
      <c r="I44" s="13" t="inlineStr">
        <is>
          <t>不明</t>
        </is>
      </c>
      <c r="J44" s="13" t="inlineStr">
        <is>
          <t>着手済</t>
        </is>
      </c>
      <c r="K44" s="11" t="n"/>
      <c r="L44" s="11" t="n"/>
      <c r="M44" s="11" t="inlineStr">
        <is>
          <t>不明</t>
        </is>
      </c>
      <c r="N44" s="13" t="n"/>
      <c r="O44" s="13" t="inlineStr">
        <is>
          <t>不明</t>
        </is>
      </c>
      <c r="P44" s="13" t="inlineStr">
        <is>
          <t>未確認</t>
        </is>
      </c>
      <c r="Q44" s="11" t="n"/>
      <c r="R44" s="11" t="inlineStr">
        <is>
          <t>※検索予算上限到達のため未調査。国交省関東運輸局「地域公共交通計画策定事業」リストに八千代町公共交通会議が掲載されており、計画策定に着手済とみられる（年度は要確認） https://wwwtb.mlit.go.jp/kanto/content/000322403.pdf</t>
        </is>
      </c>
      <c r="S44" s="17" t="inlineStr">
        <is>
          <t>未調査</t>
        </is>
      </c>
    </row>
    <row r="45">
      <c r="A45" s="11" t="n">
        <v>42</v>
      </c>
      <c r="B45" s="11" t="inlineStr">
        <is>
          <t>五霞町</t>
        </is>
      </c>
      <c r="C45" s="12">
        <f>IF(OR(D45="◎",E45="◎"),"◎ 営業",IF(OR(D45="△",E45="△"),"△ 着手済・要確認",IF(OR(D45="？",E45="？"),"？ 期間要確認","✕ 対象外")))</f>
        <v/>
      </c>
      <c r="D45" s="13">
        <f>IF(J45="計画なし","－",IF(J45="策定済","✕",IF(H45="","？",IF(AND(H45&gt;='集計・設定'!$C$4,H45&lt;='集計・設定'!$C$5),IF(J45="着手済","△","◎"),"✕"))))</f>
        <v/>
      </c>
      <c r="E45" s="13">
        <f>IF(P45="計画なし","－",IF(P45="策定済","✕",IF(N45="","？",IF(AND(N45&gt;='集計・設定'!$C$4,N45&lt;='集計・設定'!$C$5),IF(P45="着手済","△","◎"),"✕"))))</f>
        <v/>
      </c>
      <c r="F45" s="11" t="n"/>
      <c r="G45" s="11" t="inlineStr">
        <is>
          <t>不明</t>
        </is>
      </c>
      <c r="H45" s="13" t="n"/>
      <c r="I45" s="13" t="inlineStr">
        <is>
          <t>不明</t>
        </is>
      </c>
      <c r="J45" s="13" t="inlineStr">
        <is>
          <t>未確認</t>
        </is>
      </c>
      <c r="K45" s="11" t="n"/>
      <c r="L45" s="11" t="n"/>
      <c r="M45" s="11" t="inlineStr">
        <is>
          <t>不明</t>
        </is>
      </c>
      <c r="N45" s="13" t="n"/>
      <c r="O45" s="13" t="inlineStr">
        <is>
          <t>不明</t>
        </is>
      </c>
      <c r="P45" s="13" t="inlineStr">
        <is>
          <t>未確認</t>
        </is>
      </c>
      <c r="Q45" s="11" t="n"/>
      <c r="R45" s="11" t="inlineStr">
        <is>
          <t>※検索予算上限到達のため未調査</t>
        </is>
      </c>
      <c r="S45" s="17" t="inlineStr">
        <is>
          <t>未調査</t>
        </is>
      </c>
    </row>
    <row r="46">
      <c r="A46" s="11" t="n">
        <v>43</v>
      </c>
      <c r="B46" s="11" t="inlineStr">
        <is>
          <t>境町</t>
        </is>
      </c>
      <c r="C46" s="12">
        <f>IF(OR(D46="◎",E46="◎"),"◎ 営業",IF(OR(D46="△",E46="△"),"△ 着手済・要確認",IF(OR(D46="？",E46="？"),"？ 期間要確認","✕ 対象外")))</f>
        <v/>
      </c>
      <c r="D46" s="13">
        <f>IF(J46="計画なし","－",IF(J46="策定済","✕",IF(H46="","？",IF(AND(H46&gt;='集計・設定'!$C$4,H46&lt;='集計・設定'!$C$5),IF(J46="着手済","△","◎"),"✕"))))</f>
        <v/>
      </c>
      <c r="E46" s="13">
        <f>IF(P46="計画なし","－",IF(P46="策定済","✕",IF(N46="","？",IF(AND(N46&gt;='集計・設定'!$C$4,N46&lt;='集計・設定'!$C$5),IF(P46="着手済","△","◎"),"✕"))))</f>
        <v/>
      </c>
      <c r="F46" s="11" t="n"/>
      <c r="G46" s="11" t="inlineStr">
        <is>
          <t>不明</t>
        </is>
      </c>
      <c r="H46" s="13" t="n"/>
      <c r="I46" s="13" t="inlineStr">
        <is>
          <t>不明</t>
        </is>
      </c>
      <c r="J46" s="13" t="inlineStr">
        <is>
          <t>未確認</t>
        </is>
      </c>
      <c r="K46" s="11" t="n"/>
      <c r="L46" s="11" t="n"/>
      <c r="M46" s="11" t="inlineStr">
        <is>
          <t>不明</t>
        </is>
      </c>
      <c r="N46" s="13" t="n"/>
      <c r="O46" s="13" t="inlineStr">
        <is>
          <t>不明</t>
        </is>
      </c>
      <c r="P46" s="13" t="inlineStr">
        <is>
          <t>未確認</t>
        </is>
      </c>
      <c r="Q46" s="11" t="n"/>
      <c r="R46" s="11" t="inlineStr">
        <is>
          <t>※検索予算上限到達のため未調査</t>
        </is>
      </c>
      <c r="S46" s="17" t="inlineStr">
        <is>
          <t>未調査</t>
        </is>
      </c>
    </row>
    <row r="47">
      <c r="A47" s="11" t="n">
        <v>44</v>
      </c>
      <c r="B47" s="11" t="inlineStr">
        <is>
          <t>利根町</t>
        </is>
      </c>
      <c r="C47" s="12">
        <f>IF(OR(D47="◎",E47="◎"),"◎ 営業",IF(OR(D47="△",E47="△"),"△ 着手済・要確認",IF(OR(D47="？",E47="？"),"？ 期間要確認","✕ 対象外")))</f>
        <v/>
      </c>
      <c r="D47" s="13">
        <f>IF(J47="計画なし","－",IF(J47="策定済","✕",IF(H47="","？",IF(AND(H47&gt;='集計・設定'!$C$4,H47&lt;='集計・設定'!$C$5),IF(J47="着手済","△","◎"),"✕"))))</f>
        <v/>
      </c>
      <c r="E47" s="13">
        <f>IF(P47="計画なし","－",IF(P47="策定済","✕",IF(N47="","？",IF(AND(N47&gt;='集計・設定'!$C$4,N47&lt;='集計・設定'!$C$5),IF(P47="着手済","△","◎"),"✕"))))</f>
        <v/>
      </c>
      <c r="F47" s="11" t="n"/>
      <c r="G47" s="11" t="inlineStr">
        <is>
          <t>不明</t>
        </is>
      </c>
      <c r="H47" s="13" t="n"/>
      <c r="I47" s="13" t="inlineStr">
        <is>
          <t>不明</t>
        </is>
      </c>
      <c r="J47" s="13" t="inlineStr">
        <is>
          <t>着手済</t>
        </is>
      </c>
      <c r="K47" s="11" t="n"/>
      <c r="L47" s="11" t="n"/>
      <c r="M47" s="11" t="inlineStr">
        <is>
          <t>不明</t>
        </is>
      </c>
      <c r="N47" s="13" t="n"/>
      <c r="O47" s="13" t="inlineStr">
        <is>
          <t>不明</t>
        </is>
      </c>
      <c r="P47" s="13" t="inlineStr">
        <is>
          <t>未確認</t>
        </is>
      </c>
      <c r="Q47" s="11" t="n"/>
      <c r="R47" s="11" t="inlineStr">
        <is>
          <t>※検索予算上限到達のため未調査。国交省関東運輸局「地域公共交通計画策定事業」リストに利根町地域公共交通活性化協議会が掲載されており、計画策定に着手済とみられる（年度は要確認） https://wwwtb.mlit.go.jp/kanto/content/000322403.pdf</t>
        </is>
      </c>
      <c r="S47" s="17" t="inlineStr">
        <is>
          <t>未調査</t>
        </is>
      </c>
    </row>
  </sheetData>
  <autoFilter ref="A3:S47"/>
  <conditionalFormatting sqref="A4:S47">
    <cfRule type="expression" priority="1" dxfId="0">
      <formula>LEFT($C4,1)="◎"</formula>
    </cfRule>
    <cfRule type="expression" priority="2" dxfId="1">
      <formula>LEFT($C4,1)="△"</formula>
    </cfRule>
    <cfRule type="expression" priority="3" dxfId="2">
      <formula>LEFT($C4,1)="？"</formula>
    </cfRule>
    <cfRule type="expression" priority="4" dxfId="3">
      <formula>LEFT($C4,1)="✕"</formula>
    </cfRule>
  </conditionalFormatting>
  <dataValidations count="1">
    <dataValidation sqref="J4:J47 P4:P47" showDropDown="0" showInputMessage="0" showErrorMessage="0" allowBlank="1" type="list">
      <formula1>"未確認,着手済,策定済,計画なし"</formula1>
    </dataValidation>
  </dataValidations>
  <hyperlinks>
    <hyperlink xmlns:r="http://schemas.openxmlformats.org/officeDocument/2006/relationships" ref="K4" r:id="rId1"/>
    <hyperlink xmlns:r="http://schemas.openxmlformats.org/officeDocument/2006/relationships" ref="Q4" r:id="rId2"/>
    <hyperlink xmlns:r="http://schemas.openxmlformats.org/officeDocument/2006/relationships" ref="K5" r:id="rId3"/>
    <hyperlink xmlns:r="http://schemas.openxmlformats.org/officeDocument/2006/relationships" ref="Q5" r:id="rId4"/>
    <hyperlink xmlns:r="http://schemas.openxmlformats.org/officeDocument/2006/relationships" ref="K6" r:id="rId5"/>
    <hyperlink xmlns:r="http://schemas.openxmlformats.org/officeDocument/2006/relationships" ref="Q6" r:id="rId6"/>
    <hyperlink xmlns:r="http://schemas.openxmlformats.org/officeDocument/2006/relationships" ref="K15" r:id="rId7"/>
    <hyperlink xmlns:r="http://schemas.openxmlformats.org/officeDocument/2006/relationships" ref="Q15" r:id="rId8"/>
    <hyperlink xmlns:r="http://schemas.openxmlformats.org/officeDocument/2006/relationships" ref="K16" r:id="rId9"/>
    <hyperlink xmlns:r="http://schemas.openxmlformats.org/officeDocument/2006/relationships" ref="Q16" r:id="rId10"/>
    <hyperlink xmlns:r="http://schemas.openxmlformats.org/officeDocument/2006/relationships" ref="K17" r:id="rId11"/>
    <hyperlink xmlns:r="http://schemas.openxmlformats.org/officeDocument/2006/relationships" ref="Q17" r:id="rId12"/>
    <hyperlink xmlns:r="http://schemas.openxmlformats.org/officeDocument/2006/relationships" ref="K18" r:id="rId13"/>
    <hyperlink xmlns:r="http://schemas.openxmlformats.org/officeDocument/2006/relationships" ref="Q18" r:id="rId14"/>
    <hyperlink xmlns:r="http://schemas.openxmlformats.org/officeDocument/2006/relationships" ref="K26" r:id="rId15"/>
    <hyperlink xmlns:r="http://schemas.openxmlformats.org/officeDocument/2006/relationships" ref="K27" r:id="rId16"/>
    <hyperlink xmlns:r="http://schemas.openxmlformats.org/officeDocument/2006/relationships" ref="Q27" r:id="rId17"/>
    <hyperlink xmlns:r="http://schemas.openxmlformats.org/officeDocument/2006/relationships" ref="K28" r:id="rId18"/>
    <hyperlink xmlns:r="http://schemas.openxmlformats.org/officeDocument/2006/relationships" ref="Q28" r:id="rId19"/>
    <hyperlink xmlns:r="http://schemas.openxmlformats.org/officeDocument/2006/relationships" ref="K37" r:id="rId20"/>
    <hyperlink xmlns:r="http://schemas.openxmlformats.org/officeDocument/2006/relationships" ref="Q37" r:id="rId21"/>
    <hyperlink xmlns:r="http://schemas.openxmlformats.org/officeDocument/2006/relationships" ref="K38" r:id="rId22"/>
    <hyperlink xmlns:r="http://schemas.openxmlformats.org/officeDocument/2006/relationships" ref="Q38" r:id="rId23"/>
    <hyperlink xmlns:r="http://schemas.openxmlformats.org/officeDocument/2006/relationships" ref="K39" r:id="rId24"/>
    <hyperlink xmlns:r="http://schemas.openxmlformats.org/officeDocument/2006/relationships" ref="Q39" r:id="rId25"/>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S62"/>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5" customWidth="1" min="1" max="1"/>
    <col width="12" customWidth="1" min="2" max="2"/>
    <col width="16" customWidth="1" min="3" max="3"/>
    <col width="7" customWidth="1" min="4" max="4"/>
    <col width="7" customWidth="1" min="5" max="5"/>
    <col width="30" customWidth="1" min="6" max="6"/>
    <col width="15" customWidth="1" min="7" max="7"/>
    <col width="9" customWidth="1" min="8" max="8"/>
    <col width="8" customWidth="1" min="9" max="9"/>
    <col width="9" customWidth="1" min="10" max="10"/>
    <col width="34" customWidth="1" min="11" max="11"/>
    <col width="30" customWidth="1" min="12" max="12"/>
    <col width="15" customWidth="1" min="13" max="13"/>
    <col width="9" customWidth="1" min="14" max="14"/>
    <col width="8" customWidth="1" min="15" max="15"/>
    <col width="9" customWidth="1" min="16" max="16"/>
    <col width="34" customWidth="1" min="17" max="17"/>
    <col width="55" customWidth="1" min="18" max="18"/>
    <col width="14" customWidth="1" min="19" max="19"/>
  </cols>
  <sheetData>
    <row r="1">
      <c r="A1" s="1" t="inlineStr">
        <is>
          <t>福島県　地域公共交通計画・環境基本計画の終期一覧（2026年9月30日時点の調査）</t>
        </is>
      </c>
    </row>
    <row r="2">
      <c r="A2" s="9" t="inlineStr">
        <is>
          <t>営業判定：どちらかの計画の終期が対象年度（「集計・設定」シートで設定、初期値はR9のみ）→◎。次期計画に着手済→△。期間不明→？。</t>
        </is>
      </c>
    </row>
    <row r="3" ht="32" customHeight="1">
      <c r="A3" s="10" t="inlineStr">
        <is>
          <t>No</t>
        </is>
      </c>
      <c r="B3" s="10" t="inlineStr">
        <is>
          <t>市町村</t>
        </is>
      </c>
      <c r="C3" s="10" t="inlineStr">
        <is>
          <t>営業判定</t>
        </is>
      </c>
      <c r="D3" s="10" t="inlineStr">
        <is>
          <t>交通判定</t>
        </is>
      </c>
      <c r="E3" s="10" t="inlineStr">
        <is>
          <t>環境判定</t>
        </is>
      </c>
      <c r="F3" s="10" t="inlineStr">
        <is>
          <t>地域公共交通計画</t>
        </is>
      </c>
      <c r="G3" s="10" t="inlineStr">
        <is>
          <t>交通 計画期間</t>
        </is>
      </c>
      <c r="H3" s="10" t="inlineStr">
        <is>
          <t>交通 終期(令和年度)</t>
        </is>
      </c>
      <c r="I3" s="10" t="inlineStr">
        <is>
          <t>交通 確度</t>
        </is>
      </c>
      <c r="J3" s="10" t="inlineStr">
        <is>
          <t>交通 改定状況</t>
        </is>
      </c>
      <c r="K3" s="10" t="inlineStr">
        <is>
          <t>交通 計画リンク（エビデンス）</t>
        </is>
      </c>
      <c r="L3" s="10" t="inlineStr">
        <is>
          <t>環境基本計画</t>
        </is>
      </c>
      <c r="M3" s="10" t="inlineStr">
        <is>
          <t>環境 計画期間</t>
        </is>
      </c>
      <c r="N3" s="10" t="inlineStr">
        <is>
          <t>環境 終期(令和年度)</t>
        </is>
      </c>
      <c r="O3" s="10" t="inlineStr">
        <is>
          <t>環境 確度</t>
        </is>
      </c>
      <c r="P3" s="10" t="inlineStr">
        <is>
          <t>環境 改定状況</t>
        </is>
      </c>
      <c r="Q3" s="10" t="inlineStr">
        <is>
          <t>環境 計画リンク（エビデンス）</t>
        </is>
      </c>
      <c r="R3" s="10" t="inlineStr">
        <is>
          <t>注釈（改定作業の状況など）</t>
        </is>
      </c>
      <c r="S3" s="10" t="inlineStr">
        <is>
          <t>調査状況</t>
        </is>
      </c>
    </row>
    <row r="4">
      <c r="A4" s="11" t="n">
        <v>1</v>
      </c>
      <c r="B4" s="11" t="inlineStr">
        <is>
          <t>福島市</t>
        </is>
      </c>
      <c r="C4" s="12">
        <f>IF(OR(D4="◎",E4="◎"),"◎ 営業",IF(OR(D4="△",E4="△"),"△ 着手済・要確認",IF(OR(D4="？",E4="？"),"？ 期間要確認","✕ 対象外")))</f>
        <v/>
      </c>
      <c r="D4" s="13">
        <f>IF(J4="計画なし","－",IF(J4="策定済","✕",IF(H4="","？",IF(AND(H4&gt;='集計・設定'!$C$4,H4&lt;='集計・設定'!$C$5),IF(J4="着手済","△","◎"),"✕"))))</f>
        <v/>
      </c>
      <c r="E4" s="13">
        <f>IF(P4="計画なし","－",IF(P4="策定済","✕",IF(N4="","？",IF(AND(N4&gt;='集計・設定'!$C$4,N4&lt;='集計・設定'!$C$5),IF(P4="着手済","△","◎"),"✕"))))</f>
        <v/>
      </c>
      <c r="F4" s="11" t="inlineStr">
        <is>
          <t>福島市地域公共交通計画</t>
        </is>
      </c>
      <c r="G4" s="11" t="inlineStr">
        <is>
          <t>R5〜R9</t>
        </is>
      </c>
      <c r="H4" s="13" t="n">
        <v>9</v>
      </c>
      <c r="I4" s="13" t="inlineStr">
        <is>
          <t>確認済</t>
        </is>
      </c>
      <c r="J4" s="13" t="inlineStr">
        <is>
          <t>未確認</t>
        </is>
      </c>
      <c r="K4" s="14" t="inlineStr">
        <is>
          <t>https://www.city.fukushima.fukushima.jp/material/files/group/62/40koutuukeikaku-honnpenn1.pdf</t>
        </is>
      </c>
      <c r="L4" s="11" t="inlineStr">
        <is>
          <t>福島市環境基本計画（第3次）</t>
        </is>
      </c>
      <c r="M4" s="11" t="inlineStr">
        <is>
          <t>R3〜R7</t>
        </is>
      </c>
      <c r="N4" s="13" t="n">
        <v>7</v>
      </c>
      <c r="O4" s="13" t="inlineStr">
        <is>
          <t>確認済</t>
        </is>
      </c>
      <c r="P4" s="13" t="inlineStr">
        <is>
          <t>着手済</t>
        </is>
      </c>
      <c r="Q4" s="14" t="inlineStr">
        <is>
          <t>https://www.city.fukushima.fukushima.jp/material/files/group/36/02_r6_kannkyoukihonnkeikaku.pdf</t>
        </is>
      </c>
      <c r="R4" s="11" t="inlineStr">
        <is>
          <t>交通：R5.3策定、最終年度2027(R9)。R7.2.26に計画改定資料あり（一部改定）https://www.city.fukushima.fukushima.jp/material/files/group/62/20250226koutuukeikakukaitei1-3.pdf 。R7.10.3協議会で県北圏域地域公共交通利便増進実施計画の変更協議。R9終期のため次期計画策定はR8〜R9に着手見込み。環境：R7(2025)終期、2026年度からの第4次計画策定を環境審議会で審議開始（R7.6.23報道資料 https://www.city.fukushima.fukushima.jp/material/files/group/3/press2025-06-23-3.pdf）。第4次の策定完了は未確認。</t>
        </is>
      </c>
      <c r="S4" s="15" t="inlineStr">
        <is>
          <t>調査済</t>
        </is>
      </c>
    </row>
    <row r="5">
      <c r="A5" s="11" t="n">
        <v>2</v>
      </c>
      <c r="B5" s="11" t="inlineStr">
        <is>
          <t>会津若松市</t>
        </is>
      </c>
      <c r="C5" s="12">
        <f>IF(OR(D5="◎",E5="◎"),"◎ 営業",IF(OR(D5="△",E5="△"),"△ 着手済・要確認",IF(OR(D5="？",E5="？"),"？ 期間要確認","✕ 対象外")))</f>
        <v/>
      </c>
      <c r="D5" s="13">
        <f>IF(J5="計画なし","－",IF(J5="策定済","✕",IF(H5="","？",IF(AND(H5&gt;='集計・設定'!$C$4,H5&lt;='集計・設定'!$C$5),IF(J5="着手済","△","◎"),"✕"))))</f>
        <v/>
      </c>
      <c r="E5" s="13">
        <f>IF(P5="計画なし","－",IF(P5="策定済","✕",IF(N5="","？",IF(AND(N5&gt;='集計・設定'!$C$4,N5&lt;='集計・設定'!$C$5),IF(P5="着手済","△","◎"),"✕"))))</f>
        <v/>
      </c>
      <c r="F5" s="11" t="inlineStr">
        <is>
          <t>会津圏域地域公共交通計画（会津若松市・喜多方市ほか6市町村共同）</t>
        </is>
      </c>
      <c r="G5" s="11" t="inlineStr">
        <is>
          <t>R8〜R13</t>
        </is>
      </c>
      <c r="H5" s="13" t="n">
        <v>13</v>
      </c>
      <c r="I5" s="13" t="inlineStr">
        <is>
          <t>確認済</t>
        </is>
      </c>
      <c r="J5" s="13" t="inlineStr">
        <is>
          <t>策定済</t>
        </is>
      </c>
      <c r="K5" s="14" t="inlineStr">
        <is>
          <t>https://www.pref.fukushima.lg.jp/sec/16005d/aizukenikimoukeikaku.html</t>
        </is>
      </c>
      <c r="L5" s="11" t="inlineStr">
        <is>
          <t>会津若松市第3期環境基本計画</t>
        </is>
      </c>
      <c r="M5" s="11" t="inlineStr">
        <is>
          <t>R6〜R12</t>
        </is>
      </c>
      <c r="N5" s="13" t="n">
        <v>12</v>
      </c>
      <c r="O5" s="13" t="inlineStr">
        <is>
          <t>確認済</t>
        </is>
      </c>
      <c r="P5" s="13" t="inlineStr">
        <is>
          <t>未確認</t>
        </is>
      </c>
      <c r="Q5" s="14" t="inlineStr">
        <is>
          <t>https://www.city.aizuwakamatsu.fukushima.jp/docs/2024050800012/</t>
        </is>
      </c>
      <c r="R5" s="11" t="inlineStr">
        <is>
          <t>交通：前計画（会津圏域地域公共交通網形成計画/再編実施計画 R2〜R7）の後継として新計画を策定、パブコメR7.12.15〜R8.1.5。環境：R6.3策定。</t>
        </is>
      </c>
      <c r="S5" s="15" t="inlineStr">
        <is>
          <t>調査済</t>
        </is>
      </c>
    </row>
    <row r="6">
      <c r="A6" s="11" t="n">
        <v>3</v>
      </c>
      <c r="B6" s="11" t="inlineStr">
        <is>
          <t>郡山市</t>
        </is>
      </c>
      <c r="C6" s="12">
        <f>IF(OR(D6="◎",E6="◎"),"◎ 営業",IF(OR(D6="△",E6="△"),"△ 着手済・要確認",IF(OR(D6="？",E6="？"),"？ 期間要確認","✕ 対象外")))</f>
        <v/>
      </c>
      <c r="D6" s="13">
        <f>IF(J6="計画なし","－",IF(J6="策定済","✕",IF(H6="","？",IF(AND(H6&gt;='集計・設定'!$C$4,H6&lt;='集計・設定'!$C$5),IF(J6="着手済","△","◎"),"✕"))))</f>
        <v/>
      </c>
      <c r="E6" s="13">
        <f>IF(P6="計画なし","－",IF(P6="策定済","✕",IF(N6="","？",IF(AND(N6&gt;='集計・設定'!$C$4,N6&lt;='集計・設定'!$C$5),IF(P6="着手済","△","◎"),"✕"))))</f>
        <v/>
      </c>
      <c r="F6" s="11" t="inlineStr">
        <is>
          <t>郡山市総合交通計画マスタープラン（地域公共交通計画を包含）</t>
        </is>
      </c>
      <c r="G6" s="11" t="inlineStr">
        <is>
          <t>R5〜R12</t>
        </is>
      </c>
      <c r="H6" s="13" t="n">
        <v>12</v>
      </c>
      <c r="I6" s="13" t="inlineStr">
        <is>
          <t>確認済</t>
        </is>
      </c>
      <c r="J6" s="13" t="inlineStr">
        <is>
          <t>未確認</t>
        </is>
      </c>
      <c r="K6" s="14" t="inlineStr">
        <is>
          <t>https://www.city.koriyama.lg.jp/soshiki/125/68026.html</t>
        </is>
      </c>
      <c r="L6" s="11" t="inlineStr">
        <is>
          <t>郡山市第四次環境基本計画</t>
        </is>
      </c>
      <c r="M6" s="11" t="inlineStr">
        <is>
          <t>R4〜R7</t>
        </is>
      </c>
      <c r="N6" s="13" t="n">
        <v>7</v>
      </c>
      <c r="O6" s="13" t="inlineStr">
        <is>
          <t>確認済</t>
        </is>
      </c>
      <c r="P6" s="13" t="inlineStr">
        <is>
          <t>未確認</t>
        </is>
      </c>
      <c r="Q6" s="14" t="inlineStr">
        <is>
          <t>https://www.city.koriyama.lg.jp/uploaded/attachment/76651.pdf</t>
        </is>
      </c>
      <c r="R6" s="11" t="inlineStr">
        <is>
          <t>交通：活性化再生法第5条の地域公共交通計画・バリアフリー方針を統合した総合計画。環境：第四次はR7(2025)で期間満了、次期（第五次）計画の策定状況は検索で確認できず（要確認・有望）。e_urlは年次報告書（第四次計画掲載）。</t>
        </is>
      </c>
      <c r="S6" s="15" t="inlineStr">
        <is>
          <t>調査済</t>
        </is>
      </c>
    </row>
    <row r="7">
      <c r="A7" s="11" t="n">
        <v>4</v>
      </c>
      <c r="B7" s="11" t="inlineStr">
        <is>
          <t>いわき市</t>
        </is>
      </c>
      <c r="C7" s="12">
        <f>IF(OR(D7="◎",E7="◎"),"◎ 営業",IF(OR(D7="△",E7="△"),"△ 着手済・要確認",IF(OR(D7="？",E7="？"),"？ 期間要確認","✕ 対象外")))</f>
        <v/>
      </c>
      <c r="D7" s="13">
        <f>IF(J7="計画なし","－",IF(J7="策定済","✕",IF(H7="","？",IF(AND(H7&gt;='集計・設定'!$C$4,H7&lt;='集計・設定'!$C$5),IF(J7="着手済","△","◎"),"✕"))))</f>
        <v/>
      </c>
      <c r="E7" s="13">
        <f>IF(P7="計画なし","－",IF(P7="策定済","✕",IF(N7="","？",IF(AND(N7&gt;='集計・設定'!$C$4,N7&lt;='集計・設定'!$C$5),IF(P7="着手済","△","◎"),"✕"))))</f>
        <v/>
      </c>
      <c r="F7" s="11" t="n"/>
      <c r="G7" s="11" t="inlineStr">
        <is>
          <t>不明</t>
        </is>
      </c>
      <c r="H7" s="13" t="n"/>
      <c r="I7" s="13" t="inlineStr">
        <is>
          <t>不明</t>
        </is>
      </c>
      <c r="J7" s="13" t="inlineStr">
        <is>
          <t>未確認</t>
        </is>
      </c>
      <c r="K7" s="11" t="n"/>
      <c r="L7" s="11" t="n"/>
      <c r="M7" s="11" t="inlineStr">
        <is>
          <t>不明</t>
        </is>
      </c>
      <c r="N7" s="13" t="n"/>
      <c r="O7" s="13" t="inlineStr">
        <is>
          <t>不明</t>
        </is>
      </c>
      <c r="P7" s="13" t="inlineStr">
        <is>
          <t>未確認</t>
        </is>
      </c>
      <c r="Q7" s="11" t="n"/>
      <c r="R7" s="11" t="inlineStr">
        <is>
          <t>未調査：WebSearch上限（セッション200件）到達・自治体サイトはプロキシで遮断のため確認できず。要追加調査。参考：福島県地域公共交通計画（R6.3策定、R7.6.18一部改定）が県全域を対象 https://www.pref.fukushima.lg.jp/uploaded/attachment/622613.pdf</t>
        </is>
      </c>
      <c r="S7" s="17" t="inlineStr">
        <is>
          <t>未調査</t>
        </is>
      </c>
    </row>
    <row r="8">
      <c r="A8" s="11" t="n">
        <v>5</v>
      </c>
      <c r="B8" s="11" t="inlineStr">
        <is>
          <t>白河市</t>
        </is>
      </c>
      <c r="C8" s="12">
        <f>IF(OR(D8="◎",E8="◎"),"◎ 営業",IF(OR(D8="△",E8="△"),"△ 着手済・要確認",IF(OR(D8="？",E8="？"),"？ 期間要確認","✕ 対象外")))</f>
        <v/>
      </c>
      <c r="D8" s="13">
        <f>IF(J8="計画なし","－",IF(J8="策定済","✕",IF(H8="","？",IF(AND(H8&gt;='集計・設定'!$C$4,H8&lt;='集計・設定'!$C$5),IF(J8="着手済","△","◎"),"✕"))))</f>
        <v/>
      </c>
      <c r="E8" s="13">
        <f>IF(P8="計画なし","－",IF(P8="策定済","✕",IF(N8="","？",IF(AND(N8&gt;='集計・設定'!$C$4,N8&lt;='集計・設定'!$C$5),IF(P8="着手済","△","◎"),"✕"))))</f>
        <v/>
      </c>
      <c r="F8" s="11" t="n"/>
      <c r="G8" s="11" t="inlineStr">
        <is>
          <t>不明</t>
        </is>
      </c>
      <c r="H8" s="13" t="n"/>
      <c r="I8" s="13" t="inlineStr">
        <is>
          <t>不明</t>
        </is>
      </c>
      <c r="J8" s="13" t="inlineStr">
        <is>
          <t>未確認</t>
        </is>
      </c>
      <c r="K8" s="11" t="n"/>
      <c r="L8" s="11" t="n"/>
      <c r="M8" s="11" t="inlineStr">
        <is>
          <t>不明</t>
        </is>
      </c>
      <c r="N8" s="13" t="n"/>
      <c r="O8" s="13" t="inlineStr">
        <is>
          <t>不明</t>
        </is>
      </c>
      <c r="P8" s="13" t="inlineStr">
        <is>
          <t>未確認</t>
        </is>
      </c>
      <c r="Q8" s="11" t="n"/>
      <c r="R8" s="11" t="inlineStr">
        <is>
          <t>未調査：WebSearch上限（セッション200件）到達・自治体サイトはプロキシで遮断のため確認できず。要追加調査。参考：福島県地域公共交通計画（R6.3策定、R7.6.18一部改定）が県全域を対象 https://www.pref.fukushima.lg.jp/uploaded/attachment/622613.pdf</t>
        </is>
      </c>
      <c r="S8" s="17" t="inlineStr">
        <is>
          <t>未調査</t>
        </is>
      </c>
    </row>
    <row r="9">
      <c r="A9" s="11" t="n">
        <v>6</v>
      </c>
      <c r="B9" s="11" t="inlineStr">
        <is>
          <t>須賀川市</t>
        </is>
      </c>
      <c r="C9" s="12">
        <f>IF(OR(D9="◎",E9="◎"),"◎ 営業",IF(OR(D9="△",E9="△"),"△ 着手済・要確認",IF(OR(D9="？",E9="？"),"？ 期間要確認","✕ 対象外")))</f>
        <v/>
      </c>
      <c r="D9" s="13">
        <f>IF(J9="計画なし","－",IF(J9="策定済","✕",IF(H9="","？",IF(AND(H9&gt;='集計・設定'!$C$4,H9&lt;='集計・設定'!$C$5),IF(J9="着手済","△","◎"),"✕"))))</f>
        <v/>
      </c>
      <c r="E9" s="13">
        <f>IF(P9="計画なし","－",IF(P9="策定済","✕",IF(N9="","？",IF(AND(N9&gt;='集計・設定'!$C$4,N9&lt;='集計・設定'!$C$5),IF(P9="着手済","△","◎"),"✕"))))</f>
        <v/>
      </c>
      <c r="F9" s="11" t="n"/>
      <c r="G9" s="11" t="inlineStr">
        <is>
          <t>不明</t>
        </is>
      </c>
      <c r="H9" s="13" t="n"/>
      <c r="I9" s="13" t="inlineStr">
        <is>
          <t>不明</t>
        </is>
      </c>
      <c r="J9" s="13" t="inlineStr">
        <is>
          <t>未確認</t>
        </is>
      </c>
      <c r="K9" s="11" t="n"/>
      <c r="L9" s="11" t="n"/>
      <c r="M9" s="11" t="inlineStr">
        <is>
          <t>不明</t>
        </is>
      </c>
      <c r="N9" s="13" t="n"/>
      <c r="O9" s="13" t="inlineStr">
        <is>
          <t>不明</t>
        </is>
      </c>
      <c r="P9" s="13" t="inlineStr">
        <is>
          <t>未確認</t>
        </is>
      </c>
      <c r="Q9" s="11" t="n"/>
      <c r="R9" s="11" t="inlineStr">
        <is>
          <t>未調査：WebSearch上限（セッション200件）到達・自治体サイトはプロキシで遮断のため確認できず。要追加調査。参考：福島県地域公共交通計画（R6.3策定、R7.6.18一部改定）が県全域を対象 https://www.pref.fukushima.lg.jp/uploaded/attachment/622613.pdf</t>
        </is>
      </c>
      <c r="S9" s="17" t="inlineStr">
        <is>
          <t>未調査</t>
        </is>
      </c>
    </row>
    <row r="10">
      <c r="A10" s="11" t="n">
        <v>7</v>
      </c>
      <c r="B10" s="11" t="inlineStr">
        <is>
          <t>喜多方市</t>
        </is>
      </c>
      <c r="C10" s="12">
        <f>IF(OR(D10="◎",E10="◎"),"◎ 営業",IF(OR(D10="△",E10="△"),"△ 着手済・要確認",IF(OR(D10="？",E10="？"),"？ 期間要確認","✕ 対象外")))</f>
        <v/>
      </c>
      <c r="D10" s="13">
        <f>IF(J10="計画なし","－",IF(J10="策定済","✕",IF(H10="","？",IF(AND(H10&gt;='集計・設定'!$C$4,H10&lt;='集計・設定'!$C$5),IF(J10="着手済","△","◎"),"✕"))))</f>
        <v/>
      </c>
      <c r="E10" s="13">
        <f>IF(P10="計画なし","－",IF(P10="策定済","✕",IF(N10="","？",IF(AND(N10&gt;='集計・設定'!$C$4,N10&lt;='集計・設定'!$C$5),IF(P10="着手済","△","◎"),"✕"))))</f>
        <v/>
      </c>
      <c r="F10" s="11" t="inlineStr">
        <is>
          <t>会津圏域地域公共交通計画（会津若松市・喜多方市ほか共同）</t>
        </is>
      </c>
      <c r="G10" s="11" t="inlineStr">
        <is>
          <t>R8〜R13</t>
        </is>
      </c>
      <c r="H10" s="13" t="n">
        <v>13</v>
      </c>
      <c r="I10" s="13" t="inlineStr">
        <is>
          <t>確認済</t>
        </is>
      </c>
      <c r="J10" s="13" t="inlineStr">
        <is>
          <t>策定済</t>
        </is>
      </c>
      <c r="K10" s="14" t="inlineStr">
        <is>
          <t>https://www.pref.fukushima.lg.jp/sec/16005d/aizukenikimoukeikaku.html</t>
        </is>
      </c>
      <c r="L10" s="11" t="n"/>
      <c r="M10" s="11" t="inlineStr">
        <is>
          <t>不明</t>
        </is>
      </c>
      <c r="N10" s="13" t="n"/>
      <c r="O10" s="13" t="inlineStr">
        <is>
          <t>不明</t>
        </is>
      </c>
      <c r="P10" s="13" t="inlineStr">
        <is>
          <t>未確認</t>
        </is>
      </c>
      <c r="Q10" s="11" t="n"/>
      <c r="R10" s="11" t="inlineStr">
        <is>
          <t>交通：会津圏域6市町村共同計画、パブコメR7.12.15〜R8.1.5、R8〜R13。環境基本計画は未調査（検索上限到達）。</t>
        </is>
      </c>
      <c r="S10" s="17" t="inlineStr">
        <is>
          <t>交通のみ調査</t>
        </is>
      </c>
    </row>
    <row r="11">
      <c r="A11" s="11" t="n">
        <v>8</v>
      </c>
      <c r="B11" s="11" t="inlineStr">
        <is>
          <t>相馬市</t>
        </is>
      </c>
      <c r="C11" s="12">
        <f>IF(OR(D11="◎",E11="◎"),"◎ 営業",IF(OR(D11="△",E11="△"),"△ 着手済・要確認",IF(OR(D11="？",E11="？"),"？ 期間要確認","✕ 対象外")))</f>
        <v/>
      </c>
      <c r="D11" s="13">
        <f>IF(J11="計画なし","－",IF(J11="策定済","✕",IF(H11="","？",IF(AND(H11&gt;='集計・設定'!$C$4,H11&lt;='集計・設定'!$C$5),IF(J11="着手済","△","◎"),"✕"))))</f>
        <v/>
      </c>
      <c r="E11" s="13">
        <f>IF(P11="計画なし","－",IF(P11="策定済","✕",IF(N11="","？",IF(AND(N11&gt;='集計・設定'!$C$4,N11&lt;='集計・設定'!$C$5),IF(P11="着手済","△","◎"),"✕"))))</f>
        <v/>
      </c>
      <c r="F11" s="11" t="n"/>
      <c r="G11" s="11" t="inlineStr">
        <is>
          <t>不明</t>
        </is>
      </c>
      <c r="H11" s="13" t="n"/>
      <c r="I11" s="13" t="inlineStr">
        <is>
          <t>不明</t>
        </is>
      </c>
      <c r="J11" s="13" t="inlineStr">
        <is>
          <t>未確認</t>
        </is>
      </c>
      <c r="K11" s="11" t="n"/>
      <c r="L11" s="11" t="n"/>
      <c r="M11" s="11" t="inlineStr">
        <is>
          <t>不明</t>
        </is>
      </c>
      <c r="N11" s="13" t="n"/>
      <c r="O11" s="13" t="inlineStr">
        <is>
          <t>不明</t>
        </is>
      </c>
      <c r="P11" s="13" t="inlineStr">
        <is>
          <t>未確認</t>
        </is>
      </c>
      <c r="Q11" s="11" t="n"/>
      <c r="R11" s="11" t="inlineStr">
        <is>
          <t>未調査：WebSearch上限（セッション200件）到達・自治体サイトはプロキシで遮断のため確認できず。要追加調査。参考：福島県地域公共交通計画（R6.3策定、R7.6.18一部改定）が県全域を対象 https://www.pref.fukushima.lg.jp/uploaded/attachment/622613.pdf</t>
        </is>
      </c>
      <c r="S11" s="17" t="inlineStr">
        <is>
          <t>未調査</t>
        </is>
      </c>
    </row>
    <row r="12">
      <c r="A12" s="11" t="n">
        <v>9</v>
      </c>
      <c r="B12" s="11" t="inlineStr">
        <is>
          <t>二本松市</t>
        </is>
      </c>
      <c r="C12" s="12">
        <f>IF(OR(D12="◎",E12="◎"),"◎ 営業",IF(OR(D12="△",E12="△"),"△ 着手済・要確認",IF(OR(D12="？",E12="？"),"？ 期間要確認","✕ 対象外")))</f>
        <v/>
      </c>
      <c r="D12" s="13">
        <f>IF(J12="計画なし","－",IF(J12="策定済","✕",IF(H12="","？",IF(AND(H12&gt;='集計・設定'!$C$4,H12&lt;='集計・設定'!$C$5),IF(J12="着手済","△","◎"),"✕"))))</f>
        <v/>
      </c>
      <c r="E12" s="13">
        <f>IF(P12="計画なし","－",IF(P12="策定済","✕",IF(N12="","？",IF(AND(N12&gt;='集計・設定'!$C$4,N12&lt;='集計・設定'!$C$5),IF(P12="着手済","△","◎"),"✕"))))</f>
        <v/>
      </c>
      <c r="F12" s="11" t="n"/>
      <c r="G12" s="11" t="inlineStr">
        <is>
          <t>不明</t>
        </is>
      </c>
      <c r="H12" s="13" t="n"/>
      <c r="I12" s="13" t="inlineStr">
        <is>
          <t>不明</t>
        </is>
      </c>
      <c r="J12" s="13" t="inlineStr">
        <is>
          <t>未確認</t>
        </is>
      </c>
      <c r="K12" s="11" t="n"/>
      <c r="L12" s="11" t="n"/>
      <c r="M12" s="11" t="inlineStr">
        <is>
          <t>不明</t>
        </is>
      </c>
      <c r="N12" s="13" t="n"/>
      <c r="O12" s="13" t="inlineStr">
        <is>
          <t>不明</t>
        </is>
      </c>
      <c r="P12" s="13" t="inlineStr">
        <is>
          <t>未確認</t>
        </is>
      </c>
      <c r="Q12" s="11" t="n"/>
      <c r="R12" s="11" t="inlineStr">
        <is>
          <t>未調査：WebSearch上限（セッション200件）到達・自治体サイトはプロキシで遮断のため確認できず。要追加調査。参考：福島県地域公共交通計画（R6.3策定、R7.6.18一部改定）が県全域を対象 https://www.pref.fukushima.lg.jp/uploaded/attachment/622613.pdf</t>
        </is>
      </c>
      <c r="S12" s="17" t="inlineStr">
        <is>
          <t>未調査</t>
        </is>
      </c>
    </row>
    <row r="13">
      <c r="A13" s="11" t="n">
        <v>10</v>
      </c>
      <c r="B13" s="11" t="inlineStr">
        <is>
          <t>田村市</t>
        </is>
      </c>
      <c r="C13" s="12">
        <f>IF(OR(D13="◎",E13="◎"),"◎ 営業",IF(OR(D13="△",E13="△"),"△ 着手済・要確認",IF(OR(D13="？",E13="？"),"？ 期間要確認","✕ 対象外")))</f>
        <v/>
      </c>
      <c r="D13" s="13">
        <f>IF(J13="計画なし","－",IF(J13="策定済","✕",IF(H13="","？",IF(AND(H13&gt;='集計・設定'!$C$4,H13&lt;='集計・設定'!$C$5),IF(J13="着手済","△","◎"),"✕"))))</f>
        <v/>
      </c>
      <c r="E13" s="13">
        <f>IF(P13="計画なし","－",IF(P13="策定済","✕",IF(N13="","？",IF(AND(N13&gt;='集計・設定'!$C$4,N13&lt;='集計・設定'!$C$5),IF(P13="着手済","△","◎"),"✕"))))</f>
        <v/>
      </c>
      <c r="F13" s="11" t="n"/>
      <c r="G13" s="11" t="inlineStr">
        <is>
          <t>不明</t>
        </is>
      </c>
      <c r="H13" s="13" t="n"/>
      <c r="I13" s="13" t="inlineStr">
        <is>
          <t>不明</t>
        </is>
      </c>
      <c r="J13" s="13" t="inlineStr">
        <is>
          <t>未確認</t>
        </is>
      </c>
      <c r="K13" s="11" t="n"/>
      <c r="L13" s="11" t="n"/>
      <c r="M13" s="11" t="inlineStr">
        <is>
          <t>不明</t>
        </is>
      </c>
      <c r="N13" s="13" t="n"/>
      <c r="O13" s="13" t="inlineStr">
        <is>
          <t>不明</t>
        </is>
      </c>
      <c r="P13" s="13" t="inlineStr">
        <is>
          <t>未確認</t>
        </is>
      </c>
      <c r="Q13" s="11" t="n"/>
      <c r="R13" s="11" t="inlineStr">
        <is>
          <t>未調査：WebSearch上限（セッション200件）到達・自治体サイトはプロキシで遮断のため確認できず。要追加調査。参考：福島県地域公共交通計画（R6.3策定、R7.6.18一部改定）が県全域を対象 https://www.pref.fukushima.lg.jp/uploaded/attachment/622613.pdf</t>
        </is>
      </c>
      <c r="S13" s="17" t="inlineStr">
        <is>
          <t>未調査</t>
        </is>
      </c>
    </row>
    <row r="14">
      <c r="A14" s="11" t="n">
        <v>11</v>
      </c>
      <c r="B14" s="11" t="inlineStr">
        <is>
          <t>南相馬市</t>
        </is>
      </c>
      <c r="C14" s="12">
        <f>IF(OR(D14="◎",E14="◎"),"◎ 営業",IF(OR(D14="△",E14="△"),"△ 着手済・要確認",IF(OR(D14="？",E14="？"),"？ 期間要確認","✕ 対象外")))</f>
        <v/>
      </c>
      <c r="D14" s="13">
        <f>IF(J14="計画なし","－",IF(J14="策定済","✕",IF(H14="","？",IF(AND(H14&gt;='集計・設定'!$C$4,H14&lt;='集計・設定'!$C$5),IF(J14="着手済","△","◎"),"✕"))))</f>
        <v/>
      </c>
      <c r="E14" s="13">
        <f>IF(P14="計画なし","－",IF(P14="策定済","✕",IF(N14="","？",IF(AND(N14&gt;='集計・設定'!$C$4,N14&lt;='集計・設定'!$C$5),IF(P14="着手済","△","◎"),"✕"))))</f>
        <v/>
      </c>
      <c r="F14" s="11" t="n"/>
      <c r="G14" s="11" t="inlineStr">
        <is>
          <t>不明</t>
        </is>
      </c>
      <c r="H14" s="13" t="n"/>
      <c r="I14" s="13" t="inlineStr">
        <is>
          <t>不明</t>
        </is>
      </c>
      <c r="J14" s="13" t="inlineStr">
        <is>
          <t>未確認</t>
        </is>
      </c>
      <c r="K14" s="11" t="n"/>
      <c r="L14" s="11" t="n"/>
      <c r="M14" s="11" t="inlineStr">
        <is>
          <t>不明</t>
        </is>
      </c>
      <c r="N14" s="13" t="n"/>
      <c r="O14" s="13" t="inlineStr">
        <is>
          <t>不明</t>
        </is>
      </c>
      <c r="P14" s="13" t="inlineStr">
        <is>
          <t>未確認</t>
        </is>
      </c>
      <c r="Q14" s="11" t="n"/>
      <c r="R14" s="11" t="inlineStr">
        <is>
          <t>未調査：WebSearch上限（セッション200件）到達・自治体サイトはプロキシで遮断のため確認できず。要追加調査。参考：福島県地域公共交通計画（R6.3策定、R7.6.18一部改定）が県全域を対象 https://www.pref.fukushima.lg.jp/uploaded/attachment/622613.pdf</t>
        </is>
      </c>
      <c r="S14" s="17" t="inlineStr">
        <is>
          <t>未調査</t>
        </is>
      </c>
    </row>
    <row r="15">
      <c r="A15" s="11" t="n">
        <v>12</v>
      </c>
      <c r="B15" s="11" t="inlineStr">
        <is>
          <t>伊達市</t>
        </is>
      </c>
      <c r="C15" s="12">
        <f>IF(OR(D15="◎",E15="◎"),"◎ 営業",IF(OR(D15="△",E15="△"),"△ 着手済・要確認",IF(OR(D15="？",E15="？"),"？ 期間要確認","✕ 対象外")))</f>
        <v/>
      </c>
      <c r="D15" s="13">
        <f>IF(J15="計画なし","－",IF(J15="策定済","✕",IF(H15="","？",IF(AND(H15&gt;='集計・設定'!$C$4,H15&lt;='集計・設定'!$C$5),IF(J15="着手済","△","◎"),"✕"))))</f>
        <v/>
      </c>
      <c r="E15" s="13">
        <f>IF(P15="計画なし","－",IF(P15="策定済","✕",IF(N15="","？",IF(AND(N15&gt;='集計・設定'!$C$4,N15&lt;='集計・設定'!$C$5),IF(P15="着手済","△","◎"),"✕"))))</f>
        <v/>
      </c>
      <c r="F15" s="11" t="n"/>
      <c r="G15" s="11" t="inlineStr">
        <is>
          <t>不明</t>
        </is>
      </c>
      <c r="H15" s="13" t="n"/>
      <c r="I15" s="13" t="inlineStr">
        <is>
          <t>不明</t>
        </is>
      </c>
      <c r="J15" s="13" t="inlineStr">
        <is>
          <t>未確認</t>
        </is>
      </c>
      <c r="K15" s="11" t="n"/>
      <c r="L15" s="11" t="n"/>
      <c r="M15" s="11" t="inlineStr">
        <is>
          <t>不明</t>
        </is>
      </c>
      <c r="N15" s="13" t="n"/>
      <c r="O15" s="13" t="inlineStr">
        <is>
          <t>不明</t>
        </is>
      </c>
      <c r="P15" s="13" t="inlineStr">
        <is>
          <t>未確認</t>
        </is>
      </c>
      <c r="Q15" s="11" t="n"/>
      <c r="R15" s="11" t="inlineStr">
        <is>
          <t>未調査：WebSearch上限（セッション200件）到達・自治体サイトはプロキシで遮断のため確認できず。要追加調査。参考：福島県地域公共交通計画（R6.3策定、R7.6.18一部改定）が県全域を対象 https://www.pref.fukushima.lg.jp/uploaded/attachment/622613.pdf</t>
        </is>
      </c>
      <c r="S15" s="17" t="inlineStr">
        <is>
          <t>未調査</t>
        </is>
      </c>
    </row>
    <row r="16">
      <c r="A16" s="11" t="n">
        <v>13</v>
      </c>
      <c r="B16" s="11" t="inlineStr">
        <is>
          <t>本宮市</t>
        </is>
      </c>
      <c r="C16" s="12">
        <f>IF(OR(D16="◎",E16="◎"),"◎ 営業",IF(OR(D16="△",E16="△"),"△ 着手済・要確認",IF(OR(D16="？",E16="？"),"？ 期間要確認","✕ 対象外")))</f>
        <v/>
      </c>
      <c r="D16" s="13">
        <f>IF(J16="計画なし","－",IF(J16="策定済","✕",IF(H16="","？",IF(AND(H16&gt;='集計・設定'!$C$4,H16&lt;='集計・設定'!$C$5),IF(J16="着手済","△","◎"),"✕"))))</f>
        <v/>
      </c>
      <c r="E16" s="13">
        <f>IF(P16="計画なし","－",IF(P16="策定済","✕",IF(N16="","？",IF(AND(N16&gt;='集計・設定'!$C$4,N16&lt;='集計・設定'!$C$5),IF(P16="着手済","△","◎"),"✕"))))</f>
        <v/>
      </c>
      <c r="F16" s="11" t="inlineStr">
        <is>
          <t>本宮市地域公共交通計画</t>
        </is>
      </c>
      <c r="G16" s="11" t="inlineStr">
        <is>
          <t>不明（R8度末終了と推定）</t>
        </is>
      </c>
      <c r="H16" s="16" t="n">
        <v>8</v>
      </c>
      <c r="I16" s="13" t="inlineStr">
        <is>
          <t>推定</t>
        </is>
      </c>
      <c r="J16" s="13" t="inlineStr">
        <is>
          <t>着手済</t>
        </is>
      </c>
      <c r="K16" s="14" t="inlineStr">
        <is>
          <t>https://www.city.motomiya.lg.jp/soshiki/10/tiikikoukyoukoutsuukeikaku.html</t>
        </is>
      </c>
      <c r="L16" s="11" t="inlineStr">
        <is>
          <t>本宮市第2次環境基本計画</t>
        </is>
      </c>
      <c r="M16" s="11" t="inlineStr">
        <is>
          <t>不明</t>
        </is>
      </c>
      <c r="N16" s="13" t="n"/>
      <c r="O16" s="13" t="inlineStr">
        <is>
          <t>不明</t>
        </is>
      </c>
      <c r="P16" s="13" t="inlineStr">
        <is>
          <t>未確認</t>
        </is>
      </c>
      <c r="Q16" s="11" t="n"/>
      <c r="R16" s="11" t="inlineStr">
        <is>
          <t>2026-07-06 「本宮市第2期地域公共交通計画策定支援業務委託」公募型プロポーザル実施を市が公表（生活環境課、https://www.city.motomiya.lg.jp/soshiki/10/tiikikoukyoukoutsuukeikaku.html）。現行計画期間は未確認（第2期がR9開始と推定）。環境基本計画は「本宮市第2次環境基本計画」（市HP掲載、2019-05-13更新と検索結果に表示、計画・事業ページ https://www.city.motomiya.lg.jp/life/6/25/ ）だが計画期間は再検索でも確認できず。ゼロカーボンシティ宣言2021年3月（https://www.city.motomiya.lg.jp/soshiki/10/2050zerocarboncity.html）。</t>
        </is>
      </c>
      <c r="S16" s="15" t="inlineStr">
        <is>
          <t>調査済</t>
        </is>
      </c>
    </row>
    <row r="17">
      <c r="A17" s="11" t="n">
        <v>14</v>
      </c>
      <c r="B17" s="11" t="inlineStr">
        <is>
          <t>桑折町</t>
        </is>
      </c>
      <c r="C17" s="12">
        <f>IF(OR(D17="◎",E17="◎"),"◎ 営業",IF(OR(D17="△",E17="△"),"△ 着手済・要確認",IF(OR(D17="？",E17="？"),"？ 期間要確認","✕ 対象外")))</f>
        <v/>
      </c>
      <c r="D17" s="13">
        <f>IF(J17="計画なし","－",IF(J17="策定済","✕",IF(H17="","？",IF(AND(H17&gt;='集計・設定'!$C$4,H17&lt;='集計・設定'!$C$5),IF(J17="着手済","△","◎"),"✕"))))</f>
        <v/>
      </c>
      <c r="E17" s="13">
        <f>IF(P17="計画なし","－",IF(P17="策定済","✕",IF(N17="","？",IF(AND(N17&gt;='集計・設定'!$C$4,N17&lt;='集計・設定'!$C$5),IF(P17="着手済","△","◎"),"✕"))))</f>
        <v/>
      </c>
      <c r="F17" s="11" t="n"/>
      <c r="G17" s="11" t="inlineStr">
        <is>
          <t>不明</t>
        </is>
      </c>
      <c r="H17" s="13" t="n"/>
      <c r="I17" s="13" t="inlineStr">
        <is>
          <t>不明</t>
        </is>
      </c>
      <c r="J17" s="13" t="inlineStr">
        <is>
          <t>未確認</t>
        </is>
      </c>
      <c r="K17" s="11" t="n"/>
      <c r="L17" s="11" t="n"/>
      <c r="M17" s="11" t="inlineStr">
        <is>
          <t>不明</t>
        </is>
      </c>
      <c r="N17" s="13" t="n"/>
      <c r="O17" s="13" t="inlineStr">
        <is>
          <t>不明</t>
        </is>
      </c>
      <c r="P17" s="13" t="inlineStr">
        <is>
          <t>計画なし</t>
        </is>
      </c>
      <c r="Q17" s="11" t="n"/>
      <c r="R17" s="11" t="inlineStr">
        <is>
          <t>地域公共交通計画は町HP内検索・一般検索とも確認できず（都市計画マスタープランR6年度策定、公共交通は環境係所管）。環境基本計画も見当たらず、代替として地球温暖化対策実行計画 区域施策編（地域まるごと省エネ計画、R6.2改正）・事務事業編（第4期、R4.3策定）あり: https://www.town.koori.fukushima.jp/soshiki/kankyo/1/3/9286.html 。都市計画マスタープランはR6年度策定。環境基本計画の「計画なし」は検索未ヒットに基づく推定。</t>
        </is>
      </c>
      <c r="S17" s="17" t="inlineStr">
        <is>
          <t>環境のみ調査</t>
        </is>
      </c>
    </row>
    <row r="18">
      <c r="A18" s="11" t="n">
        <v>15</v>
      </c>
      <c r="B18" s="11" t="inlineStr">
        <is>
          <t>国見町</t>
        </is>
      </c>
      <c r="C18" s="12">
        <f>IF(OR(D18="◎",E18="◎"),"◎ 営業",IF(OR(D18="△",E18="△"),"△ 着手済・要確認",IF(OR(D18="？",E18="？"),"？ 期間要確認","✕ 対象外")))</f>
        <v/>
      </c>
      <c r="D18" s="13">
        <f>IF(J18="計画なし","－",IF(J18="策定済","✕",IF(H18="","？",IF(AND(H18&gt;='集計・設定'!$C$4,H18&lt;='集計・設定'!$C$5),IF(J18="着手済","△","◎"),"✕"))))</f>
        <v/>
      </c>
      <c r="E18" s="13">
        <f>IF(P18="計画なし","－",IF(P18="策定済","✕",IF(N18="","？",IF(AND(N18&gt;='集計・設定'!$C$4,N18&lt;='集計・設定'!$C$5),IF(P18="着手済","△","◎"),"✕"))))</f>
        <v/>
      </c>
      <c r="F18" s="11" t="n"/>
      <c r="G18" s="11" t="inlineStr">
        <is>
          <t>不明</t>
        </is>
      </c>
      <c r="H18" s="13" t="n"/>
      <c r="I18" s="13" t="inlineStr">
        <is>
          <t>不明</t>
        </is>
      </c>
      <c r="J18" s="13" t="inlineStr">
        <is>
          <t>未確認</t>
        </is>
      </c>
      <c r="K18" s="11" t="n"/>
      <c r="L18" s="11" t="n"/>
      <c r="M18" s="11" t="inlineStr">
        <is>
          <t>不明</t>
        </is>
      </c>
      <c r="N18" s="13" t="n"/>
      <c r="O18" s="13" t="inlineStr">
        <is>
          <t>不明</t>
        </is>
      </c>
      <c r="P18" s="13" t="inlineStr">
        <is>
          <t>未確認</t>
        </is>
      </c>
      <c r="Q18" s="11" t="n"/>
      <c r="R18" s="11" t="inlineStr">
        <is>
          <t>地域公共交通計画は町HP内検索でも確認できず。「地域公共交通あり方協議会」設置、国見まちなかタクシー・ももたんパス（タクシー助成実証、https://www.town.kunimi.fukushima.jp/soshiki/4/16576.html）等を実施。広報くにみR3.4号特集、町資料「これからの公共交通のカタチ」（https://www.town.kunimi.fukushima.jp/uploaded/attachment/6659.pdf）。環境基本計画は検索で確認できず。代替として地球温暖化対策実行計画をR6.1.9公表（住民防災課所管）。第6次総合計画（KuniMirai2030）あり。</t>
        </is>
      </c>
      <c r="S18" s="17" t="inlineStr">
        <is>
          <t>未調査</t>
        </is>
      </c>
    </row>
    <row r="19">
      <c r="A19" s="11" t="n">
        <v>16</v>
      </c>
      <c r="B19" s="11" t="inlineStr">
        <is>
          <t>川俣町</t>
        </is>
      </c>
      <c r="C19" s="12">
        <f>IF(OR(D19="◎",E19="◎"),"◎ 営業",IF(OR(D19="△",E19="△"),"△ 着手済・要確認",IF(OR(D19="？",E19="？"),"？ 期間要確認","✕ 対象外")))</f>
        <v/>
      </c>
      <c r="D19" s="13">
        <f>IF(J19="計画なし","－",IF(J19="策定済","✕",IF(H19="","？",IF(AND(H19&gt;='集計・設定'!$C$4,H19&lt;='集計・設定'!$C$5),IF(J19="着手済","△","◎"),"✕"))))</f>
        <v/>
      </c>
      <c r="E19" s="13">
        <f>IF(P19="計画なし","－",IF(P19="策定済","✕",IF(N19="","？",IF(AND(N19&gt;='集計・設定'!$C$4,N19&lt;='集計・設定'!$C$5),IF(P19="着手済","△","◎"),"✕"))))</f>
        <v/>
      </c>
      <c r="F19" s="11" t="n"/>
      <c r="G19" s="11" t="inlineStr">
        <is>
          <t>不明</t>
        </is>
      </c>
      <c r="H19" s="13" t="n"/>
      <c r="I19" s="13" t="inlineStr">
        <is>
          <t>不明</t>
        </is>
      </c>
      <c r="J19" s="13" t="inlineStr">
        <is>
          <t>未確認</t>
        </is>
      </c>
      <c r="K19" s="11" t="n"/>
      <c r="L19" s="11" t="n"/>
      <c r="M19" s="11" t="inlineStr">
        <is>
          <t>不明</t>
        </is>
      </c>
      <c r="N19" s="13" t="n"/>
      <c r="O19" s="13" t="inlineStr">
        <is>
          <t>不明</t>
        </is>
      </c>
      <c r="P19" s="13" t="inlineStr">
        <is>
          <t>未確認</t>
        </is>
      </c>
      <c r="Q19" s="11" t="n"/>
      <c r="R19" s="11" t="inlineStr">
        <is>
          <t>地域公共交通計画は検索で確認できず。川俣町地域公共交通会議（H20.3設置、https://www.town.kawamata.lg.jp/site/kurashi-tetsuzuki/kawamatakoukyokotsu.html）がH21.3に地域公共交通総合連携計画を策定（デマンド型乗合タクシー導入、国交省資料）—旧法計画で現行計画は未確認。環境基本計画も検索で確認できず（各種計画一覧 https://www.town.kawamata.lg.jp/site/chosei-shisetsu/list74.html 要確認）。循環型社会形成推進地域計画（R3〜R7）あり。</t>
        </is>
      </c>
      <c r="S19" s="17" t="inlineStr">
        <is>
          <t>未調査</t>
        </is>
      </c>
    </row>
    <row r="20">
      <c r="A20" s="11" t="n">
        <v>17</v>
      </c>
      <c r="B20" s="11" t="inlineStr">
        <is>
          <t>大玉村</t>
        </is>
      </c>
      <c r="C20" s="12">
        <f>IF(OR(D20="◎",E20="◎"),"◎ 営業",IF(OR(D20="△",E20="△"),"△ 着手済・要確認",IF(OR(D20="？",E20="？"),"？ 期間要確認","✕ 対象外")))</f>
        <v/>
      </c>
      <c r="D20" s="13">
        <f>IF(J20="計画なし","－",IF(J20="策定済","✕",IF(H20="","？",IF(AND(H20&gt;='集計・設定'!$C$4,H20&lt;='集計・設定'!$C$5),IF(J20="着手済","△","◎"),"✕"))))</f>
        <v/>
      </c>
      <c r="E20" s="13">
        <f>IF(P20="計画なし","－",IF(P20="策定済","✕",IF(N20="","？",IF(AND(N20&gt;='集計・設定'!$C$4,N20&lt;='集計・設定'!$C$5),IF(P20="着手済","△","◎"),"✕"))))</f>
        <v/>
      </c>
      <c r="F20" s="11" t="inlineStr">
        <is>
          <t>大玉村地域公共交通計画</t>
        </is>
      </c>
      <c r="G20" s="11" t="inlineStr">
        <is>
          <t>R4〜R8（推定）</t>
        </is>
      </c>
      <c r="H20" s="16" t="n">
        <v>8</v>
      </c>
      <c r="I20" s="13" t="inlineStr">
        <is>
          <t>推定</t>
        </is>
      </c>
      <c r="J20" s="13" t="inlineStr">
        <is>
          <t>未確認</t>
        </is>
      </c>
      <c r="K20" s="14" t="inlineStr">
        <is>
          <t>https://www.vill.otama.fukushima.jp/gyousei_jouhou/keikaku/</t>
        </is>
      </c>
      <c r="L20" s="11" t="n"/>
      <c r="M20" s="11" t="inlineStr">
        <is>
          <t>不明</t>
        </is>
      </c>
      <c r="N20" s="13" t="n"/>
      <c r="O20" s="13" t="inlineStr">
        <is>
          <t>不明</t>
        </is>
      </c>
      <c r="P20" s="13" t="inlineStr">
        <is>
          <t>未確認</t>
        </is>
      </c>
      <c r="Q20" s="11" t="n"/>
      <c r="R20" s="11" t="inlineStr">
        <is>
          <t>地域公共交通計画は素案パブコメR4.1.28〜2.25実施（結果 https://www.vill.otama.fukushima.jp/file/contents/527/25641/koukyoukoutuu_kekka.pdf）→R3年度末策定、期間は5年と推定（R8度末終了なら次期計画作業の可能性、ただし検索で確認できず）。デマンド型乗合タクシー（AI配車）・通勤通学バス運行。環境基本計画は検索で確認できず（各種計画一覧に見当たらず、第5次総合振興計画・立地適正化計画R6.8等のみ）。</t>
        </is>
      </c>
      <c r="S20" s="17" t="inlineStr">
        <is>
          <t>交通のみ調査</t>
        </is>
      </c>
    </row>
    <row r="21">
      <c r="A21" s="11" t="n">
        <v>18</v>
      </c>
      <c r="B21" s="11" t="inlineStr">
        <is>
          <t>鏡石町</t>
        </is>
      </c>
      <c r="C21" s="12">
        <f>IF(OR(D21="◎",E21="◎"),"◎ 営業",IF(OR(D21="△",E21="△"),"△ 着手済・要確認",IF(OR(D21="？",E21="？"),"？ 期間要確認","✕ 対象外")))</f>
        <v/>
      </c>
      <c r="D21" s="13">
        <f>IF(J21="計画なし","－",IF(J21="策定済","✕",IF(H21="","？",IF(AND(H21&gt;='集計・設定'!$C$4,H21&lt;='集計・設定'!$C$5),IF(J21="着手済","△","◎"),"✕"))))</f>
        <v/>
      </c>
      <c r="E21" s="13">
        <f>IF(P21="計画なし","－",IF(P21="策定済","✕",IF(N21="","？",IF(AND(N21&gt;='集計・設定'!$C$4,N21&lt;='集計・設定'!$C$5),IF(P21="着手済","△","◎"),"✕"))))</f>
        <v/>
      </c>
      <c r="F21" s="11" t="n"/>
      <c r="G21" s="11" t="inlineStr">
        <is>
          <t>不明</t>
        </is>
      </c>
      <c r="H21" s="13" t="n"/>
      <c r="I21" s="13" t="inlineStr">
        <is>
          <t>不明</t>
        </is>
      </c>
      <c r="J21" s="13" t="inlineStr">
        <is>
          <t>未確認</t>
        </is>
      </c>
      <c r="K21" s="11" t="n"/>
      <c r="L21" s="11" t="n"/>
      <c r="M21" s="11" t="inlineStr">
        <is>
          <t>不明</t>
        </is>
      </c>
      <c r="N21" s="13" t="n"/>
      <c r="O21" s="13" t="inlineStr">
        <is>
          <t>不明</t>
        </is>
      </c>
      <c r="P21" s="13" t="inlineStr">
        <is>
          <t>未確認</t>
        </is>
      </c>
      <c r="Q21" s="11" t="n"/>
      <c r="R21" s="11" t="inlineStr">
        <is>
          <t>地域公共交通計画は町HP内検索でも確認できず（都市計画マスタープラン、鏡石駅周辺将来まちづくりビジョンR7.3のみ）。環境基本計画も検索で確認できず。各種まちづくり計画一覧: https://www.town.kagamiishi.fukushima.jp/kurashi/chousei/008285.html</t>
        </is>
      </c>
      <c r="S21" s="17" t="inlineStr">
        <is>
          <t>未調査</t>
        </is>
      </c>
    </row>
    <row r="22">
      <c r="A22" s="11" t="n">
        <v>19</v>
      </c>
      <c r="B22" s="11" t="inlineStr">
        <is>
          <t>天栄村</t>
        </is>
      </c>
      <c r="C22" s="12">
        <f>IF(OR(D22="◎",E22="◎"),"◎ 営業",IF(OR(D22="△",E22="△"),"△ 着手済・要確認",IF(OR(D22="？",E22="？"),"？ 期間要確認","✕ 対象外")))</f>
        <v/>
      </c>
      <c r="D22" s="13">
        <f>IF(J22="計画なし","－",IF(J22="策定済","✕",IF(H22="","？",IF(AND(H22&gt;='集計・設定'!$C$4,H22&lt;='集計・設定'!$C$5),IF(J22="着手済","△","◎"),"✕"))))</f>
        <v/>
      </c>
      <c r="E22" s="13">
        <f>IF(P22="計画なし","－",IF(P22="策定済","✕",IF(N22="","？",IF(AND(N22&gt;='集計・設定'!$C$4,N22&lt;='集計・設定'!$C$5),IF(P22="着手済","△","◎"),"✕"))))</f>
        <v/>
      </c>
      <c r="F22" s="11" t="n"/>
      <c r="G22" s="11" t="inlineStr">
        <is>
          <t>不明</t>
        </is>
      </c>
      <c r="H22" s="13" t="n"/>
      <c r="I22" s="13" t="inlineStr">
        <is>
          <t>不明</t>
        </is>
      </c>
      <c r="J22" s="13" t="inlineStr">
        <is>
          <t>未確認</t>
        </is>
      </c>
      <c r="K22" s="11" t="n"/>
      <c r="L22" s="11" t="n"/>
      <c r="M22" s="11" t="inlineStr">
        <is>
          <t>不明</t>
        </is>
      </c>
      <c r="N22" s="13" t="n"/>
      <c r="O22" s="13" t="inlineStr">
        <is>
          <t>不明</t>
        </is>
      </c>
      <c r="P22" s="13" t="inlineStr">
        <is>
          <t>未確認</t>
        </is>
      </c>
      <c r="Q22" s="11" t="n"/>
      <c r="R22" s="11" t="inlineStr">
        <is>
          <t>地域公共交通計画・環境基本計画とも検索で確認できず（村HPはほぼ検索インデックスなし）。小規模村で計画なしの可能性。</t>
        </is>
      </c>
      <c r="S22" s="17" t="inlineStr">
        <is>
          <t>未調査</t>
        </is>
      </c>
    </row>
    <row r="23">
      <c r="A23" s="11" t="n">
        <v>20</v>
      </c>
      <c r="B23" s="11" t="inlineStr">
        <is>
          <t>下郷町</t>
        </is>
      </c>
      <c r="C23" s="12">
        <f>IF(OR(D23="◎",E23="◎"),"◎ 営業",IF(OR(D23="△",E23="△"),"△ 着手済・要確認",IF(OR(D23="？",E23="？"),"？ 期間要確認","✕ 対象外")))</f>
        <v/>
      </c>
      <c r="D23" s="13">
        <f>IF(J23="計画なし","－",IF(J23="策定済","✕",IF(H23="","？",IF(AND(H23&gt;='集計・設定'!$C$4,H23&lt;='集計・設定'!$C$5),IF(J23="着手済","△","◎"),"✕"))))</f>
        <v/>
      </c>
      <c r="E23" s="13">
        <f>IF(P23="計画なし","－",IF(P23="策定済","✕",IF(N23="","？",IF(AND(N23&gt;='集計・設定'!$C$4,N23&lt;='集計・設定'!$C$5),IF(P23="着手済","△","◎"),"✕"))))</f>
        <v/>
      </c>
      <c r="F23" s="11" t="n"/>
      <c r="G23" s="11" t="inlineStr">
        <is>
          <t>不明</t>
        </is>
      </c>
      <c r="H23" s="13" t="n"/>
      <c r="I23" s="13" t="inlineStr">
        <is>
          <t>不明</t>
        </is>
      </c>
      <c r="J23" s="13" t="inlineStr">
        <is>
          <t>未確認</t>
        </is>
      </c>
      <c r="K23" s="11" t="n"/>
      <c r="L23" s="11" t="n"/>
      <c r="M23" s="11" t="inlineStr">
        <is>
          <t>不明</t>
        </is>
      </c>
      <c r="N23" s="13" t="n"/>
      <c r="O23" s="13" t="inlineStr">
        <is>
          <t>不明</t>
        </is>
      </c>
      <c r="P23" s="13" t="inlineStr">
        <is>
          <t>未確認</t>
        </is>
      </c>
      <c r="Q23" s="11" t="n"/>
      <c r="R23" s="11" t="inlineStr">
        <is>
          <t>町単独の地域公共交通計画・環境基本計画は検索で確認できず。会津線沿線（会津若松市・下郷町・南会津町）で会津線活性化連携協議会が地域公共交通総合連携計画を策定（旧法）、会津鉄道の鉄道事業再構築実施計画はR7.4〜R17.3。会津地域の広域公共交通計画（2026〜2031、6市町村）の記載が検索要約にあるが対象市町村・名称は要確認。過疎地域持続的発展計画（R3〜R7）あり。</t>
        </is>
      </c>
      <c r="S23" s="17" t="inlineStr">
        <is>
          <t>未調査</t>
        </is>
      </c>
    </row>
    <row r="24">
      <c r="A24" s="11" t="n">
        <v>21</v>
      </c>
      <c r="B24" s="11" t="inlineStr">
        <is>
          <t>檜枝岐村</t>
        </is>
      </c>
      <c r="C24" s="12">
        <f>IF(OR(D24="◎",E24="◎"),"◎ 営業",IF(OR(D24="△",E24="△"),"△ 着手済・要確認",IF(OR(D24="？",E24="？"),"？ 期間要確認","✕ 対象外")))</f>
        <v/>
      </c>
      <c r="D24" s="13">
        <f>IF(J24="計画なし","－",IF(J24="策定済","✕",IF(H24="","？",IF(AND(H24&gt;='集計・設定'!$C$4,H24&lt;='集計・設定'!$C$5),IF(J24="着手済","△","◎"),"✕"))))</f>
        <v/>
      </c>
      <c r="E24" s="13">
        <f>IF(P24="計画なし","－",IF(P24="策定済","✕",IF(N24="","？",IF(AND(N24&gt;='集計・設定'!$C$4,N24&lt;='集計・設定'!$C$5),IF(P24="着手済","△","◎"),"✕"))))</f>
        <v/>
      </c>
      <c r="F24" s="11" t="n"/>
      <c r="G24" s="11" t="inlineStr">
        <is>
          <t>不明</t>
        </is>
      </c>
      <c r="H24" s="13" t="n"/>
      <c r="I24" s="13" t="inlineStr">
        <is>
          <t>不明</t>
        </is>
      </c>
      <c r="J24" s="13" t="inlineStr">
        <is>
          <t>未確認</t>
        </is>
      </c>
      <c r="K24" s="11" t="n"/>
      <c r="L24" s="11" t="n"/>
      <c r="M24" s="11" t="inlineStr">
        <is>
          <t>不明</t>
        </is>
      </c>
      <c r="N24" s="13" t="n"/>
      <c r="O24" s="13" t="inlineStr">
        <is>
          <t>不明</t>
        </is>
      </c>
      <c r="P24" s="13" t="inlineStr">
        <is>
          <t>未確認</t>
        </is>
      </c>
      <c r="Q24" s="11" t="n"/>
      <c r="R24" s="11" t="inlineStr">
        <is>
          <t>地域公共交通計画・環境基本計画とも検索で確認できず。小規模村で計画なしの可能性（南会津地域4町村の共同交通計画も確認できず）。</t>
        </is>
      </c>
      <c r="S24" s="17" t="inlineStr">
        <is>
          <t>未調査</t>
        </is>
      </c>
    </row>
    <row r="25">
      <c r="A25" s="11" t="n">
        <v>22</v>
      </c>
      <c r="B25" s="11" t="inlineStr">
        <is>
          <t>只見町</t>
        </is>
      </c>
      <c r="C25" s="12">
        <f>IF(OR(D25="◎",E25="◎"),"◎ 営業",IF(OR(D25="△",E25="△"),"△ 着手済・要確認",IF(OR(D25="？",E25="？"),"？ 期間要確認","✕ 対象外")))</f>
        <v/>
      </c>
      <c r="D25" s="13">
        <f>IF(J25="計画なし","－",IF(J25="策定済","✕",IF(H25="","？",IF(AND(H25&gt;='集計・設定'!$C$4,H25&lt;='集計・設定'!$C$5),IF(J25="着手済","△","◎"),"✕"))))</f>
        <v/>
      </c>
      <c r="E25" s="13">
        <f>IF(P25="計画なし","－",IF(P25="策定済","✕",IF(N25="","？",IF(AND(N25&gt;='集計・設定'!$C$4,N25&lt;='集計・設定'!$C$5),IF(P25="着手済","△","◎"),"✕"))))</f>
        <v/>
      </c>
      <c r="F25" s="11" t="n"/>
      <c r="G25" s="11" t="inlineStr">
        <is>
          <t>不明</t>
        </is>
      </c>
      <c r="H25" s="13" t="n"/>
      <c r="I25" s="13" t="inlineStr">
        <is>
          <t>不明</t>
        </is>
      </c>
      <c r="J25" s="13" t="inlineStr">
        <is>
          <t>未確認</t>
        </is>
      </c>
      <c r="K25" s="11" t="n"/>
      <c r="L25" s="11" t="n"/>
      <c r="M25" s="11" t="inlineStr">
        <is>
          <t>不明</t>
        </is>
      </c>
      <c r="N25" s="13" t="n"/>
      <c r="O25" s="13" t="inlineStr">
        <is>
          <t>不明</t>
        </is>
      </c>
      <c r="P25" s="13" t="inlineStr">
        <is>
          <t>未確認</t>
        </is>
      </c>
      <c r="Q25" s="11" t="n"/>
      <c r="R25" s="11" t="inlineStr">
        <is>
          <t>地域公共交通計画は町HP内検索でも確認できず（只見駅周回バス、雪んこタクシー等運行）。環境基本計画も検索で確認できず（ユネスコエコパーク関連の取組はあり）。</t>
        </is>
      </c>
      <c r="S25" s="17" t="inlineStr">
        <is>
          <t>未調査</t>
        </is>
      </c>
    </row>
    <row r="26">
      <c r="A26" s="11" t="n">
        <v>23</v>
      </c>
      <c r="B26" s="11" t="inlineStr">
        <is>
          <t>南会津町</t>
        </is>
      </c>
      <c r="C26" s="12">
        <f>IF(OR(D26="◎",E26="◎"),"◎ 営業",IF(OR(D26="△",E26="△"),"△ 着手済・要確認",IF(OR(D26="？",E26="？"),"？ 期間要確認","✕ 対象外")))</f>
        <v/>
      </c>
      <c r="D26" s="13">
        <f>IF(J26="計画なし","－",IF(J26="策定済","✕",IF(H26="","？",IF(AND(H26&gt;='集計・設定'!$C$4,H26&lt;='集計・設定'!$C$5),IF(J26="着手済","△","◎"),"✕"))))</f>
        <v/>
      </c>
      <c r="E26" s="13">
        <f>IF(P26="計画なし","－",IF(P26="策定済","✕",IF(N26="","？",IF(AND(N26&gt;='集計・設定'!$C$4,N26&lt;='集計・設定'!$C$5),IF(P26="着手済","△","◎"),"✕"))))</f>
        <v/>
      </c>
      <c r="F26" s="11" t="inlineStr">
        <is>
          <t>南会津町地域公共交通計画</t>
        </is>
      </c>
      <c r="G26" s="11" t="inlineStr">
        <is>
          <t>R6〜R10</t>
        </is>
      </c>
      <c r="H26" s="13" t="n">
        <v>10</v>
      </c>
      <c r="I26" s="13" t="inlineStr">
        <is>
          <t>確認済</t>
        </is>
      </c>
      <c r="J26" s="13" t="inlineStr">
        <is>
          <t>未確認</t>
        </is>
      </c>
      <c r="K26" s="14" t="inlineStr">
        <is>
          <t>https://www.town.minamiaizu.lg.jp/official/soshikikarasagasu/sogoseisakuka/kakushukeikaku/1/3114.html</t>
        </is>
      </c>
      <c r="L26" s="11" t="inlineStr">
        <is>
          <t>第2次南会津町環境基本計画</t>
        </is>
      </c>
      <c r="M26" s="11" t="inlineStr">
        <is>
          <t>不明</t>
        </is>
      </c>
      <c r="N26" s="13" t="n"/>
      <c r="O26" s="13" t="inlineStr">
        <is>
          <t>不明</t>
        </is>
      </c>
      <c r="P26" s="13" t="inlineStr">
        <is>
          <t>未確認</t>
        </is>
      </c>
      <c r="Q26" s="14" t="inlineStr">
        <is>
          <t>https://www.town.minamiaizu.lg.jp/official/soshikikarasagasu/kankyosuidoka/kakushukeikaku/1/450.html</t>
        </is>
      </c>
      <c r="R26" s="11" t="inlineStr">
        <is>
          <t>交通計画はR6.3策定（R6.6改訂、本編 https://www.town.minamiaizu.lg.jp/material/files/group/3/6gatukaiteibann.pdf ）。会津線沿線3市町の連携計画・会津鉄道再構築（R7.4〜R17.3）にも関係。環境基本条例H19.12、第1次計画H21.3、第2次計画の期間は確認できず。地球温暖化対策実行計画（区域施策編）をR7.3策定（https://www.town.minamiaizu.lg.jp/official/soshikikarasagasu/kankyosuidoka/kakushukeikaku/1/3540.html）、ゼロカーボン宣言済、エスプールとゼロカーボンタウン連携協定。</t>
        </is>
      </c>
      <c r="S26" s="15" t="inlineStr">
        <is>
          <t>調査済</t>
        </is>
      </c>
    </row>
    <row r="27">
      <c r="A27" s="11" t="n">
        <v>24</v>
      </c>
      <c r="B27" s="11" t="inlineStr">
        <is>
          <t>北塩原村</t>
        </is>
      </c>
      <c r="C27" s="12">
        <f>IF(OR(D27="◎",E27="◎"),"◎ 営業",IF(OR(D27="△",E27="△"),"△ 着手済・要確認",IF(OR(D27="？",E27="？"),"？ 期間要確認","✕ 対象外")))</f>
        <v/>
      </c>
      <c r="D27" s="13">
        <f>IF(J27="計画なし","－",IF(J27="策定済","✕",IF(H27="","？",IF(AND(H27&gt;='集計・設定'!$C$4,H27&lt;='集計・設定'!$C$5),IF(J27="着手済","△","◎"),"✕"))))</f>
        <v/>
      </c>
      <c r="E27" s="13">
        <f>IF(P27="計画なし","－",IF(P27="策定済","✕",IF(N27="","？",IF(AND(N27&gt;='集計・設定'!$C$4,N27&lt;='集計・設定'!$C$5),IF(P27="着手済","△","◎"),"✕"))))</f>
        <v/>
      </c>
      <c r="F27" s="11" t="n"/>
      <c r="G27" s="11" t="inlineStr">
        <is>
          <t>不明</t>
        </is>
      </c>
      <c r="H27" s="13" t="n"/>
      <c r="I27" s="13" t="inlineStr">
        <is>
          <t>不明</t>
        </is>
      </c>
      <c r="J27" s="13" t="inlineStr">
        <is>
          <t>未確認</t>
        </is>
      </c>
      <c r="K27" s="11" t="n"/>
      <c r="L27" s="11" t="n"/>
      <c r="M27" s="11" t="inlineStr">
        <is>
          <t>不明</t>
        </is>
      </c>
      <c r="N27" s="13" t="n"/>
      <c r="O27" s="13" t="inlineStr">
        <is>
          <t>不明</t>
        </is>
      </c>
      <c r="P27" s="13" t="inlineStr">
        <is>
          <t>計画なし</t>
        </is>
      </c>
      <c r="Q27" s="11" t="n"/>
      <c r="R27" s="11" t="inlineStr">
        <is>
          <t>村単独の地域公共交通計画は検索で確認できず（会津圏域計画の対象外）。再検索でも確認できず（国交省事例:喜多方～裏磐梯バス・桧原湖周遊バス https://www.mlit.go.jp/sogoseisaku/transport/pdf/021_kitashiobara.pdf ）。 【環境】環境基本計画は検索で確認できず。代替として『北塩原村地域まるごと脱炭素計画』（区域施策編＋地域気候変動適応計画を兼ねる） https://www.vill.kitashiobara.fukushima.jp/uploaded/attachment/3387.pdf 、事務事業編あり。ゼロカーボンシティ宣言済。</t>
        </is>
      </c>
      <c r="S27" s="17" t="inlineStr">
        <is>
          <t>環境のみ調査</t>
        </is>
      </c>
    </row>
    <row r="28">
      <c r="A28" s="11" t="n">
        <v>25</v>
      </c>
      <c r="B28" s="11" t="inlineStr">
        <is>
          <t>西会津町</t>
        </is>
      </c>
      <c r="C28" s="12">
        <f>IF(OR(D28="◎",E28="◎"),"◎ 営業",IF(OR(D28="△",E28="△"),"△ 着手済・要確認",IF(OR(D28="？",E28="？"),"？ 期間要確認","✕ 対象外")))</f>
        <v/>
      </c>
      <c r="D28" s="13">
        <f>IF(J28="計画なし","－",IF(J28="策定済","✕",IF(H28="","？",IF(AND(H28&gt;='集計・設定'!$C$4,H28&lt;='集計・設定'!$C$5),IF(J28="着手済","△","◎"),"✕"))))</f>
        <v/>
      </c>
      <c r="E28" s="13">
        <f>IF(P28="計画なし","－",IF(P28="策定済","✕",IF(N28="","？",IF(AND(N28&gt;='集計・設定'!$C$4,N28&lt;='集計・設定'!$C$5),IF(P28="着手済","△","◎"),"✕"))))</f>
        <v/>
      </c>
      <c r="F28" s="11" t="n"/>
      <c r="G28" s="11" t="inlineStr">
        <is>
          <t>不明</t>
        </is>
      </c>
      <c r="H28" s="13" t="n"/>
      <c r="I28" s="13" t="inlineStr">
        <is>
          <t>不明</t>
        </is>
      </c>
      <c r="J28" s="13" t="inlineStr">
        <is>
          <t>未確認</t>
        </is>
      </c>
      <c r="K28" s="11" t="n"/>
      <c r="L28" s="11" t="n"/>
      <c r="M28" s="11" t="inlineStr">
        <is>
          <t>不明</t>
        </is>
      </c>
      <c r="N28" s="13" t="n"/>
      <c r="O28" s="13" t="inlineStr">
        <is>
          <t>不明</t>
        </is>
      </c>
      <c r="P28" s="13" t="inlineStr">
        <is>
          <t>計画なし</t>
        </is>
      </c>
      <c r="Q28" s="11" t="n"/>
      <c r="R28" s="11" t="inlineStr">
        <is>
          <t>町単独の地域公共交通計画は町HPで確認できず（町民バス・デマンドバス運行、会津圏域計画の対象外）。 【環境】環境基本計画は検索で確認できず。代替として『西会津町地域まるごと省エネ計画（区域施策編）』R3.3策定、事務事業編H30.2策定 https://www.town.nishiaizu.fukushima.jp/soshiki/3/10204.html 。</t>
        </is>
      </c>
      <c r="S28" s="17" t="inlineStr">
        <is>
          <t>環境のみ調査</t>
        </is>
      </c>
    </row>
    <row r="29">
      <c r="A29" s="11" t="n">
        <v>26</v>
      </c>
      <c r="B29" s="11" t="inlineStr">
        <is>
          <t>磐梯町</t>
        </is>
      </c>
      <c r="C29" s="12">
        <f>IF(OR(D29="◎",E29="◎"),"◎ 営業",IF(OR(D29="△",E29="△"),"△ 着手済・要確認",IF(OR(D29="？",E29="？"),"？ 期間要確認","✕ 対象外")))</f>
        <v/>
      </c>
      <c r="D29" s="13">
        <f>IF(J29="計画なし","－",IF(J29="策定済","✕",IF(H29="","？",IF(AND(H29&gt;='集計・設定'!$C$4,H29&lt;='集計・設定'!$C$5),IF(J29="着手済","△","◎"),"✕"))))</f>
        <v/>
      </c>
      <c r="E29" s="13">
        <f>IF(P29="計画なし","－",IF(P29="策定済","✕",IF(N29="","？",IF(AND(N29&gt;='集計・設定'!$C$4,N29&lt;='集計・設定'!$C$5),IF(P29="着手済","△","◎"),"✕"))))</f>
        <v/>
      </c>
      <c r="F29" s="11" t="n"/>
      <c r="G29" s="11" t="inlineStr">
        <is>
          <t>不明</t>
        </is>
      </c>
      <c r="H29" s="13" t="n"/>
      <c r="I29" s="13" t="inlineStr">
        <is>
          <t>不明</t>
        </is>
      </c>
      <c r="J29" s="13" t="inlineStr">
        <is>
          <t>未確認</t>
        </is>
      </c>
      <c r="K29" s="11" t="n"/>
      <c r="L29" s="11" t="n"/>
      <c r="M29" s="11" t="inlineStr">
        <is>
          <t>不明</t>
        </is>
      </c>
      <c r="N29" s="13" t="n"/>
      <c r="O29" s="13" t="inlineStr">
        <is>
          <t>不明</t>
        </is>
      </c>
      <c r="P29" s="13" t="inlineStr">
        <is>
          <t>計画なし</t>
        </is>
      </c>
      <c r="Q29" s="11" t="n"/>
      <c r="R29" s="11" t="inlineStr">
        <is>
          <t>町単独の地域公共交通計画は確認できず（AIオンデマンド交通導入 https://www.town.bandai.fukushima.jp/site/kurashi-kankyo/bandai-koukyo-koutuuondemand.html ）。総合計画見直し中(R7審議会)。 【環境】環境基本計画は検索で確認できず。代替として『磐梯町地球温暖化対策実行計画（区域施策編・事務事業編）』令和7年9月策定 https://www.town.bandai.fukushima.jp/uploaded/attachment/7725.pdf 。ゼロカーボン宣言・ネイチャーポジティブ宣言済。</t>
        </is>
      </c>
      <c r="S29" s="17" t="inlineStr">
        <is>
          <t>環境のみ調査</t>
        </is>
      </c>
    </row>
    <row r="30">
      <c r="A30" s="11" t="n">
        <v>27</v>
      </c>
      <c r="B30" s="11" t="inlineStr">
        <is>
          <t>猪苗代町</t>
        </is>
      </c>
      <c r="C30" s="12">
        <f>IF(OR(D30="◎",E30="◎"),"◎ 営業",IF(OR(D30="△",E30="△"),"△ 着手済・要確認",IF(OR(D30="？",E30="？"),"？ 期間要確認","✕ 対象外")))</f>
        <v/>
      </c>
      <c r="D30" s="13">
        <f>IF(J30="計画なし","－",IF(J30="策定済","✕",IF(H30="","？",IF(AND(H30&gt;='集計・設定'!$C$4,H30&lt;='集計・設定'!$C$5),IF(J30="着手済","△","◎"),"✕"))))</f>
        <v/>
      </c>
      <c r="E30" s="13">
        <f>IF(P30="計画なし","－",IF(P30="策定済","✕",IF(N30="","？",IF(AND(N30&gt;='集計・設定'!$C$4,N30&lt;='集計・設定'!$C$5),IF(P30="着手済","△","◎"),"✕"))))</f>
        <v/>
      </c>
      <c r="F30" s="11" t="n"/>
      <c r="G30" s="11" t="inlineStr">
        <is>
          <t>不明</t>
        </is>
      </c>
      <c r="H30" s="13" t="n"/>
      <c r="I30" s="13" t="inlineStr">
        <is>
          <t>不明</t>
        </is>
      </c>
      <c r="J30" s="13" t="inlineStr">
        <is>
          <t>未確認</t>
        </is>
      </c>
      <c r="K30" s="11" t="n"/>
      <c r="L30" s="11" t="n"/>
      <c r="M30" s="11" t="inlineStr">
        <is>
          <t>不明</t>
        </is>
      </c>
      <c r="N30" s="13" t="n"/>
      <c r="O30" s="13" t="inlineStr">
        <is>
          <t>不明</t>
        </is>
      </c>
      <c r="P30" s="13" t="inlineStr">
        <is>
          <t>計画なし</t>
        </is>
      </c>
      <c r="Q30" s="11" t="n"/>
      <c r="R30" s="11" t="inlineStr">
        <is>
          <t>町単独の地域公共交通計画は町HP・再検索でも確認できず。立地適正化計画策定の動きあり https://www.town.inawashiro.fukushima.jp/cb/hpc/Article-199-15693.html 。 【環境】町HP『環境計画・構想』に環境基本計画は見当たらず。第3次地球温暖化対策実行計画(R3.3策定、最終R6年度) https://www.town.inawashiro.fukushima.jp/cb/hpc/Article-128-18213.html （次期未確認）、再エネ推進計画(2021〜2040) https://www.town.inawashiro.fukushima.jp/cb/hpc/Article-8-18273.html 。</t>
        </is>
      </c>
      <c r="S30" s="17" t="inlineStr">
        <is>
          <t>環境のみ調査</t>
        </is>
      </c>
    </row>
    <row r="31">
      <c r="A31" s="11" t="n">
        <v>28</v>
      </c>
      <c r="B31" s="11" t="inlineStr">
        <is>
          <t>会津坂下町</t>
        </is>
      </c>
      <c r="C31" s="12">
        <f>IF(OR(D31="◎",E31="◎"),"◎ 営業",IF(OR(D31="△",E31="△"),"△ 着手済・要確認",IF(OR(D31="？",E31="？"),"？ 期間要確認","✕ 対象外")))</f>
        <v/>
      </c>
      <c r="D31" s="13">
        <f>IF(J31="計画なし","－",IF(J31="策定済","✕",IF(H31="","？",IF(AND(H31&gt;='集計・設定'!$C$4,H31&lt;='集計・設定'!$C$5),IF(J31="着手済","△","◎"),"✕"))))</f>
        <v/>
      </c>
      <c r="E31" s="13">
        <f>IF(P31="計画なし","－",IF(P31="策定済","✕",IF(N31="","？",IF(AND(N31&gt;='集計・設定'!$C$4,N31&lt;='集計・設定'!$C$5),IF(P31="着手済","△","◎"),"✕"))))</f>
        <v/>
      </c>
      <c r="F31" s="11" t="inlineStr">
        <is>
          <t>会津圏域地域公共交通計画（福島県・会津圏域6市町村共同）</t>
        </is>
      </c>
      <c r="G31" s="11" t="inlineStr">
        <is>
          <t>R8〜R13</t>
        </is>
      </c>
      <c r="H31" s="13" t="n">
        <v>13</v>
      </c>
      <c r="I31" s="13" t="inlineStr">
        <is>
          <t>確認済</t>
        </is>
      </c>
      <c r="J31" s="13" t="inlineStr">
        <is>
          <t>策定済</t>
        </is>
      </c>
      <c r="K31" s="14" t="inlineStr">
        <is>
          <t>https://www.pref.fukushima.lg.jp/sec/16005d/aizukeniki-keikaku-ribenkeikaku.html</t>
        </is>
      </c>
      <c r="L31" s="11" t="n"/>
      <c r="M31" s="11" t="inlineStr">
        <is>
          <t>不明</t>
        </is>
      </c>
      <c r="N31" s="13" t="n"/>
      <c r="O31" s="13" t="inlineStr">
        <is>
          <t>不明</t>
        </is>
      </c>
      <c r="P31" s="13" t="inlineStr">
        <is>
          <t>計画なし</t>
        </is>
      </c>
      <c r="Q31" s="11" t="n"/>
      <c r="R31" s="11" t="inlineStr">
        <is>
          <t>前計画 会津圏域地域公共交通網形成計画(R2.3策定,R8.3終了)の後継として令和8年3月策定、R8〜R13の6年間（対象:会津若松市・喜多方市・会津坂下町・湯川村・柳津町・会津美里町）。パブコメ結果 https://www.pref.fukushima.lg.jp/sec/16005d/aizukenikimoukeikaku.html 。 【環境】環境基本計画は検索で確認できず。代替として地球温暖化防止対策実行計画（事務事業編・区域施策編）と農山漁村再生可能エネルギー導入促進基本計画をR8.3.17更新 https://www.town.aizubange.fukushima.jp/life/1/8/29/ 。</t>
        </is>
      </c>
      <c r="S31" s="15" t="inlineStr">
        <is>
          <t>調査済</t>
        </is>
      </c>
    </row>
    <row r="32">
      <c r="A32" s="11" t="n">
        <v>29</v>
      </c>
      <c r="B32" s="11" t="inlineStr">
        <is>
          <t>湯川村</t>
        </is>
      </c>
      <c r="C32" s="12">
        <f>IF(OR(D32="◎",E32="◎"),"◎ 営業",IF(OR(D32="△",E32="△"),"△ 着手済・要確認",IF(OR(D32="？",E32="？"),"？ 期間要確認","✕ 対象外")))</f>
        <v/>
      </c>
      <c r="D32" s="13">
        <f>IF(J32="計画なし","－",IF(J32="策定済","✕",IF(H32="","？",IF(AND(H32&gt;='集計・設定'!$C$4,H32&lt;='集計・設定'!$C$5),IF(J32="着手済","△","◎"),"✕"))))</f>
        <v/>
      </c>
      <c r="E32" s="13">
        <f>IF(P32="計画なし","－",IF(P32="策定済","✕",IF(N32="","？",IF(AND(N32&gt;='集計・設定'!$C$4,N32&lt;='集計・設定'!$C$5),IF(P32="着手済","△","◎"),"✕"))))</f>
        <v/>
      </c>
      <c r="F32" s="11" t="inlineStr">
        <is>
          <t>会津圏域地域公共交通計画（福島県・会津圏域6市町村共同）</t>
        </is>
      </c>
      <c r="G32" s="11" t="inlineStr">
        <is>
          <t>R8〜R13</t>
        </is>
      </c>
      <c r="H32" s="13" t="n">
        <v>13</v>
      </c>
      <c r="I32" s="13" t="inlineStr">
        <is>
          <t>確認済</t>
        </is>
      </c>
      <c r="J32" s="13" t="inlineStr">
        <is>
          <t>策定済</t>
        </is>
      </c>
      <c r="K32" s="14" t="inlineStr">
        <is>
          <t>https://www.pref.fukushima.lg.jp/sec/16005d/aizukeniki-keikaku-ribenkeikaku.html</t>
        </is>
      </c>
      <c r="L32" s="11" t="n"/>
      <c r="M32" s="11" t="inlineStr">
        <is>
          <t>不明</t>
        </is>
      </c>
      <c r="N32" s="13" t="n"/>
      <c r="O32" s="13" t="inlineStr">
        <is>
          <t>不明</t>
        </is>
      </c>
      <c r="P32" s="13" t="inlineStr">
        <is>
          <t>未確認</t>
        </is>
      </c>
      <c r="Q32" s="11" t="n"/>
      <c r="R32" s="11" t="inlineStr">
        <is>
          <t>前計画 会津圏域地域公共交通網形成計画(R2.3策定,R8.3終了)の後継として令和8年3月策定、R8〜R13の6年間（対象:会津若松市・喜多方市・会津坂下町・湯川村・柳津町・会津美里町）。パブコメ結果 https://www.pref.fukushima.lg.jp/sec/16005d/aizukenikimoukeikaku.html 。 【環境】環境基本計画は検索で確認できず（村HP各種計画 https://www.vill.yugawa.fukushima.jp/site/gyousei-top/various-plans.html ）。</t>
        </is>
      </c>
      <c r="S32" s="17" t="inlineStr">
        <is>
          <t>交通のみ調査</t>
        </is>
      </c>
    </row>
    <row r="33">
      <c r="A33" s="11" t="n">
        <v>30</v>
      </c>
      <c r="B33" s="11" t="inlineStr">
        <is>
          <t>柳津町</t>
        </is>
      </c>
      <c r="C33" s="12">
        <f>IF(OR(D33="◎",E33="◎"),"◎ 営業",IF(OR(D33="△",E33="△"),"△ 着手済・要確認",IF(OR(D33="？",E33="？"),"？ 期間要確認","✕ 対象外")))</f>
        <v/>
      </c>
      <c r="D33" s="13">
        <f>IF(J33="計画なし","－",IF(J33="策定済","✕",IF(H33="","？",IF(AND(H33&gt;='集計・設定'!$C$4,H33&lt;='集計・設定'!$C$5),IF(J33="着手済","△","◎"),"✕"))))</f>
        <v/>
      </c>
      <c r="E33" s="13">
        <f>IF(P33="計画なし","－",IF(P33="策定済","✕",IF(N33="","？",IF(AND(N33&gt;='集計・設定'!$C$4,N33&lt;='集計・設定'!$C$5),IF(P33="着手済","△","◎"),"✕"))))</f>
        <v/>
      </c>
      <c r="F33" s="11" t="inlineStr">
        <is>
          <t>会津圏域地域公共交通計画（福島県・会津圏域6市町村共同）</t>
        </is>
      </c>
      <c r="G33" s="11" t="inlineStr">
        <is>
          <t>R8〜R13</t>
        </is>
      </c>
      <c r="H33" s="13" t="n">
        <v>13</v>
      </c>
      <c r="I33" s="13" t="inlineStr">
        <is>
          <t>確認済</t>
        </is>
      </c>
      <c r="J33" s="13" t="inlineStr">
        <is>
          <t>策定済</t>
        </is>
      </c>
      <c r="K33" s="14" t="inlineStr">
        <is>
          <t>https://www.pref.fukushima.lg.jp/sec/16005d/aizukeniki-keikaku-ribenkeikaku.html</t>
        </is>
      </c>
      <c r="L33" s="11" t="n"/>
      <c r="M33" s="11" t="inlineStr">
        <is>
          <t>不明</t>
        </is>
      </c>
      <c r="N33" s="13" t="n"/>
      <c r="O33" s="13" t="inlineStr">
        <is>
          <t>不明</t>
        </is>
      </c>
      <c r="P33" s="13" t="inlineStr">
        <is>
          <t>未確認</t>
        </is>
      </c>
      <c r="Q33" s="11" t="n"/>
      <c r="R33" s="11" t="inlineStr">
        <is>
          <t>前計画 会津圏域地域公共交通網形成計画(R2.3策定,R8.3終了)の後継として令和8年3月策定、R8〜R13の6年間（対象:会津若松市・喜多方市・会津坂下町・湯川村・柳津町・会津美里町）。パブコメ結果 https://www.pref.fukushima.lg.jp/sec/16005d/aizukenikimoukeikaku.html 。 【環境】環境基本計画は検索で確認できず。役場地球温暖化対策実行計画(R4.1改訂) https://www.town.yanaizu.fukushima.jp/docs/2022120500022/file_contents/ondankakeikaku.pdf 、R4.12ゼロカーボンシティ宣言。</t>
        </is>
      </c>
      <c r="S33" s="17" t="inlineStr">
        <is>
          <t>交通のみ調査</t>
        </is>
      </c>
    </row>
    <row r="34">
      <c r="A34" s="11" t="n">
        <v>31</v>
      </c>
      <c r="B34" s="11" t="inlineStr">
        <is>
          <t>三島町</t>
        </is>
      </c>
      <c r="C34" s="12">
        <f>IF(OR(D34="◎",E34="◎"),"◎ 営業",IF(OR(D34="△",E34="△"),"△ 着手済・要確認",IF(OR(D34="？",E34="？"),"？ 期間要確認","✕ 対象外")))</f>
        <v/>
      </c>
      <c r="D34" s="13">
        <f>IF(J34="計画なし","－",IF(J34="策定済","✕",IF(H34="","？",IF(AND(H34&gt;='集計・設定'!$C$4,H34&lt;='集計・設定'!$C$5),IF(J34="着手済","△","◎"),"✕"))))</f>
        <v/>
      </c>
      <c r="E34" s="13">
        <f>IF(P34="計画なし","－",IF(P34="策定済","✕",IF(N34="","？",IF(AND(N34&gt;='集計・設定'!$C$4,N34&lt;='集計・設定'!$C$5),IF(P34="着手済","△","◎"),"✕"))))</f>
        <v/>
      </c>
      <c r="F34" s="11" t="n"/>
      <c r="G34" s="11" t="inlineStr">
        <is>
          <t>不明</t>
        </is>
      </c>
      <c r="H34" s="13" t="n"/>
      <c r="I34" s="13" t="inlineStr">
        <is>
          <t>不明</t>
        </is>
      </c>
      <c r="J34" s="13" t="inlineStr">
        <is>
          <t>未確認</t>
        </is>
      </c>
      <c r="K34" s="11" t="n"/>
      <c r="L34" s="11" t="n"/>
      <c r="M34" s="11" t="inlineStr">
        <is>
          <t>不明</t>
        </is>
      </c>
      <c r="N34" s="13" t="n"/>
      <c r="O34" s="13" t="inlineStr">
        <is>
          <t>不明</t>
        </is>
      </c>
      <c r="P34" s="13" t="inlineStr">
        <is>
          <t>未確認</t>
        </is>
      </c>
      <c r="Q34" s="11" t="n"/>
      <c r="R34" s="11" t="inlineStr">
        <is>
          <t>単独/奥会津広域の地域公共交通計画は再検索でも確認できず（只見線利活用計画のみ）（会津圏域計画の対象外）。 【環境】環境基本計画は検索で確認できず。三島町ゼロカーボンビジョン(2022.5) https://www.town.mishima.fukushima.jp/uploaded/attachment/1087.pdf 、第2次実行計画（事務事業編）R6.3策定・2024〜2030 http://www.town.mishima.fukushima.jp/soshiki/chiiki-seisaku/4267.html 。</t>
        </is>
      </c>
      <c r="S34" s="17" t="inlineStr">
        <is>
          <t>未調査</t>
        </is>
      </c>
    </row>
    <row r="35">
      <c r="A35" s="11" t="n">
        <v>32</v>
      </c>
      <c r="B35" s="11" t="inlineStr">
        <is>
          <t>金山町</t>
        </is>
      </c>
      <c r="C35" s="12">
        <f>IF(OR(D35="◎",E35="◎"),"◎ 営業",IF(OR(D35="△",E35="△"),"△ 着手済・要確認",IF(OR(D35="？",E35="？"),"？ 期間要確認","✕ 対象外")))</f>
        <v/>
      </c>
      <c r="D35" s="13">
        <f>IF(J35="計画なし","－",IF(J35="策定済","✕",IF(H35="","？",IF(AND(H35&gt;='集計・設定'!$C$4,H35&lt;='集計・設定'!$C$5),IF(J35="着手済","△","◎"),"✕"))))</f>
        <v/>
      </c>
      <c r="E35" s="13">
        <f>IF(P35="計画なし","－",IF(P35="策定済","✕",IF(N35="","？",IF(AND(N35&gt;='集計・設定'!$C$4,N35&lt;='集計・設定'!$C$5),IF(P35="着手済","△","◎"),"✕"))))</f>
        <v/>
      </c>
      <c r="F35" s="11" t="n"/>
      <c r="G35" s="11" t="inlineStr">
        <is>
          <t>不明</t>
        </is>
      </c>
      <c r="H35" s="13" t="n"/>
      <c r="I35" s="13" t="inlineStr">
        <is>
          <t>不明</t>
        </is>
      </c>
      <c r="J35" s="13" t="inlineStr">
        <is>
          <t>未確認</t>
        </is>
      </c>
      <c r="K35" s="11" t="n"/>
      <c r="L35" s="11" t="n"/>
      <c r="M35" s="11" t="inlineStr">
        <is>
          <t>不明</t>
        </is>
      </c>
      <c r="N35" s="13" t="n"/>
      <c r="O35" s="13" t="inlineStr">
        <is>
          <t>不明</t>
        </is>
      </c>
      <c r="P35" s="13" t="inlineStr">
        <is>
          <t>未確認</t>
        </is>
      </c>
      <c r="Q35" s="11" t="n"/>
      <c r="R35" s="11" t="inlineStr">
        <is>
          <t>単独/奥会津広域の地域公共交通計画は再検索でも確認できず（只見線利活用計画のみ）（会津圏域計画の対象外）。 【環境】環境基本計画は検索で確認できず。自然環境等と再エネ発電事業等との調和に関する条例制定(パブコメ) https://www.town.kaneyama.fukushima.jp/soshiki/54/pabukomesizennkannkyou.html 。R7.9議会でゼロカーボン表明検討の質疑。</t>
        </is>
      </c>
      <c r="S35" s="17" t="inlineStr">
        <is>
          <t>未調査</t>
        </is>
      </c>
    </row>
    <row r="36">
      <c r="A36" s="11" t="n">
        <v>33</v>
      </c>
      <c r="B36" s="11" t="inlineStr">
        <is>
          <t>昭和村</t>
        </is>
      </c>
      <c r="C36" s="12">
        <f>IF(OR(D36="◎",E36="◎"),"◎ 営業",IF(OR(D36="△",E36="△"),"△ 着手済・要確認",IF(OR(D36="？",E36="？"),"？ 期間要確認","✕ 対象外")))</f>
        <v/>
      </c>
      <c r="D36" s="13">
        <f>IF(J36="計画なし","－",IF(J36="策定済","✕",IF(H36="","？",IF(AND(H36&gt;='集計・設定'!$C$4,H36&lt;='集計・設定'!$C$5),IF(J36="着手済","△","◎"),"✕"))))</f>
        <v/>
      </c>
      <c r="E36" s="13">
        <f>IF(P36="計画なし","－",IF(P36="策定済","✕",IF(N36="","？",IF(AND(N36&gt;='集計・設定'!$C$4,N36&lt;='集計・設定'!$C$5),IF(P36="着手済","△","◎"),"✕"))))</f>
        <v/>
      </c>
      <c r="F36" s="11" t="n"/>
      <c r="G36" s="11" t="inlineStr">
        <is>
          <t>不明</t>
        </is>
      </c>
      <c r="H36" s="13" t="n"/>
      <c r="I36" s="13" t="inlineStr">
        <is>
          <t>不明</t>
        </is>
      </c>
      <c r="J36" s="13" t="inlineStr">
        <is>
          <t>未確認</t>
        </is>
      </c>
      <c r="K36" s="11" t="n"/>
      <c r="L36" s="11" t="n"/>
      <c r="M36" s="11" t="inlineStr">
        <is>
          <t>不明</t>
        </is>
      </c>
      <c r="N36" s="13" t="n"/>
      <c r="O36" s="13" t="inlineStr">
        <is>
          <t>不明</t>
        </is>
      </c>
      <c r="P36" s="13" t="inlineStr">
        <is>
          <t>未確認</t>
        </is>
      </c>
      <c r="Q36" s="11" t="n"/>
      <c r="R36" s="11" t="inlineStr">
        <is>
          <t>単独/奥会津広域の地域公共交通計画は再検索でも確認できず（只見線利活用計画のみ）（会津圏域計画の対象外）。 【環境】環境基本計画は検索で確認できず（村HP各種計画 https://www.vill.showa.fukushima.jp/procedure/1096/ ）。</t>
        </is>
      </c>
      <c r="S36" s="17" t="inlineStr">
        <is>
          <t>未調査</t>
        </is>
      </c>
    </row>
    <row r="37">
      <c r="A37" s="11" t="n">
        <v>34</v>
      </c>
      <c r="B37" s="11" t="inlineStr">
        <is>
          <t>会津美里町</t>
        </is>
      </c>
      <c r="C37" s="12">
        <f>IF(OR(D37="◎",E37="◎"),"◎ 営業",IF(OR(D37="△",E37="△"),"△ 着手済・要確認",IF(OR(D37="？",E37="？"),"？ 期間要確認","✕ 対象外")))</f>
        <v/>
      </c>
      <c r="D37" s="13">
        <f>IF(J37="計画なし","－",IF(J37="策定済","✕",IF(H37="","？",IF(AND(H37&gt;='集計・設定'!$C$4,H37&lt;='集計・設定'!$C$5),IF(J37="着手済","△","◎"),"✕"))))</f>
        <v/>
      </c>
      <c r="E37" s="13">
        <f>IF(P37="計画なし","－",IF(P37="策定済","✕",IF(N37="","？",IF(AND(N37&gt;='集計・設定'!$C$4,N37&lt;='集計・設定'!$C$5),IF(P37="着手済","△","◎"),"✕"))))</f>
        <v/>
      </c>
      <c r="F37" s="11" t="inlineStr">
        <is>
          <t>会津圏域地域公共交通計画（福島県・会津圏域6市町村共同）</t>
        </is>
      </c>
      <c r="G37" s="11" t="inlineStr">
        <is>
          <t>R8〜R13</t>
        </is>
      </c>
      <c r="H37" s="13" t="n">
        <v>13</v>
      </c>
      <c r="I37" s="13" t="inlineStr">
        <is>
          <t>確認済</t>
        </is>
      </c>
      <c r="J37" s="13" t="inlineStr">
        <is>
          <t>策定済</t>
        </is>
      </c>
      <c r="K37" s="14" t="inlineStr">
        <is>
          <t>https://www.pref.fukushima.lg.jp/sec/16005d/aizukeniki-keikaku-ribenkeikaku.html</t>
        </is>
      </c>
      <c r="L37" s="11" t="n"/>
      <c r="M37" s="11" t="inlineStr">
        <is>
          <t>不明</t>
        </is>
      </c>
      <c r="N37" s="13" t="n"/>
      <c r="O37" s="13" t="inlineStr">
        <is>
          <t>不明</t>
        </is>
      </c>
      <c r="P37" s="13" t="inlineStr">
        <is>
          <t>未確認</t>
        </is>
      </c>
      <c r="Q37" s="11" t="n"/>
      <c r="R37" s="11" t="inlineStr">
        <is>
          <t>前計画 会津圏域地域公共交通網形成計画(R2.3策定,R8.3終了)の後継として令和8年3月策定、R8〜R13の6年間（対象:会津若松市・喜多方市・会津坂下町・湯川村・柳津町・会津美里町）。パブコメ結果 https://www.pref.fukushima.lg.jp/sec/16005d/aizukenikimoukeikaku.html 。 別途、町単独の『会津美里町地域公共交通計画（案）』(令和8年、町地域公共交通会議資料) https://www.town.aizumisato.fukushima.jp/material/files/group/3/keikakuann.pdf が作成中＝着手済（期間未確認）。 【環境】環境基本計画は検索で確認できず。地球温暖化対策実行計画（事務事業編R4〜R6） https://www.town.aizumisato.fukushima.jp/gyosei/gyoseijoho/8/7/2/3496.html 、再エネ導入目標等策定支援業務プロポーザル https://www.town.aizumisato.fukushima.jp/soshiki/1009/3/10/5800.html 、ゼロカーボン宣言済。</t>
        </is>
      </c>
      <c r="S37" s="17" t="inlineStr">
        <is>
          <t>交通のみ調査</t>
        </is>
      </c>
    </row>
    <row r="38">
      <c r="A38" s="11" t="n">
        <v>35</v>
      </c>
      <c r="B38" s="11" t="inlineStr">
        <is>
          <t>西郷村</t>
        </is>
      </c>
      <c r="C38" s="12">
        <f>IF(OR(D38="◎",E38="◎"),"◎ 営業",IF(OR(D38="△",E38="△"),"△ 着手済・要確認",IF(OR(D38="？",E38="？"),"？ 期間要確認","✕ 対象外")))</f>
        <v/>
      </c>
      <c r="D38" s="13">
        <f>IF(J38="計画なし","－",IF(J38="策定済","✕",IF(H38="","？",IF(AND(H38&gt;='集計・設定'!$C$4,H38&lt;='集計・設定'!$C$5),IF(J38="着手済","△","◎"),"✕"))))</f>
        <v/>
      </c>
      <c r="E38" s="13">
        <f>IF(P38="計画なし","－",IF(P38="策定済","✕",IF(N38="","？",IF(AND(N38&gt;='集計・設定'!$C$4,N38&lt;='集計・設定'!$C$5),IF(P38="着手済","△","◎"),"✕"))))</f>
        <v/>
      </c>
      <c r="F38" s="11" t="inlineStr">
        <is>
          <t>西郷村地域公共交通計画</t>
        </is>
      </c>
      <c r="G38" s="11" t="inlineStr">
        <is>
          <t>R8〜R13</t>
        </is>
      </c>
      <c r="H38" s="13" t="n">
        <v>13</v>
      </c>
      <c r="I38" s="13" t="inlineStr">
        <is>
          <t>確認済</t>
        </is>
      </c>
      <c r="J38" s="13" t="inlineStr">
        <is>
          <t>策定済</t>
        </is>
      </c>
      <c r="K38" s="14" t="inlineStr">
        <is>
          <t>https://www.vill.nishigo.fukushima.jp/material/files/group/3/koutsuukeikaku_soan_2026.pdf</t>
        </is>
      </c>
      <c r="L38" s="11" t="inlineStr">
        <is>
          <t>西郷村環境基本計画</t>
        </is>
      </c>
      <c r="M38" s="11" t="inlineStr">
        <is>
          <t>不明</t>
        </is>
      </c>
      <c r="N38" s="13" t="n"/>
      <c r="O38" s="13" t="inlineStr">
        <is>
          <t>不明</t>
        </is>
      </c>
      <c r="P38" s="13" t="inlineStr">
        <is>
          <t>着手済</t>
        </is>
      </c>
      <c r="Q38" s="14" t="inlineStr">
        <is>
          <t>https://www.vill.nishigo.fukushima.jp/soshiki/kankyohozenka/kankyo_gomi/2/4547.html</t>
        </is>
      </c>
      <c r="R38" s="11" t="inlineStr">
        <is>
          <t>旧 西郷村地域公共交通網形成計画 https://www.vill.nishigo.fukushima.jp/soshiki/kikakuseisakuka/shisaku_keikaku/2/2322.html の後継。策定調査業務をプロポーザル発注 https://www.vill.nishigo.fukushima.jp/soshiki/kikakuseisakuka/shisaku_keikaku/2/5707.html 、素案R8.3、R8.3策定、計画期間R8〜R13の6年間（URLは素案）。AIデマンド交通実証導入も進行。 【環境】『西郷村環境基本計画』あり https://www.vill.nishigo.fukushima.jp/soshiki/kankyohozenka/kankyo_gomi/2/4547.html （期間は検索で確認できず）。R8.9.3ゼロ・カーボンシティ宣言ページで環境基本計画の改定・地球温暖化対策実行計画（区域施策編）策定に言及 https://www.vill.nishigo.fukushima.jp/soshiki/juminseikatsuka/kankyo_gomi/2/6556.html （改定版の策定済/作業中かは要確認）。</t>
        </is>
      </c>
      <c r="S38" s="15" t="inlineStr">
        <is>
          <t>調査済</t>
        </is>
      </c>
    </row>
    <row r="39">
      <c r="A39" s="11" t="n">
        <v>36</v>
      </c>
      <c r="B39" s="11" t="inlineStr">
        <is>
          <t>泉崎村</t>
        </is>
      </c>
      <c r="C39" s="12">
        <f>IF(OR(D39="◎",E39="◎"),"◎ 営業",IF(OR(D39="△",E39="△"),"△ 着手済・要確認",IF(OR(D39="？",E39="？"),"？ 期間要確認","✕ 対象外")))</f>
        <v/>
      </c>
      <c r="D39" s="13">
        <f>IF(J39="計画なし","－",IF(J39="策定済","✕",IF(H39="","？",IF(AND(H39&gt;='集計・設定'!$C$4,H39&lt;='集計・設定'!$C$5),IF(J39="着手済","△","◎"),"✕"))))</f>
        <v/>
      </c>
      <c r="E39" s="13">
        <f>IF(P39="計画なし","－",IF(P39="策定済","✕",IF(N39="","？",IF(AND(N39&gt;='集計・設定'!$C$4,N39&lt;='集計・設定'!$C$5),IF(P39="着手済","△","◎"),"✕"))))</f>
        <v/>
      </c>
      <c r="F39" s="11" t="inlineStr">
        <is>
          <t>福島県地域公共交通計画（県全域の広域計画）</t>
        </is>
      </c>
      <c r="G39" s="11" t="inlineStr">
        <is>
          <t>R6〜R12</t>
        </is>
      </c>
      <c r="H39" s="13" t="n">
        <v>12</v>
      </c>
      <c r="I39" s="13" t="inlineStr">
        <is>
          <t>確認済</t>
        </is>
      </c>
      <c r="J39" s="13" t="inlineStr">
        <is>
          <t>未確認</t>
        </is>
      </c>
      <c r="K39" s="14" t="inlineStr">
        <is>
          <t>https://www.pref.fukushima.lg.jp/uploaded/attachment/622613.pdf</t>
        </is>
      </c>
      <c r="L39" s="11" t="n"/>
      <c r="M39" s="11" t="inlineStr">
        <is>
          <t>不明</t>
        </is>
      </c>
      <c r="N39" s="13" t="n"/>
      <c r="O39" s="13" t="inlineStr">
        <is>
          <t>不明</t>
        </is>
      </c>
      <c r="P39" s="13" t="inlineStr">
        <is>
          <t>未確認</t>
        </is>
      </c>
      <c r="Q39" s="11" t="n"/>
      <c r="R39" s="11" t="inlineStr">
        <is>
          <t>町村単独の地域公共交通計画は検索で確認できず、県計画（R6.3策定、R7.2等に一部改定）が対象範囲。コミュニティバス「ふれあい号」3路線運行。環境基本計画は検索（村/町HPドメイン指定含む）で確認できず。村HP「各種計画の一覧」https://www.vill.izumizaki.fukushima.jp/page/page001839.html で要確認。</t>
        </is>
      </c>
      <c r="S39" s="17" t="inlineStr">
        <is>
          <t>交通のみ調査</t>
        </is>
      </c>
    </row>
    <row r="40">
      <c r="A40" s="11" t="n">
        <v>37</v>
      </c>
      <c r="B40" s="11" t="inlineStr">
        <is>
          <t>中島村</t>
        </is>
      </c>
      <c r="C40" s="12">
        <f>IF(OR(D40="◎",E40="◎"),"◎ 営業",IF(OR(D40="△",E40="△"),"△ 着手済・要確認",IF(OR(D40="？",E40="？"),"？ 期間要確認","✕ 対象外")))</f>
        <v/>
      </c>
      <c r="D40" s="13">
        <f>IF(J40="計画なし","－",IF(J40="策定済","✕",IF(H40="","？",IF(AND(H40&gt;='集計・設定'!$C$4,H40&lt;='集計・設定'!$C$5),IF(J40="着手済","△","◎"),"✕"))))</f>
        <v/>
      </c>
      <c r="E40" s="13">
        <f>IF(P40="計画なし","－",IF(P40="策定済","✕",IF(N40="","？",IF(AND(N40&gt;='集計・設定'!$C$4,N40&lt;='集計・設定'!$C$5),IF(P40="着手済","△","◎"),"✕"))))</f>
        <v/>
      </c>
      <c r="F40" s="11" t="inlineStr">
        <is>
          <t>福島県地域公共交通計画（県全域の広域計画）</t>
        </is>
      </c>
      <c r="G40" s="11" t="inlineStr">
        <is>
          <t>R6〜R12</t>
        </is>
      </c>
      <c r="H40" s="13" t="n">
        <v>12</v>
      </c>
      <c r="I40" s="13" t="inlineStr">
        <is>
          <t>確認済</t>
        </is>
      </c>
      <c r="J40" s="13" t="inlineStr">
        <is>
          <t>未確認</t>
        </is>
      </c>
      <c r="K40" s="14" t="inlineStr">
        <is>
          <t>https://www.pref.fukushima.lg.jp/uploaded/attachment/622613.pdf</t>
        </is>
      </c>
      <c r="L40" s="11" t="n"/>
      <c r="M40" s="11" t="inlineStr">
        <is>
          <t>不明</t>
        </is>
      </c>
      <c r="N40" s="13" t="n"/>
      <c r="O40" s="13" t="inlineStr">
        <is>
          <t>不明</t>
        </is>
      </c>
      <c r="P40" s="13" t="inlineStr">
        <is>
          <t>未確認</t>
        </is>
      </c>
      <c r="Q40" s="11" t="n"/>
      <c r="R40" s="11" t="inlineStr">
        <is>
          <t>町村単独の地域公共交通計画は検索で確認できず、県計画（R6.3策定、R7.2等に一部改定）が対象範囲。しらかわ地域定住自立圏構成村。環境基本計画・温暖化対策実行計画とも検索で確認できず。</t>
        </is>
      </c>
      <c r="S40" s="17" t="inlineStr">
        <is>
          <t>交通のみ調査</t>
        </is>
      </c>
    </row>
    <row r="41">
      <c r="A41" s="11" t="n">
        <v>38</v>
      </c>
      <c r="B41" s="11" t="inlineStr">
        <is>
          <t>矢吹町</t>
        </is>
      </c>
      <c r="C41" s="12">
        <f>IF(OR(D41="◎",E41="◎"),"◎ 営業",IF(OR(D41="△",E41="△"),"△ 着手済・要確認",IF(OR(D41="？",E41="？"),"？ 期間要確認","✕ 対象外")))</f>
        <v/>
      </c>
      <c r="D41" s="13">
        <f>IF(J41="計画なし","－",IF(J41="策定済","✕",IF(H41="","？",IF(AND(H41&gt;='集計・設定'!$C$4,H41&lt;='集計・設定'!$C$5),IF(J41="着手済","△","◎"),"✕"))))</f>
        <v/>
      </c>
      <c r="E41" s="13">
        <f>IF(P41="計画なし","－",IF(P41="策定済","✕",IF(N41="","？",IF(AND(N41&gt;='集計・設定'!$C$4,N41&lt;='集計・設定'!$C$5),IF(P41="着手済","△","◎"),"✕"))))</f>
        <v/>
      </c>
      <c r="F41" s="11" t="inlineStr">
        <is>
          <t>矢吹町地域公共交通計画</t>
        </is>
      </c>
      <c r="G41" s="11" t="inlineStr">
        <is>
          <t>不明</t>
        </is>
      </c>
      <c r="H41" s="13" t="n"/>
      <c r="I41" s="13" t="inlineStr">
        <is>
          <t>不明</t>
        </is>
      </c>
      <c r="J41" s="13" t="inlineStr">
        <is>
          <t>未確認</t>
        </is>
      </c>
      <c r="K41" s="14" t="inlineStr">
        <is>
          <t>https://www.town.yabuki.fukushima.jp/page/page009573.html</t>
        </is>
      </c>
      <c r="L41" s="11" t="n"/>
      <c r="M41" s="11" t="inlineStr">
        <is>
          <t>不明</t>
        </is>
      </c>
      <c r="N41" s="13" t="n"/>
      <c r="O41" s="13" t="inlineStr">
        <is>
          <t>不明</t>
        </is>
      </c>
      <c r="P41" s="13" t="inlineStr">
        <is>
          <t>計画なし</t>
        </is>
      </c>
      <c r="Q41" s="11" t="n"/>
      <c r="R41" s="11" t="inlineStr">
        <is>
          <t>町単独の地域公共交通計画をR5.9策定（期間は検索結果で確認できず）。同計画に基づきAI活用型オンデマンドバス「のると矢吹」導入・運行業務のプロポーザル実施（page010114/page010199）。環境基本計画は町HP内検索で見当たらず、代替として矢吹町地球温暖化対策実行計画（区域施策編）R6.3策定 https://www.town.yabuki.fukushima.jp/data/doc/1711602333_doc_34_0.pdf、事務事業編も改定済（page009922）。</t>
        </is>
      </c>
      <c r="S41" s="15" t="inlineStr">
        <is>
          <t>調査済</t>
        </is>
      </c>
    </row>
    <row r="42">
      <c r="A42" s="11" t="n">
        <v>39</v>
      </c>
      <c r="B42" s="11" t="inlineStr">
        <is>
          <t>棚倉町</t>
        </is>
      </c>
      <c r="C42" s="12">
        <f>IF(OR(D42="◎",E42="◎"),"◎ 営業",IF(OR(D42="△",E42="△"),"△ 着手済・要確認",IF(OR(D42="？",E42="？"),"？ 期間要確認","✕ 対象外")))</f>
        <v/>
      </c>
      <c r="D42" s="13">
        <f>IF(J42="計画なし","－",IF(J42="策定済","✕",IF(H42="","？",IF(AND(H42&gt;='集計・設定'!$C$4,H42&lt;='集計・設定'!$C$5),IF(J42="着手済","△","◎"),"✕"))))</f>
        <v/>
      </c>
      <c r="E42" s="13">
        <f>IF(P42="計画なし","－",IF(P42="策定済","✕",IF(N42="","？",IF(AND(N42&gt;='集計・設定'!$C$4,N42&lt;='集計・設定'!$C$5),IF(P42="着手済","△","◎"),"✕"))))</f>
        <v/>
      </c>
      <c r="F42" s="11" t="inlineStr">
        <is>
          <t>福島県地域公共交通計画（県全域の広域計画）</t>
        </is>
      </c>
      <c r="G42" s="11" t="inlineStr">
        <is>
          <t>R6〜R12</t>
        </is>
      </c>
      <c r="H42" s="13" t="n">
        <v>12</v>
      </c>
      <c r="I42" s="13" t="inlineStr">
        <is>
          <t>確認済</t>
        </is>
      </c>
      <c r="J42" s="13" t="inlineStr">
        <is>
          <t>未確認</t>
        </is>
      </c>
      <c r="K42" s="14" t="inlineStr">
        <is>
          <t>https://www.pref.fukushima.lg.jp/uploaded/attachment/622613.pdf</t>
        </is>
      </c>
      <c r="L42" s="11" t="inlineStr">
        <is>
          <t>棚倉町環境基本計画－SDGsと環境共生圏づくりを目指して－</t>
        </is>
      </c>
      <c r="M42" s="11" t="inlineStr">
        <is>
          <t>不明</t>
        </is>
      </c>
      <c r="N42" s="13" t="n"/>
      <c r="O42" s="13" t="inlineStr">
        <is>
          <t>不明</t>
        </is>
      </c>
      <c r="P42" s="13" t="inlineStr">
        <is>
          <t>未確認</t>
        </is>
      </c>
      <c r="Q42" s="14" t="inlineStr">
        <is>
          <t>https://www.town.tanagura.fukushima.jp/page/page001917.html</t>
        </is>
      </c>
      <c r="R42" s="11" t="inlineStr">
        <is>
          <t>町村単独の地域公共交通計画は検索で確認できず、県計画（R6.3策定、R7.2等に一部改定）が対象範囲。環境基本計画はR3.3策定（本編PDF https://www.town.tanagura.fukushima.jp/data/doc/1617153691_doc_15_0.pdf）。計画期間は検索結果で確認できず（10年ならR3〜R12、5年ならR3〜R7→改定期の可能性）。要PDF確認。</t>
        </is>
      </c>
      <c r="S42" s="15" t="inlineStr">
        <is>
          <t>調査済</t>
        </is>
      </c>
    </row>
    <row r="43">
      <c r="A43" s="11" t="n">
        <v>40</v>
      </c>
      <c r="B43" s="11" t="inlineStr">
        <is>
          <t>矢祭町</t>
        </is>
      </c>
      <c r="C43" s="12">
        <f>IF(OR(D43="◎",E43="◎"),"◎ 営業",IF(OR(D43="△",E43="△"),"△ 着手済・要確認",IF(OR(D43="？",E43="？"),"？ 期間要確認","✕ 対象外")))</f>
        <v/>
      </c>
      <c r="D43" s="13">
        <f>IF(J43="計画なし","－",IF(J43="策定済","✕",IF(H43="","？",IF(AND(H43&gt;='集計・設定'!$C$4,H43&lt;='集計・設定'!$C$5),IF(J43="着手済","△","◎"),"✕"))))</f>
        <v/>
      </c>
      <c r="E43" s="13">
        <f>IF(P43="計画なし","－",IF(P43="策定済","✕",IF(N43="","？",IF(AND(N43&gt;='集計・設定'!$C$4,N43&lt;='集計・設定'!$C$5),IF(P43="着手済","△","◎"),"✕"))))</f>
        <v/>
      </c>
      <c r="F43" s="11" t="inlineStr">
        <is>
          <t>福島県地域公共交通計画（県全域の広域計画）</t>
        </is>
      </c>
      <c r="G43" s="11" t="inlineStr">
        <is>
          <t>R6〜R12</t>
        </is>
      </c>
      <c r="H43" s="13" t="n">
        <v>12</v>
      </c>
      <c r="I43" s="13" t="inlineStr">
        <is>
          <t>確認済</t>
        </is>
      </c>
      <c r="J43" s="13" t="inlineStr">
        <is>
          <t>未確認</t>
        </is>
      </c>
      <c r="K43" s="14" t="inlineStr">
        <is>
          <t>https://www.pref.fukushima.lg.jp/uploaded/attachment/622613.pdf</t>
        </is>
      </c>
      <c r="L43" s="11" t="n"/>
      <c r="M43" s="11" t="inlineStr">
        <is>
          <t>不明</t>
        </is>
      </c>
      <c r="N43" s="13" t="n"/>
      <c r="O43" s="13" t="inlineStr">
        <is>
          <t>不明</t>
        </is>
      </c>
      <c r="P43" s="13" t="inlineStr">
        <is>
          <t>未確認</t>
        </is>
      </c>
      <c r="Q43" s="11" t="n"/>
      <c r="R43" s="11" t="inlineStr">
        <is>
          <t>町村単独の地域公共交通計画は検索で確認できず、県計画（R6.3策定、R7.2等に一部改定）が対象範囲。町は「地域の公共交通網整備に向けた基本調査研究」を公表（https://www.town.yamatsuri.fukushima.jp/sp/page/page000235.html）。環境基本計画は町HPドメイン検索でも確認できず（総合計画・太陽光条例等のみ）。第7次総合計画R8〜R12策定。</t>
        </is>
      </c>
      <c r="S43" s="17" t="inlineStr">
        <is>
          <t>交通のみ調査</t>
        </is>
      </c>
    </row>
    <row r="44">
      <c r="A44" s="11" t="n">
        <v>41</v>
      </c>
      <c r="B44" s="11" t="inlineStr">
        <is>
          <t>塙町</t>
        </is>
      </c>
      <c r="C44" s="12">
        <f>IF(OR(D44="◎",E44="◎"),"◎ 営業",IF(OR(D44="△",E44="△"),"△ 着手済・要確認",IF(OR(D44="？",E44="？"),"？ 期間要確認","✕ 対象外")))</f>
        <v/>
      </c>
      <c r="D44" s="13">
        <f>IF(J44="計画なし","－",IF(J44="策定済","✕",IF(H44="","？",IF(AND(H44&gt;='集計・設定'!$C$4,H44&lt;='集計・設定'!$C$5),IF(J44="着手済","△","◎"),"✕"))))</f>
        <v/>
      </c>
      <c r="E44" s="13">
        <f>IF(P44="計画なし","－",IF(P44="策定済","✕",IF(N44="","？",IF(AND(N44&gt;='集計・設定'!$C$4,N44&lt;='集計・設定'!$C$5),IF(P44="着手済","△","◎"),"✕"))))</f>
        <v/>
      </c>
      <c r="F44" s="11" t="inlineStr">
        <is>
          <t>福島県地域公共交通計画（県全域の広域計画）</t>
        </is>
      </c>
      <c r="G44" s="11" t="inlineStr">
        <is>
          <t>R6〜R12</t>
        </is>
      </c>
      <c r="H44" s="13" t="n">
        <v>12</v>
      </c>
      <c r="I44" s="13" t="inlineStr">
        <is>
          <t>確認済</t>
        </is>
      </c>
      <c r="J44" s="13" t="inlineStr">
        <is>
          <t>未確認</t>
        </is>
      </c>
      <c r="K44" s="14" t="inlineStr">
        <is>
          <t>https://www.pref.fukushima.lg.jp/uploaded/attachment/622613.pdf</t>
        </is>
      </c>
      <c r="L44" s="11" t="n"/>
      <c r="M44" s="11" t="inlineStr">
        <is>
          <t>不明</t>
        </is>
      </c>
      <c r="N44" s="13" t="n"/>
      <c r="O44" s="13" t="inlineStr">
        <is>
          <t>不明</t>
        </is>
      </c>
      <c r="P44" s="13" t="inlineStr">
        <is>
          <t>計画なし</t>
        </is>
      </c>
      <c r="Q44" s="11" t="n"/>
      <c r="R44" s="11" t="inlineStr">
        <is>
          <t>町村単独の地域公共交通計画は検索で確認できず、県計画（R6.3策定、R7.2等に一部改定）が対象範囲。町は地域公共交通網形成計画をH30.3策定（https://www.town.hanawa.fukushima.jp/page/page000688.html、期間未確認・満了の可能性）、旧「塙町地域公共交通総合連携計画」（H23.3, https://www.town.hanawa.fukushima.jp/data/doc/1503288674_doc_30_0.pdf）。環境基本計画は町HP「各種計画」ページ等で見当たらず、温暖化対策実行計画（事務事業編）（page000922）と「地域まるごと省エネ計画」（page001462、区域施策編相当）が代替。</t>
        </is>
      </c>
      <c r="S44" s="15" t="inlineStr">
        <is>
          <t>調査済</t>
        </is>
      </c>
    </row>
    <row r="45">
      <c r="A45" s="11" t="n">
        <v>42</v>
      </c>
      <c r="B45" s="11" t="inlineStr">
        <is>
          <t>鮫川村</t>
        </is>
      </c>
      <c r="C45" s="12">
        <f>IF(OR(D45="◎",E45="◎"),"◎ 営業",IF(OR(D45="△",E45="△"),"△ 着手済・要確認",IF(OR(D45="？",E45="？"),"？ 期間要確認","✕ 対象外")))</f>
        <v/>
      </c>
      <c r="D45" s="13">
        <f>IF(J45="計画なし","－",IF(J45="策定済","✕",IF(H45="","？",IF(AND(H45&gt;='集計・設定'!$C$4,H45&lt;='集計・設定'!$C$5),IF(J45="着手済","△","◎"),"✕"))))</f>
        <v/>
      </c>
      <c r="E45" s="13">
        <f>IF(P45="計画なし","－",IF(P45="策定済","✕",IF(N45="","？",IF(AND(N45&gt;='集計・設定'!$C$4,N45&lt;='集計・設定'!$C$5),IF(P45="着手済","△","◎"),"✕"))))</f>
        <v/>
      </c>
      <c r="F45" s="11" t="inlineStr">
        <is>
          <t>鮫川村地域公共交通計画</t>
        </is>
      </c>
      <c r="G45" s="11" t="inlineStr">
        <is>
          <t>R5〜R9</t>
        </is>
      </c>
      <c r="H45" s="13" t="n">
        <v>9</v>
      </c>
      <c r="I45" s="13" t="inlineStr">
        <is>
          <t>確認済</t>
        </is>
      </c>
      <c r="J45" s="13" t="inlineStr">
        <is>
          <t>未確認</t>
        </is>
      </c>
      <c r="K45" s="14" t="inlineStr">
        <is>
          <t>https://www.vill.samegawa.fukushima.jp/sp/page/page002592.html</t>
        </is>
      </c>
      <c r="L45" s="11" t="n"/>
      <c r="M45" s="11" t="inlineStr">
        <is>
          <t>不明</t>
        </is>
      </c>
      <c r="N45" s="13" t="n"/>
      <c r="O45" s="13" t="inlineStr">
        <is>
          <t>不明</t>
        </is>
      </c>
      <c r="P45" s="13" t="inlineStr">
        <is>
          <t>未確認</t>
        </is>
      </c>
      <c r="Q45" s="11" t="n"/>
      <c r="R45" s="11" t="inlineStr">
        <is>
          <t>交通計画はR5.2.21協議会で策定、デマンド交通導入を位置付け。R9年度末で満了→R8〜R9に次期計画検討が見込まれる。R7年度協議会会議録が村HP（上記協議会ページ）に公開、次期計画への言及は未確認。環境基本計画は検索（村/町HPドメイン指定含む）で確認できず。（バイオマスヴィレッジ構想・公害対策条例のみ確認）</t>
        </is>
      </c>
      <c r="S45" s="17" t="inlineStr">
        <is>
          <t>交通のみ調査</t>
        </is>
      </c>
    </row>
    <row r="46">
      <c r="A46" s="11" t="n">
        <v>43</v>
      </c>
      <c r="B46" s="11" t="inlineStr">
        <is>
          <t>石川町</t>
        </is>
      </c>
      <c r="C46" s="12">
        <f>IF(OR(D46="◎",E46="◎"),"◎ 営業",IF(OR(D46="△",E46="△"),"△ 着手済・要確認",IF(OR(D46="？",E46="？"),"？ 期間要確認","✕ 対象外")))</f>
        <v/>
      </c>
      <c r="D46" s="13">
        <f>IF(J46="計画なし","－",IF(J46="策定済","✕",IF(H46="","？",IF(AND(H46&gt;='集計・設定'!$C$4,H46&lt;='集計・設定'!$C$5),IF(J46="着手済","△","◎"),"✕"))))</f>
        <v/>
      </c>
      <c r="E46" s="13">
        <f>IF(P46="計画なし","－",IF(P46="策定済","✕",IF(N46="","？",IF(AND(N46&gt;='集計・設定'!$C$4,N46&lt;='集計・設定'!$C$5),IF(P46="着手済","△","◎"),"✕"))))</f>
        <v/>
      </c>
      <c r="F46" s="11" t="inlineStr">
        <is>
          <t>石川町地域公共交通計画</t>
        </is>
      </c>
      <c r="G46" s="11" t="inlineStr">
        <is>
          <t>R5〜R10</t>
        </is>
      </c>
      <c r="H46" s="13" t="n">
        <v>10</v>
      </c>
      <c r="I46" s="13" t="inlineStr">
        <is>
          <t>確認済</t>
        </is>
      </c>
      <c r="J46" s="13" t="inlineStr">
        <is>
          <t>未確認</t>
        </is>
      </c>
      <c r="K46" s="14" t="inlineStr">
        <is>
          <t>https://www.town.ishikawa.fukushima.jp/admin/project/03/24.html</t>
        </is>
      </c>
      <c r="L46" s="11" t="n"/>
      <c r="M46" s="11" t="inlineStr">
        <is>
          <t>不明</t>
        </is>
      </c>
      <c r="N46" s="13" t="n"/>
      <c r="O46" s="13" t="inlineStr">
        <is>
          <t>不明</t>
        </is>
      </c>
      <c r="P46" s="13" t="inlineStr">
        <is>
          <t>未確認</t>
        </is>
      </c>
      <c r="Q46" s="11" t="n"/>
      <c r="R46" s="11" t="inlineStr">
        <is>
          <t>H29.3策定の石川町地域公共交通網形成計画の後継計画（2023〜2028年度）。環境基本計画は検索（村/町HPドメイン指定含む）で確認できず。第2次石川町地球温暖化防止実行計画（事務事業編、2023〜2028年度）https://www.town.ishikawa.fukushima.jp/admin/ishikawa/info/005930.html のみ確認。</t>
        </is>
      </c>
      <c r="S46" s="17" t="inlineStr">
        <is>
          <t>交通のみ調査</t>
        </is>
      </c>
    </row>
    <row r="47">
      <c r="A47" s="11" t="n">
        <v>44</v>
      </c>
      <c r="B47" s="11" t="inlineStr">
        <is>
          <t>玉川村</t>
        </is>
      </c>
      <c r="C47" s="12">
        <f>IF(OR(D47="◎",E47="◎"),"◎ 営業",IF(OR(D47="△",E47="△"),"△ 着手済・要確認",IF(OR(D47="？",E47="？"),"？ 期間要確認","✕ 対象外")))</f>
        <v/>
      </c>
      <c r="D47" s="13">
        <f>IF(J47="計画なし","－",IF(J47="策定済","✕",IF(H47="","？",IF(AND(H47&gt;='集計・設定'!$C$4,H47&lt;='集計・設定'!$C$5),IF(J47="着手済","△","◎"),"✕"))))</f>
        <v/>
      </c>
      <c r="E47" s="13">
        <f>IF(P47="計画なし","－",IF(P47="策定済","✕",IF(N47="","？",IF(AND(N47&gt;='集計・設定'!$C$4,N47&lt;='集計・設定'!$C$5),IF(P47="着手済","△","◎"),"✕"))))</f>
        <v/>
      </c>
      <c r="F47" s="11" t="inlineStr">
        <is>
          <t>福島県地域公共交通計画（県全域の広域計画）</t>
        </is>
      </c>
      <c r="G47" s="11" t="inlineStr">
        <is>
          <t>R6〜R12</t>
        </is>
      </c>
      <c r="H47" s="13" t="n">
        <v>12</v>
      </c>
      <c r="I47" s="13" t="inlineStr">
        <is>
          <t>確認済</t>
        </is>
      </c>
      <c r="J47" s="13" t="inlineStr">
        <is>
          <t>未確認</t>
        </is>
      </c>
      <c r="K47" s="14" t="inlineStr">
        <is>
          <t>https://www.pref.fukushima.lg.jp/uploaded/attachment/622613.pdf</t>
        </is>
      </c>
      <c r="L47" s="11" t="n"/>
      <c r="M47" s="11" t="inlineStr">
        <is>
          <t>不明</t>
        </is>
      </c>
      <c r="N47" s="13" t="n"/>
      <c r="O47" s="13" t="inlineStr">
        <is>
          <t>不明</t>
        </is>
      </c>
      <c r="P47" s="13" t="inlineStr">
        <is>
          <t>未確認</t>
        </is>
      </c>
      <c r="Q47" s="11" t="n"/>
      <c r="R47" s="11" t="inlineStr">
        <is>
          <t>町村単独の地域公共交通計画は検索で確認できず、県計画（R6.3策定、R7.2等に一部改定）が対象範囲。こおりやま広域連携中枢都市圏構成団体（圏域の交通計画は確認できず）。環境基本計画は検索（村/町HPドメイン指定含む）で確認できず。住宅用太陽光補助等のみ確認。</t>
        </is>
      </c>
      <c r="S47" s="17" t="inlineStr">
        <is>
          <t>交通のみ調査</t>
        </is>
      </c>
    </row>
    <row r="48">
      <c r="A48" s="11" t="n">
        <v>45</v>
      </c>
      <c r="B48" s="11" t="inlineStr">
        <is>
          <t>平田村</t>
        </is>
      </c>
      <c r="C48" s="12">
        <f>IF(OR(D48="◎",E48="◎"),"◎ 営業",IF(OR(D48="△",E48="△"),"△ 着手済・要確認",IF(OR(D48="？",E48="？"),"？ 期間要確認","✕ 対象外")))</f>
        <v/>
      </c>
      <c r="D48" s="13">
        <f>IF(J48="計画なし","－",IF(J48="策定済","✕",IF(H48="","？",IF(AND(H48&gt;='集計・設定'!$C$4,H48&lt;='集計・設定'!$C$5),IF(J48="着手済","△","◎"),"✕"))))</f>
        <v/>
      </c>
      <c r="E48" s="13">
        <f>IF(P48="計画なし","－",IF(P48="策定済","✕",IF(N48="","？",IF(AND(N48&gt;='集計・設定'!$C$4,N48&lt;='集計・設定'!$C$5),IF(P48="着手済","△","◎"),"✕"))))</f>
        <v/>
      </c>
      <c r="F48" s="11" t="inlineStr">
        <is>
          <t>福島県地域公共交通計画（県全域の広域計画）</t>
        </is>
      </c>
      <c r="G48" s="11" t="inlineStr">
        <is>
          <t>R6〜R12</t>
        </is>
      </c>
      <c r="H48" s="13" t="n">
        <v>12</v>
      </c>
      <c r="I48" s="13" t="inlineStr">
        <is>
          <t>確認済</t>
        </is>
      </c>
      <c r="J48" s="13" t="inlineStr">
        <is>
          <t>未確認</t>
        </is>
      </c>
      <c r="K48" s="14" t="inlineStr">
        <is>
          <t>https://www.pref.fukushima.lg.jp/uploaded/attachment/622613.pdf</t>
        </is>
      </c>
      <c r="L48" s="11" t="n"/>
      <c r="M48" s="11" t="inlineStr">
        <is>
          <t>不明</t>
        </is>
      </c>
      <c r="N48" s="13" t="n"/>
      <c r="O48" s="13" t="inlineStr">
        <is>
          <t>不明</t>
        </is>
      </c>
      <c r="P48" s="13" t="inlineStr">
        <is>
          <t>未確認</t>
        </is>
      </c>
      <c r="Q48" s="11" t="n"/>
      <c r="R48" s="11" t="inlineStr">
        <is>
          <t>町村単独の地域公共交通計画は検索で確認できず、県計画（R6.3策定、R7.2等に一部改定）が対象範囲。こおりやま広域連携中枢都市圏構成団体（圏域の交通計画は確認できず）。環境基本計画は検索（村/町HPドメイン指定含む）で確認できず。平田村地球温暖化対策実施計画が情報公開ページ（https://www.vill.hirata.fukushima.jp/soshiki/2/174.html）に掲載、一般廃棄物処理基本計画（R4.4, R7.4変更）あり。</t>
        </is>
      </c>
      <c r="S48" s="17" t="inlineStr">
        <is>
          <t>交通のみ調査</t>
        </is>
      </c>
    </row>
    <row r="49">
      <c r="A49" s="11" t="n">
        <v>46</v>
      </c>
      <c r="B49" s="11" t="inlineStr">
        <is>
          <t>浅川町</t>
        </is>
      </c>
      <c r="C49" s="12">
        <f>IF(OR(D49="◎",E49="◎"),"◎ 営業",IF(OR(D49="△",E49="△"),"△ 着手済・要確認",IF(OR(D49="？",E49="？"),"？ 期間要確認","✕ 対象外")))</f>
        <v/>
      </c>
      <c r="D49" s="13">
        <f>IF(J49="計画なし","－",IF(J49="策定済","✕",IF(H49="","？",IF(AND(H49&gt;='集計・設定'!$C$4,H49&lt;='集計・設定'!$C$5),IF(J49="着手済","△","◎"),"✕"))))</f>
        <v/>
      </c>
      <c r="E49" s="13">
        <f>IF(P49="計画なし","－",IF(P49="策定済","✕",IF(N49="","？",IF(AND(N49&gt;='集計・設定'!$C$4,N49&lt;='集計・設定'!$C$5),IF(P49="着手済","△","◎"),"✕"))))</f>
        <v/>
      </c>
      <c r="F49" s="11" t="inlineStr">
        <is>
          <t>福島県地域公共交通計画（県全域の広域計画）</t>
        </is>
      </c>
      <c r="G49" s="11" t="inlineStr">
        <is>
          <t>R6〜R12</t>
        </is>
      </c>
      <c r="H49" s="13" t="n">
        <v>12</v>
      </c>
      <c r="I49" s="13" t="inlineStr">
        <is>
          <t>確認済</t>
        </is>
      </c>
      <c r="J49" s="13" t="inlineStr">
        <is>
          <t>未確認</t>
        </is>
      </c>
      <c r="K49" s="14" t="inlineStr">
        <is>
          <t>https://www.pref.fukushima.lg.jp/uploaded/attachment/622613.pdf</t>
        </is>
      </c>
      <c r="L49" s="11" t="n"/>
      <c r="M49" s="11" t="inlineStr">
        <is>
          <t>不明</t>
        </is>
      </c>
      <c r="N49" s="13" t="n"/>
      <c r="O49" s="13" t="inlineStr">
        <is>
          <t>不明</t>
        </is>
      </c>
      <c r="P49" s="13" t="inlineStr">
        <is>
          <t>計画なし</t>
        </is>
      </c>
      <c r="Q49" s="11" t="n"/>
      <c r="R49" s="11" t="inlineStr">
        <is>
          <t>町村単独の地域公共交通計画は検索で確認できず、県計画（R6.3策定、R7.2等に一部改定）が対象範囲。こおりやま広域連携中枢都市圏構成団体（圏域の交通計画は確認できず）。環境基本計画は町HP検索で見当たらず、代替として浅川町地域まるごと省エネ計画【地球温暖化対策実行計画（区域施策編）・気候変動適応計画】（https://www.town.asakawa.fukushima.jp/health/kankyou/001486.html、案PDF R7.2公表）。</t>
        </is>
      </c>
      <c r="S49" s="15" t="inlineStr">
        <is>
          <t>調査済</t>
        </is>
      </c>
    </row>
    <row r="50">
      <c r="A50" s="11" t="n">
        <v>47</v>
      </c>
      <c r="B50" s="11" t="inlineStr">
        <is>
          <t>古殿町</t>
        </is>
      </c>
      <c r="C50" s="12">
        <f>IF(OR(D50="◎",E50="◎"),"◎ 営業",IF(OR(D50="△",E50="△"),"△ 着手済・要確認",IF(OR(D50="？",E50="？"),"？ 期間要確認","✕ 対象外")))</f>
        <v/>
      </c>
      <c r="D50" s="13">
        <f>IF(J50="計画なし","－",IF(J50="策定済","✕",IF(H50="","？",IF(AND(H50&gt;='集計・設定'!$C$4,H50&lt;='集計・設定'!$C$5),IF(J50="着手済","△","◎"),"✕"))))</f>
        <v/>
      </c>
      <c r="E50" s="13">
        <f>IF(P50="計画なし","－",IF(P50="策定済","✕",IF(N50="","？",IF(AND(N50&gt;='集計・設定'!$C$4,N50&lt;='集計・設定'!$C$5),IF(P50="着手済","△","◎"),"✕"))))</f>
        <v/>
      </c>
      <c r="F50" s="11" t="inlineStr">
        <is>
          <t>福島県地域公共交通計画（県全域の広域計画）</t>
        </is>
      </c>
      <c r="G50" s="11" t="inlineStr">
        <is>
          <t>R6〜R12</t>
        </is>
      </c>
      <c r="H50" s="13" t="n">
        <v>12</v>
      </c>
      <c r="I50" s="13" t="inlineStr">
        <is>
          <t>確認済</t>
        </is>
      </c>
      <c r="J50" s="13" t="inlineStr">
        <is>
          <t>未確認</t>
        </is>
      </c>
      <c r="K50" s="14" t="inlineStr">
        <is>
          <t>https://www.pref.fukushima.lg.jp/uploaded/attachment/622613.pdf</t>
        </is>
      </c>
      <c r="L50" s="11" t="n"/>
      <c r="M50" s="11" t="inlineStr">
        <is>
          <t>不明</t>
        </is>
      </c>
      <c r="N50" s="13" t="n"/>
      <c r="O50" s="13" t="inlineStr">
        <is>
          <t>不明</t>
        </is>
      </c>
      <c r="P50" s="13" t="inlineStr">
        <is>
          <t>未確認</t>
        </is>
      </c>
      <c r="Q50" s="11" t="n"/>
      <c r="R50" s="11" t="inlineStr">
        <is>
          <t>町村単独の地域公共交通計画は検索で確認できず、県計画（R6.3策定、R7.2等に一部改定）が対象範囲。こおりやま広域連携中枢都市圏構成団体（圏域の交通計画は確認できず）。環境基本計画は検索（村/町HPドメイン指定含む）で確認できず。町HP「各種計画」ページ（https://www.town.furudono.fukushima.jp/chouseijyouhou/torikumikeikaku/keikaku/760）に記載ある可能性は低いが未確認。</t>
        </is>
      </c>
      <c r="S50" s="17" t="inlineStr">
        <is>
          <t>交通のみ調査</t>
        </is>
      </c>
    </row>
    <row r="51">
      <c r="A51" s="11" t="n">
        <v>48</v>
      </c>
      <c r="B51" s="11" t="inlineStr">
        <is>
          <t>三春町</t>
        </is>
      </c>
      <c r="C51" s="12">
        <f>IF(OR(D51="◎",E51="◎"),"◎ 営業",IF(OR(D51="△",E51="△"),"△ 着手済・要確認",IF(OR(D51="？",E51="？"),"？ 期間要確認","✕ 対象外")))</f>
        <v/>
      </c>
      <c r="D51" s="13">
        <f>IF(J51="計画なし","－",IF(J51="策定済","✕",IF(H51="","？",IF(AND(H51&gt;='集計・設定'!$C$4,H51&lt;='集計・設定'!$C$5),IF(J51="着手済","△","◎"),"✕"))))</f>
        <v/>
      </c>
      <c r="E51" s="13">
        <f>IF(P51="計画なし","－",IF(P51="策定済","✕",IF(N51="","？",IF(AND(N51&gt;='集計・設定'!$C$4,N51&lt;='集計・設定'!$C$5),IF(P51="着手済","△","◎"),"✕"))))</f>
        <v/>
      </c>
      <c r="F51" s="11" t="inlineStr">
        <is>
          <t>福島県地域公共交通計画（県全域）</t>
        </is>
      </c>
      <c r="G51" s="11" t="inlineStr">
        <is>
          <t>R6〜R12</t>
        </is>
      </c>
      <c r="H51" s="13" t="n">
        <v>12</v>
      </c>
      <c r="I51" s="13" t="inlineStr">
        <is>
          <t>確認済</t>
        </is>
      </c>
      <c r="J51" s="13" t="inlineStr">
        <is>
          <t>未確認</t>
        </is>
      </c>
      <c r="K51" s="14" t="inlineStr">
        <is>
          <t>https://www.pref.fukushima.lg.jp/sec/16005d/chiikikoukyoukasseikakyougikai.html</t>
        </is>
      </c>
      <c r="L51" s="11" t="n"/>
      <c r="M51" s="11" t="inlineStr">
        <is>
          <t>不明</t>
        </is>
      </c>
      <c r="N51" s="13" t="n"/>
      <c r="O51" s="13" t="inlineStr">
        <is>
          <t>不明</t>
        </is>
      </c>
      <c r="P51" s="13" t="inlineStr">
        <is>
          <t>計画なし</t>
        </is>
      </c>
      <c r="Q51" s="11" t="n"/>
      <c r="R51" s="11" t="inlineStr">
        <is>
          <t>交通：町単独計画は再検索でも確認できず(R8.3にユニ・トランドと交通データ活用の包括連携協定締結 https://www.logi-today.com/930374)、県全域の福島県地域公共交通計画(R6〜R12)が該当。県中・県南圏域地域公共交通利便増進実施計画(R7.10〜R13.3)にも含まれる(https://www.mlit.go.jp/sogoseisaku/transport/content/001895410.pdf)。環境：三春町環境条例(H12)はあるが環境基本計画は検索で確認できず。</t>
        </is>
      </c>
      <c r="S51" s="15" t="inlineStr">
        <is>
          <t>調査済</t>
        </is>
      </c>
    </row>
    <row r="52">
      <c r="A52" s="11" t="n">
        <v>49</v>
      </c>
      <c r="B52" s="11" t="inlineStr">
        <is>
          <t>小野町</t>
        </is>
      </c>
      <c r="C52" s="12">
        <f>IF(OR(D52="◎",E52="◎"),"◎ 営業",IF(OR(D52="△",E52="△"),"△ 着手済・要確認",IF(OR(D52="？",E52="？"),"？ 期間要確認","✕ 対象外")))</f>
        <v/>
      </c>
      <c r="D52" s="13">
        <f>IF(J52="計画なし","－",IF(J52="策定済","✕",IF(H52="","？",IF(AND(H52&gt;='集計・設定'!$C$4,H52&lt;='集計・設定'!$C$5),IF(J52="着手済","△","◎"),"✕"))))</f>
        <v/>
      </c>
      <c r="E52" s="13">
        <f>IF(P52="計画なし","－",IF(P52="策定済","✕",IF(N52="","？",IF(AND(N52&gt;='集計・設定'!$C$4,N52&lt;='集計・設定'!$C$5),IF(P52="着手済","△","◎"),"✕"))))</f>
        <v/>
      </c>
      <c r="F52" s="11" t="inlineStr">
        <is>
          <t>福島県地域公共交通計画（県全域）</t>
        </is>
      </c>
      <c r="G52" s="11" t="inlineStr">
        <is>
          <t>R6〜R12</t>
        </is>
      </c>
      <c r="H52" s="13" t="n">
        <v>12</v>
      </c>
      <c r="I52" s="13" t="inlineStr">
        <is>
          <t>確認済</t>
        </is>
      </c>
      <c r="J52" s="13" t="inlineStr">
        <is>
          <t>未確認</t>
        </is>
      </c>
      <c r="K52" s="14" t="inlineStr">
        <is>
          <t>https://www.pref.fukushima.lg.jp/sec/16005d/chiikikoukyoukasseikakyougikai.html</t>
        </is>
      </c>
      <c r="L52" s="11" t="n"/>
      <c r="M52" s="11" t="inlineStr">
        <is>
          <t>不明</t>
        </is>
      </c>
      <c r="N52" s="13" t="n"/>
      <c r="O52" s="13" t="inlineStr">
        <is>
          <t>不明</t>
        </is>
      </c>
      <c r="P52" s="13" t="inlineStr">
        <is>
          <t>計画なし</t>
        </is>
      </c>
      <c r="Q52" s="11" t="n"/>
      <c r="R52" s="11" t="inlineStr">
        <is>
          <t>交通：町単独計画は再検索でも確認できず、県全域の福島県地域公共交通計画(R6〜R12)が該当。県中・県南圏域地域公共交通利便増進実施計画(R7.10〜R13.3)にも含まれる(https://www.mlit.go.jp/sogoseisaku/transport/content/001895410.pdf)。環境：環境基本計画は検索で確認できず。</t>
        </is>
      </c>
      <c r="S52" s="15" t="inlineStr">
        <is>
          <t>調査済</t>
        </is>
      </c>
    </row>
    <row r="53">
      <c r="A53" s="11" t="n">
        <v>50</v>
      </c>
      <c r="B53" s="11" t="inlineStr">
        <is>
          <t>広野町</t>
        </is>
      </c>
      <c r="C53" s="12">
        <f>IF(OR(D53="◎",E53="◎"),"◎ 営業",IF(OR(D53="△",E53="△"),"△ 着手済・要確認",IF(OR(D53="？",E53="？"),"？ 期間要確認","✕ 対象外")))</f>
        <v/>
      </c>
      <c r="D53" s="13">
        <f>IF(J53="計画なし","－",IF(J53="策定済","✕",IF(H53="","？",IF(AND(H53&gt;='集計・設定'!$C$4,H53&lt;='集計・設定'!$C$5),IF(J53="着手済","△","◎"),"✕"))))</f>
        <v/>
      </c>
      <c r="E53" s="13">
        <f>IF(P53="計画なし","－",IF(P53="策定済","✕",IF(N53="","？",IF(AND(N53&gt;='集計・設定'!$C$4,N53&lt;='集計・設定'!$C$5),IF(P53="着手済","△","◎"),"✕"))))</f>
        <v/>
      </c>
      <c r="F53" s="11" t="inlineStr">
        <is>
          <t>福島県避難地域広域公共交通計画（避難12市町村対象・県策定）</t>
        </is>
      </c>
      <c r="G53" s="11" t="inlineStr">
        <is>
          <t>R5〜R9</t>
        </is>
      </c>
      <c r="H53" s="13" t="n">
        <v>9</v>
      </c>
      <c r="I53" s="13" t="inlineStr">
        <is>
          <t>確認済</t>
        </is>
      </c>
      <c r="J53" s="13" t="inlineStr">
        <is>
          <t>着手済</t>
        </is>
      </c>
      <c r="K53" s="14" t="inlineStr">
        <is>
          <t>https://www.pref.fukushima.lg.jp/sec/16005d/hinan-koutsuu-keikaku.html</t>
        </is>
      </c>
      <c r="L53" s="11" t="inlineStr">
        <is>
          <t>広野町環境基本計画</t>
        </is>
      </c>
      <c r="M53" s="11" t="inlineStr">
        <is>
          <t>R7〜R17</t>
        </is>
      </c>
      <c r="N53" s="13" t="n">
        <v>17</v>
      </c>
      <c r="O53" s="13" t="inlineStr">
        <is>
          <t>確認済</t>
        </is>
      </c>
      <c r="P53" s="13" t="inlineStr">
        <is>
          <t>策定済</t>
        </is>
      </c>
      <c r="Q53" s="14" t="inlineStr">
        <is>
          <t>https://www.town.hirono.fukushima.jp/chousei/machidukuri/1003877/1005075.html</t>
        </is>
      </c>
      <c r="R53" s="11" t="inlineStr">
        <is>
          <t>交通：県の避難地域広域公共交通計画(R5.4〜R10.3、R7.3一部改定)が対象。R8年度に最終評価・次期計画の方向性決定、R9年度に次期計画(R10.4〜)策定予定との県資料あり(https://www.pref.fukushima.lg.jp/sec/16005d/hinan-koutsuu-keikaku.html、関連 https://www.pref.fukushima.lg.jp/uploaded/attachment/756357.pdf)。町村単独の交通計画は未確認。環境：広野町環境基本計画をR7.3策定(計画期間R7〜R17の11年間、R12に必要に応じ見直し)(PDF https://www.town.hirono.fukushima.jp/_res/projects/default_project/_page_/001/005/075/kankyokihonkeikaku.pdf)。他に地球温暖化対策実行計画(事務事業編・区域施策編、R5〜R12)、ゼロカーボンビジョンあり。</t>
        </is>
      </c>
      <c r="S53" s="15" t="inlineStr">
        <is>
          <t>調査済</t>
        </is>
      </c>
    </row>
    <row r="54">
      <c r="A54" s="11" t="n">
        <v>51</v>
      </c>
      <c r="B54" s="11" t="inlineStr">
        <is>
          <t>楢葉町</t>
        </is>
      </c>
      <c r="C54" s="12">
        <f>IF(OR(D54="◎",E54="◎"),"◎ 営業",IF(OR(D54="△",E54="△"),"△ 着手済・要確認",IF(OR(D54="？",E54="？"),"？ 期間要確認","✕ 対象外")))</f>
        <v/>
      </c>
      <c r="D54" s="13">
        <f>IF(J54="計画なし","－",IF(J54="策定済","✕",IF(H54="","？",IF(AND(H54&gt;='集計・設定'!$C$4,H54&lt;='集計・設定'!$C$5),IF(J54="着手済","△","◎"),"✕"))))</f>
        <v/>
      </c>
      <c r="E54" s="13">
        <f>IF(P54="計画なし","－",IF(P54="策定済","✕",IF(N54="","？",IF(AND(N54&gt;='集計・設定'!$C$4,N54&lt;='集計・設定'!$C$5),IF(P54="着手済","△","◎"),"✕"))))</f>
        <v/>
      </c>
      <c r="F54" s="11" t="inlineStr">
        <is>
          <t>福島県避難地域広域公共交通計画（避難12市町村対象・県策定）</t>
        </is>
      </c>
      <c r="G54" s="11" t="inlineStr">
        <is>
          <t>R5〜R9</t>
        </is>
      </c>
      <c r="H54" s="13" t="n">
        <v>9</v>
      </c>
      <c r="I54" s="13" t="inlineStr">
        <is>
          <t>確認済</t>
        </is>
      </c>
      <c r="J54" s="13" t="inlineStr">
        <is>
          <t>着手済</t>
        </is>
      </c>
      <c r="K54" s="14" t="inlineStr">
        <is>
          <t>https://www.pref.fukushima.lg.jp/sec/16005d/hinan-koutsuu-keikaku.html</t>
        </is>
      </c>
      <c r="L54" s="11" t="n"/>
      <c r="M54" s="11" t="inlineStr">
        <is>
          <t>不明</t>
        </is>
      </c>
      <c r="N54" s="13" t="n"/>
      <c r="O54" s="13" t="inlineStr">
        <is>
          <t>不明</t>
        </is>
      </c>
      <c r="P54" s="13" t="inlineStr">
        <is>
          <t>計画なし</t>
        </is>
      </c>
      <c r="Q54" s="11" t="n"/>
      <c r="R54" s="11" t="inlineStr">
        <is>
          <t>交通：県の避難地域広域公共交通計画(R5.4〜R10.3、R7.3一部改定)が対象。R8年度に最終評価・次期計画の方向性決定、R9年度に次期計画(R10.4〜)策定予定との県資料あり(https://www.pref.fukushima.lg.jp/sec/16005d/hinan-koutsuu-keikaku.html、関連 https://www.pref.fukushima.lg.jp/uploaded/attachment/756357.pdf)。町村単独の交通計画は未確認。環境：環境基本計画は検索で確認できず。代替として楢葉町ゼロカーボンビジョン(R5.3策定、区域施策編＋地域気候変動適応計画を兼ねる)(https://www.town.naraha.lg.jp/life/cat309/cat331/008538.html)。</t>
        </is>
      </c>
      <c r="S54" s="15" t="inlineStr">
        <is>
          <t>調査済</t>
        </is>
      </c>
    </row>
    <row r="55">
      <c r="A55" s="11" t="n">
        <v>52</v>
      </c>
      <c r="B55" s="11" t="inlineStr">
        <is>
          <t>富岡町</t>
        </is>
      </c>
      <c r="C55" s="12">
        <f>IF(OR(D55="◎",E55="◎"),"◎ 営業",IF(OR(D55="△",E55="△"),"△ 着手済・要確認",IF(OR(D55="？",E55="？"),"？ 期間要確認","✕ 対象外")))</f>
        <v/>
      </c>
      <c r="D55" s="13">
        <f>IF(J55="計画なし","－",IF(J55="策定済","✕",IF(H55="","？",IF(AND(H55&gt;='集計・設定'!$C$4,H55&lt;='集計・設定'!$C$5),IF(J55="着手済","△","◎"),"✕"))))</f>
        <v/>
      </c>
      <c r="E55" s="13">
        <f>IF(P55="計画なし","－",IF(P55="策定済","✕",IF(N55="","？",IF(AND(N55&gt;='集計・設定'!$C$4,N55&lt;='集計・設定'!$C$5),IF(P55="着手済","△","◎"),"✕"))))</f>
        <v/>
      </c>
      <c r="F55" s="11" t="inlineStr">
        <is>
          <t>福島県避難地域広域公共交通計画（避難12市町村対象・県策定）</t>
        </is>
      </c>
      <c r="G55" s="11" t="inlineStr">
        <is>
          <t>R5〜R9</t>
        </is>
      </c>
      <c r="H55" s="13" t="n">
        <v>9</v>
      </c>
      <c r="I55" s="13" t="inlineStr">
        <is>
          <t>確認済</t>
        </is>
      </c>
      <c r="J55" s="13" t="inlineStr">
        <is>
          <t>着手済</t>
        </is>
      </c>
      <c r="K55" s="14" t="inlineStr">
        <is>
          <t>https://www.pref.fukushima.lg.jp/sec/16005d/hinan-koutsuu-keikaku.html</t>
        </is>
      </c>
      <c r="L55" s="11" t="n"/>
      <c r="M55" s="11" t="inlineStr">
        <is>
          <t>不明</t>
        </is>
      </c>
      <c r="N55" s="13" t="n"/>
      <c r="O55" s="13" t="inlineStr">
        <is>
          <t>不明</t>
        </is>
      </c>
      <c r="P55" s="13" t="inlineStr">
        <is>
          <t>計画なし</t>
        </is>
      </c>
      <c r="Q55" s="11" t="n"/>
      <c r="R55" s="11" t="inlineStr">
        <is>
          <t>交通：県の避難地域広域公共交通計画(R5.4〜R10.3、R7.3一部改定)が対象。R8年度に最終評価・次期計画の方向性決定、R9年度に次期計画(R10.4〜)策定予定との県資料あり(https://www.pref.fukushima.lg.jp/sec/16005d/hinan-koutsuu-keikaku.html、関連 https://www.pref.fukushima.lg.jp/uploaded/attachment/756357.pdf)。町村単独の交通計画は未確認。環境：環境基本計画は検索で確認できず（復興推進計画のみ）。</t>
        </is>
      </c>
      <c r="S55" s="15" t="inlineStr">
        <is>
          <t>調査済</t>
        </is>
      </c>
    </row>
    <row r="56">
      <c r="A56" s="11" t="n">
        <v>53</v>
      </c>
      <c r="B56" s="11" t="inlineStr">
        <is>
          <t>川内村</t>
        </is>
      </c>
      <c r="C56" s="12">
        <f>IF(OR(D56="◎",E56="◎"),"◎ 営業",IF(OR(D56="△",E56="△"),"△ 着手済・要確認",IF(OR(D56="？",E56="？"),"？ 期間要確認","✕ 対象外")))</f>
        <v/>
      </c>
      <c r="D56" s="13">
        <f>IF(J56="計画なし","－",IF(J56="策定済","✕",IF(H56="","？",IF(AND(H56&gt;='集計・設定'!$C$4,H56&lt;='集計・設定'!$C$5),IF(J56="着手済","△","◎"),"✕"))))</f>
        <v/>
      </c>
      <c r="E56" s="13">
        <f>IF(P56="計画なし","－",IF(P56="策定済","✕",IF(N56="","？",IF(AND(N56&gt;='集計・設定'!$C$4,N56&lt;='集計・設定'!$C$5),IF(P56="着手済","△","◎"),"✕"))))</f>
        <v/>
      </c>
      <c r="F56" s="11" t="inlineStr">
        <is>
          <t>福島県避難地域広域公共交通計画（避難12市町村対象・県策定）</t>
        </is>
      </c>
      <c r="G56" s="11" t="inlineStr">
        <is>
          <t>R5〜R9</t>
        </is>
      </c>
      <c r="H56" s="13" t="n">
        <v>9</v>
      </c>
      <c r="I56" s="13" t="inlineStr">
        <is>
          <t>確認済</t>
        </is>
      </c>
      <c r="J56" s="13" t="inlineStr">
        <is>
          <t>着手済</t>
        </is>
      </c>
      <c r="K56" s="14" t="inlineStr">
        <is>
          <t>https://www.pref.fukushima.lg.jp/sec/16005d/hinan-koutsuu-keikaku.html</t>
        </is>
      </c>
      <c r="L56" s="11" t="n"/>
      <c r="M56" s="11" t="inlineStr">
        <is>
          <t>不明</t>
        </is>
      </c>
      <c r="N56" s="13" t="n"/>
      <c r="O56" s="13" t="inlineStr">
        <is>
          <t>不明</t>
        </is>
      </c>
      <c r="P56" s="13" t="inlineStr">
        <is>
          <t>未確認</t>
        </is>
      </c>
      <c r="Q56" s="11" t="n"/>
      <c r="R56" s="11" t="inlineStr">
        <is>
          <t>交通：県の避難地域広域公共交通計画(R5.4〜R10.3、R7.3一部改定)が対象。R8年度に最終評価・次期計画の方向性決定、R9年度に次期計画(R10.4〜)策定予定との県資料あり(https://www.pref.fukushima.lg.jp/sec/16005d/hinan-koutsuu-keikaku.html、関連 https://www.pref.fukushima.lg.jp/uploaded/attachment/756357.pdf)。町村単独の交通計画は未確認。環境：環境基本計画は検索で確認できず。村HPで脱炭素ビジョン策定業務および「地球温暖化対策実行計画(区域施策編)策定業務委託」の公募型プロポーザル実施の記載あり(時期未確認、https://www.kawauchimura.jp/)。</t>
        </is>
      </c>
      <c r="S56" s="17" t="inlineStr">
        <is>
          <t>交通のみ調査</t>
        </is>
      </c>
    </row>
    <row r="57">
      <c r="A57" s="11" t="n">
        <v>54</v>
      </c>
      <c r="B57" s="11" t="inlineStr">
        <is>
          <t>大熊町</t>
        </is>
      </c>
      <c r="C57" s="12">
        <f>IF(OR(D57="◎",E57="◎"),"◎ 営業",IF(OR(D57="△",E57="△"),"△ 着手済・要確認",IF(OR(D57="？",E57="？"),"？ 期間要確認","✕ 対象外")))</f>
        <v/>
      </c>
      <c r="D57" s="13">
        <f>IF(J57="計画なし","－",IF(J57="策定済","✕",IF(H57="","？",IF(AND(H57&gt;='集計・設定'!$C$4,H57&lt;='集計・設定'!$C$5),IF(J57="着手済","△","◎"),"✕"))))</f>
        <v/>
      </c>
      <c r="E57" s="13">
        <f>IF(P57="計画なし","－",IF(P57="策定済","✕",IF(N57="","？",IF(AND(N57&gt;='集計・設定'!$C$4,N57&lt;='集計・設定'!$C$5),IF(P57="着手済","△","◎"),"✕"))))</f>
        <v/>
      </c>
      <c r="F57" s="11" t="inlineStr">
        <is>
          <t>福島県避難地域広域公共交通計画（避難12市町村対象・県策定）</t>
        </is>
      </c>
      <c r="G57" s="11" t="inlineStr">
        <is>
          <t>R5〜R9</t>
        </is>
      </c>
      <c r="H57" s="13" t="n">
        <v>9</v>
      </c>
      <c r="I57" s="13" t="inlineStr">
        <is>
          <t>確認済</t>
        </is>
      </c>
      <c r="J57" s="13" t="inlineStr">
        <is>
          <t>着手済</t>
        </is>
      </c>
      <c r="K57" s="14" t="inlineStr">
        <is>
          <t>https://www.pref.fukushima.lg.jp/sec/16005d/hinan-koutsuu-keikaku.html</t>
        </is>
      </c>
      <c r="L57" s="11" t="n"/>
      <c r="M57" s="11" t="inlineStr">
        <is>
          <t>不明</t>
        </is>
      </c>
      <c r="N57" s="13" t="n"/>
      <c r="O57" s="13" t="inlineStr">
        <is>
          <t>不明</t>
        </is>
      </c>
      <c r="P57" s="13" t="inlineStr">
        <is>
          <t>計画なし</t>
        </is>
      </c>
      <c r="Q57" s="11" t="n"/>
      <c r="R57" s="11" t="inlineStr">
        <is>
          <t>交通：県の避難地域広域公共交通計画(R5.4〜R10.3、R7.3一部改定)が対象。R8年度に最終評価・次期計画の方向性決定、R9年度に次期計画(R10.4〜)策定予定との県資料あり(https://www.pref.fukushima.lg.jp/sec/16005d/hinan-koutsuu-keikaku.html、関連 https://www.pref.fukushima.lg.jp/uploaded/attachment/756357.pdf)。町村単独の交通計画は未確認。環境：環境基本計画は検索で確認できず。代替として大熊町ゼロカーボンビジョン(R3.2策定、区域施策編に位置付け、R3〜R32、Ver.3 R5.3 https://www.town.okuma.fukushima.jp/uploaded/attachment/8103.pdf)、ゼロカーボン推進ロードマップあり(https://www.town.okuma.fukushima.jp/site/zerocarbon/24388.html)。</t>
        </is>
      </c>
      <c r="S57" s="15" t="inlineStr">
        <is>
          <t>調査済</t>
        </is>
      </c>
    </row>
    <row r="58">
      <c r="A58" s="11" t="n">
        <v>55</v>
      </c>
      <c r="B58" s="11" t="inlineStr">
        <is>
          <t>双葉町</t>
        </is>
      </c>
      <c r="C58" s="12">
        <f>IF(OR(D58="◎",E58="◎"),"◎ 営業",IF(OR(D58="△",E58="△"),"△ 着手済・要確認",IF(OR(D58="？",E58="？"),"？ 期間要確認","✕ 対象外")))</f>
        <v/>
      </c>
      <c r="D58" s="13">
        <f>IF(J58="計画なし","－",IF(J58="策定済","✕",IF(H58="","？",IF(AND(H58&gt;='集計・設定'!$C$4,H58&lt;='集計・設定'!$C$5),IF(J58="着手済","△","◎"),"✕"))))</f>
        <v/>
      </c>
      <c r="E58" s="13">
        <f>IF(P58="計画なし","－",IF(P58="策定済","✕",IF(N58="","？",IF(AND(N58&gt;='集計・設定'!$C$4,N58&lt;='集計・設定'!$C$5),IF(P58="着手済","△","◎"),"✕"))))</f>
        <v/>
      </c>
      <c r="F58" s="11" t="inlineStr">
        <is>
          <t>福島県避難地域広域公共交通計画（避難12市町村対象・県策定）</t>
        </is>
      </c>
      <c r="G58" s="11" t="inlineStr">
        <is>
          <t>R5〜R9</t>
        </is>
      </c>
      <c r="H58" s="13" t="n">
        <v>9</v>
      </c>
      <c r="I58" s="13" t="inlineStr">
        <is>
          <t>確認済</t>
        </is>
      </c>
      <c r="J58" s="13" t="inlineStr">
        <is>
          <t>着手済</t>
        </is>
      </c>
      <c r="K58" s="14" t="inlineStr">
        <is>
          <t>https://www.pref.fukushima.lg.jp/sec/16005d/hinan-koutsuu-keikaku.html</t>
        </is>
      </c>
      <c r="L58" s="11" t="n"/>
      <c r="M58" s="11" t="inlineStr">
        <is>
          <t>不明</t>
        </is>
      </c>
      <c r="N58" s="13" t="n"/>
      <c r="O58" s="13" t="inlineStr">
        <is>
          <t>不明</t>
        </is>
      </c>
      <c r="P58" s="13" t="inlineStr">
        <is>
          <t>未確認</t>
        </is>
      </c>
      <c r="Q58" s="11" t="n"/>
      <c r="R58" s="11" t="inlineStr">
        <is>
          <t>交通：県の避難地域広域公共交通計画(R5.4〜R10.3、R7.3一部改定)が対象。R8年度に最終評価・次期計画の方向性決定、R9年度に次期計画(R10.4〜)策定予定との県資料あり(https://www.pref.fukushima.lg.jp/sec/16005d/hinan-koutsuu-keikaku.html、関連 https://www.pref.fukushima.lg.jp/uploaded/attachment/756357.pdf)。町村単独の交通計画は未確認。環境：環境基本計画は検索で確認できず。双葉町再生可能エネルギー活用・推進計画(H28.3)あり(https://www.town.fukushima-futaba.lg.jp/secure/7318/201603_renewable-energy-promotion-plan.pdf)。</t>
        </is>
      </c>
      <c r="S58" s="17" t="inlineStr">
        <is>
          <t>交通のみ調査</t>
        </is>
      </c>
    </row>
    <row r="59">
      <c r="A59" s="11" t="n">
        <v>56</v>
      </c>
      <c r="B59" s="11" t="inlineStr">
        <is>
          <t>浪江町</t>
        </is>
      </c>
      <c r="C59" s="12">
        <f>IF(OR(D59="◎",E59="◎"),"◎ 営業",IF(OR(D59="△",E59="△"),"△ 着手済・要確認",IF(OR(D59="？",E59="？"),"？ 期間要確認","✕ 対象外")))</f>
        <v/>
      </c>
      <c r="D59" s="13">
        <f>IF(J59="計画なし","－",IF(J59="策定済","✕",IF(H59="","？",IF(AND(H59&gt;='集計・設定'!$C$4,H59&lt;='集計・設定'!$C$5),IF(J59="着手済","△","◎"),"✕"))))</f>
        <v/>
      </c>
      <c r="E59" s="13">
        <f>IF(P59="計画なし","－",IF(P59="策定済","✕",IF(N59="","？",IF(AND(N59&gt;='集計・設定'!$C$4,N59&lt;='集計・設定'!$C$5),IF(P59="着手済","△","◎"),"✕"))))</f>
        <v/>
      </c>
      <c r="F59" s="11" t="inlineStr">
        <is>
          <t>福島県避難地域広域公共交通計画（避難12市町村対象・県策定）</t>
        </is>
      </c>
      <c r="G59" s="11" t="inlineStr">
        <is>
          <t>R5〜R9</t>
        </is>
      </c>
      <c r="H59" s="13" t="n">
        <v>9</v>
      </c>
      <c r="I59" s="13" t="inlineStr">
        <is>
          <t>確認済</t>
        </is>
      </c>
      <c r="J59" s="13" t="inlineStr">
        <is>
          <t>着手済</t>
        </is>
      </c>
      <c r="K59" s="14" t="inlineStr">
        <is>
          <t>https://www.pref.fukushima.lg.jp/sec/16005d/hinan-koutsuu-keikaku.html</t>
        </is>
      </c>
      <c r="L59" s="11" t="n"/>
      <c r="M59" s="11" t="inlineStr">
        <is>
          <t>不明</t>
        </is>
      </c>
      <c r="N59" s="13" t="n"/>
      <c r="O59" s="13" t="inlineStr">
        <is>
          <t>不明</t>
        </is>
      </c>
      <c r="P59" s="13" t="inlineStr">
        <is>
          <t>計画なし</t>
        </is>
      </c>
      <c r="Q59" s="11" t="n"/>
      <c r="R59" s="11" t="inlineStr">
        <is>
          <t>交通：県の避難地域広域公共交通計画(R5.4〜R10.3、R7.3一部改定)が対象。R8年度に最終評価・次期計画の方向性決定、R9年度に次期計画(R10.4〜)策定予定との県資料あり(https://www.pref.fukushima.lg.jp/sec/16005d/hinan-koutsuu-keikaku.html、関連 https://www.pref.fukushima.lg.jp/uploaded/attachment/756357.pdf)。町村単独の交通計画は未確認。環境：環境基本計画は検索で確認できず（復興計画・里山再生等のみ）。</t>
        </is>
      </c>
      <c r="S59" s="15" t="inlineStr">
        <is>
          <t>調査済</t>
        </is>
      </c>
    </row>
    <row r="60">
      <c r="A60" s="11" t="n">
        <v>57</v>
      </c>
      <c r="B60" s="11" t="inlineStr">
        <is>
          <t>葛尾村</t>
        </is>
      </c>
      <c r="C60" s="12">
        <f>IF(OR(D60="◎",E60="◎"),"◎ 営業",IF(OR(D60="△",E60="△"),"△ 着手済・要確認",IF(OR(D60="？",E60="？"),"？ 期間要確認","✕ 対象外")))</f>
        <v/>
      </c>
      <c r="D60" s="13">
        <f>IF(J60="計画なし","－",IF(J60="策定済","✕",IF(H60="","？",IF(AND(H60&gt;='集計・設定'!$C$4,H60&lt;='集計・設定'!$C$5),IF(J60="着手済","△","◎"),"✕"))))</f>
        <v/>
      </c>
      <c r="E60" s="13">
        <f>IF(P60="計画なし","－",IF(P60="策定済","✕",IF(N60="","？",IF(AND(N60&gt;='集計・設定'!$C$4,N60&lt;='集計・設定'!$C$5),IF(P60="着手済","△","◎"),"✕"))))</f>
        <v/>
      </c>
      <c r="F60" s="11" t="inlineStr">
        <is>
          <t>福島県避難地域広域公共交通計画（避難12市町村対象・県策定）</t>
        </is>
      </c>
      <c r="G60" s="11" t="inlineStr">
        <is>
          <t>R5〜R9</t>
        </is>
      </c>
      <c r="H60" s="13" t="n">
        <v>9</v>
      </c>
      <c r="I60" s="13" t="inlineStr">
        <is>
          <t>確認済</t>
        </is>
      </c>
      <c r="J60" s="13" t="inlineStr">
        <is>
          <t>着手済</t>
        </is>
      </c>
      <c r="K60" s="14" t="inlineStr">
        <is>
          <t>https://www.pref.fukushima.lg.jp/sec/16005d/hinan-koutsuu-keikaku.html</t>
        </is>
      </c>
      <c r="L60" s="11" t="n"/>
      <c r="M60" s="11" t="inlineStr">
        <is>
          <t>不明</t>
        </is>
      </c>
      <c r="N60" s="13" t="n"/>
      <c r="O60" s="13" t="inlineStr">
        <is>
          <t>不明</t>
        </is>
      </c>
      <c r="P60" s="13" t="inlineStr">
        <is>
          <t>未確認</t>
        </is>
      </c>
      <c r="Q60" s="11" t="n"/>
      <c r="R60" s="11" t="inlineStr">
        <is>
          <t>交通：県の避難地域広域公共交通計画(R5.4〜R10.3、R7.3一部改定)が対象。R8年度に最終評価・次期計画の方向性決定、R9年度に次期計画(R10.4〜)策定予定との県資料あり(https://www.pref.fukushima.lg.jp/sec/16005d/hinan-koutsuu-keikaku.html、関連 https://www.pref.fukushima.lg.jp/uploaded/attachment/756357.pdf)。町村単独の交通計画は未確認。環境：環境基本計画は検索で確認できず(村HP計画一覧 https://www.katsurao.org/life/3/17/52/ 参照)。第五次葛尾村振興計画(2023)、スマートコミュニティ事業あり。</t>
        </is>
      </c>
      <c r="S60" s="17" t="inlineStr">
        <is>
          <t>交通のみ調査</t>
        </is>
      </c>
    </row>
    <row r="61">
      <c r="A61" s="11" t="n">
        <v>58</v>
      </c>
      <c r="B61" s="11" t="inlineStr">
        <is>
          <t>新地町</t>
        </is>
      </c>
      <c r="C61" s="12">
        <f>IF(OR(D61="◎",E61="◎"),"◎ 営業",IF(OR(D61="△",E61="△"),"△ 着手済・要確認",IF(OR(D61="？",E61="？"),"？ 期間要確認","✕ 対象外")))</f>
        <v/>
      </c>
      <c r="D61" s="13">
        <f>IF(J61="計画なし","－",IF(J61="策定済","✕",IF(H61="","？",IF(AND(H61&gt;='集計・設定'!$C$4,H61&lt;='集計・設定'!$C$5),IF(J61="着手済","△","◎"),"✕"))))</f>
        <v/>
      </c>
      <c r="E61" s="13">
        <f>IF(P61="計画なし","－",IF(P61="策定済","✕",IF(N61="","？",IF(AND(N61&gt;='集計・設定'!$C$4,N61&lt;='集計・設定'!$C$5),IF(P61="着手済","△","◎"),"✕"))))</f>
        <v/>
      </c>
      <c r="F61" s="11" t="inlineStr">
        <is>
          <t>福島県地域公共交通計画（県全域）</t>
        </is>
      </c>
      <c r="G61" s="11" t="inlineStr">
        <is>
          <t>R6〜R12</t>
        </is>
      </c>
      <c r="H61" s="13" t="n">
        <v>12</v>
      </c>
      <c r="I61" s="13" t="inlineStr">
        <is>
          <t>確認済</t>
        </is>
      </c>
      <c r="J61" s="13" t="inlineStr">
        <is>
          <t>未確認</t>
        </is>
      </c>
      <c r="K61" s="14" t="inlineStr">
        <is>
          <t>https://www.pref.fukushima.lg.jp/sec/16005d/chiikikoukyoukasseikakyougikai.html</t>
        </is>
      </c>
      <c r="L61" s="11" t="n"/>
      <c r="M61" s="11" t="inlineStr">
        <is>
          <t>不明</t>
        </is>
      </c>
      <c r="N61" s="13" t="n"/>
      <c r="O61" s="13" t="inlineStr">
        <is>
          <t>不明</t>
        </is>
      </c>
      <c r="P61" s="13" t="inlineStr">
        <is>
          <t>未確認</t>
        </is>
      </c>
      <c r="Q61" s="11" t="n"/>
      <c r="R61" s="11" t="inlineStr">
        <is>
          <t>交通：町単独の地域公共交通計画は検索で確認できず、県全域の福島県地域公共交通計画(R6〜R12)が該当。環境：環境基本計画は検索で確認できず。新地町環境未来都市計画(H24.5策定、R7.1・R7.7・R8.7改定、https://future-city.go.jp/pdf/torikumi_city/shinchi_plan.pdf)、地球温暖化対策実行計画(事務事業編)(https://www.shinchi-town.jp/uploaded/attachment/7983.pdf)あり。</t>
        </is>
      </c>
      <c r="S61" s="17" t="inlineStr">
        <is>
          <t>交通のみ調査</t>
        </is>
      </c>
    </row>
    <row r="62">
      <c r="A62" s="11" t="n">
        <v>59</v>
      </c>
      <c r="B62" s="11" t="inlineStr">
        <is>
          <t>飯舘村</t>
        </is>
      </c>
      <c r="C62" s="12">
        <f>IF(OR(D62="◎",E62="◎"),"◎ 営業",IF(OR(D62="△",E62="△"),"△ 着手済・要確認",IF(OR(D62="？",E62="？"),"？ 期間要確認","✕ 対象外")))</f>
        <v/>
      </c>
      <c r="D62" s="13">
        <f>IF(J62="計画なし","－",IF(J62="策定済","✕",IF(H62="","？",IF(AND(H62&gt;='集計・設定'!$C$4,H62&lt;='集計・設定'!$C$5),IF(J62="着手済","△","◎"),"✕"))))</f>
        <v/>
      </c>
      <c r="E62" s="13">
        <f>IF(P62="計画なし","－",IF(P62="策定済","✕",IF(N62="","？",IF(AND(N62&gt;='集計・設定'!$C$4,N62&lt;='集計・設定'!$C$5),IF(P62="着手済","△","◎"),"✕"))))</f>
        <v/>
      </c>
      <c r="F62" s="11" t="inlineStr">
        <is>
          <t>福島県避難地域広域公共交通計画（避難12市町村対象・県策定）</t>
        </is>
      </c>
      <c r="G62" s="11" t="inlineStr">
        <is>
          <t>R5〜R9</t>
        </is>
      </c>
      <c r="H62" s="13" t="n">
        <v>9</v>
      </c>
      <c r="I62" s="13" t="inlineStr">
        <is>
          <t>確認済</t>
        </is>
      </c>
      <c r="J62" s="13" t="inlineStr">
        <is>
          <t>着手済</t>
        </is>
      </c>
      <c r="K62" s="14" t="inlineStr">
        <is>
          <t>https://www.pref.fukushima.lg.jp/sec/16005d/hinan-koutsuu-keikaku.html</t>
        </is>
      </c>
      <c r="L62" s="11" t="n"/>
      <c r="M62" s="11" t="inlineStr">
        <is>
          <t>不明</t>
        </is>
      </c>
      <c r="N62" s="13" t="n"/>
      <c r="O62" s="13" t="inlineStr">
        <is>
          <t>不明</t>
        </is>
      </c>
      <c r="P62" s="13" t="inlineStr">
        <is>
          <t>計画なし</t>
        </is>
      </c>
      <c r="Q62" s="11" t="n"/>
      <c r="R62" s="11" t="inlineStr">
        <is>
          <t>交通：県の避難地域広域公共交通計画(R5.4〜R10.3、R7.3一部改定)が対象。R8年度に最終評価・次期計画の方向性決定、R9年度に次期計画(R10.4〜)策定予定との県資料あり(https://www.pref.fukushima.lg.jp/sec/16005d/hinan-koutsuu-keikaku.html、関連 https://www.pref.fukushima.lg.jp/uploaded/attachment/756357.pdf)。町村単独の交通計画は未確認。環境：環境基本計画は検索で確認できず。代替としてゼロカーボンビレッジいいたて実行計画(R6.3策定、区域施策編目標年2030)(https://www.vill.iitate.fukushima.jp/life/5/20/126/)、同事務事業編(R7〜R12)あり。</t>
        </is>
      </c>
      <c r="S62" s="15" t="inlineStr">
        <is>
          <t>調査済</t>
        </is>
      </c>
    </row>
  </sheetData>
  <autoFilter ref="A3:S62"/>
  <conditionalFormatting sqref="A4:S62">
    <cfRule type="expression" priority="1" dxfId="0">
      <formula>LEFT($C4,1)="◎"</formula>
    </cfRule>
    <cfRule type="expression" priority="2" dxfId="1">
      <formula>LEFT($C4,1)="△"</formula>
    </cfRule>
    <cfRule type="expression" priority="3" dxfId="2">
      <formula>LEFT($C4,1)="？"</formula>
    </cfRule>
    <cfRule type="expression" priority="4" dxfId="3">
      <formula>LEFT($C4,1)="✕"</formula>
    </cfRule>
  </conditionalFormatting>
  <dataValidations count="1">
    <dataValidation sqref="J4:J62 P4:P62" showDropDown="0" showInputMessage="0" showErrorMessage="0" allowBlank="1" type="list">
      <formula1>"未確認,着手済,策定済,計画なし"</formula1>
    </dataValidation>
  </dataValidations>
  <hyperlinks>
    <hyperlink xmlns:r="http://schemas.openxmlformats.org/officeDocument/2006/relationships" ref="K4" r:id="rId1"/>
    <hyperlink xmlns:r="http://schemas.openxmlformats.org/officeDocument/2006/relationships" ref="Q4" r:id="rId2"/>
    <hyperlink xmlns:r="http://schemas.openxmlformats.org/officeDocument/2006/relationships" ref="K5" r:id="rId3"/>
    <hyperlink xmlns:r="http://schemas.openxmlformats.org/officeDocument/2006/relationships" ref="Q5" r:id="rId4"/>
    <hyperlink xmlns:r="http://schemas.openxmlformats.org/officeDocument/2006/relationships" ref="K6" r:id="rId5"/>
    <hyperlink xmlns:r="http://schemas.openxmlformats.org/officeDocument/2006/relationships" ref="Q6" r:id="rId6"/>
    <hyperlink xmlns:r="http://schemas.openxmlformats.org/officeDocument/2006/relationships" ref="K10" r:id="rId7"/>
    <hyperlink xmlns:r="http://schemas.openxmlformats.org/officeDocument/2006/relationships" ref="K16" r:id="rId8"/>
    <hyperlink xmlns:r="http://schemas.openxmlformats.org/officeDocument/2006/relationships" ref="K20" r:id="rId9"/>
    <hyperlink xmlns:r="http://schemas.openxmlformats.org/officeDocument/2006/relationships" ref="K26" r:id="rId10"/>
    <hyperlink xmlns:r="http://schemas.openxmlformats.org/officeDocument/2006/relationships" ref="Q26" r:id="rId11"/>
    <hyperlink xmlns:r="http://schemas.openxmlformats.org/officeDocument/2006/relationships" ref="K31" r:id="rId12"/>
    <hyperlink xmlns:r="http://schemas.openxmlformats.org/officeDocument/2006/relationships" ref="K32" r:id="rId13"/>
    <hyperlink xmlns:r="http://schemas.openxmlformats.org/officeDocument/2006/relationships" ref="K33" r:id="rId14"/>
    <hyperlink xmlns:r="http://schemas.openxmlformats.org/officeDocument/2006/relationships" ref="K37" r:id="rId15"/>
    <hyperlink xmlns:r="http://schemas.openxmlformats.org/officeDocument/2006/relationships" ref="K38" r:id="rId16"/>
    <hyperlink xmlns:r="http://schemas.openxmlformats.org/officeDocument/2006/relationships" ref="Q38" r:id="rId17"/>
    <hyperlink xmlns:r="http://schemas.openxmlformats.org/officeDocument/2006/relationships" ref="K39" r:id="rId18"/>
    <hyperlink xmlns:r="http://schemas.openxmlformats.org/officeDocument/2006/relationships" ref="K40" r:id="rId19"/>
    <hyperlink xmlns:r="http://schemas.openxmlformats.org/officeDocument/2006/relationships" ref="K41" r:id="rId20"/>
    <hyperlink xmlns:r="http://schemas.openxmlformats.org/officeDocument/2006/relationships" ref="K42" r:id="rId21"/>
    <hyperlink xmlns:r="http://schemas.openxmlformats.org/officeDocument/2006/relationships" ref="Q42" r:id="rId22"/>
    <hyperlink xmlns:r="http://schemas.openxmlformats.org/officeDocument/2006/relationships" ref="K43" r:id="rId23"/>
    <hyperlink xmlns:r="http://schemas.openxmlformats.org/officeDocument/2006/relationships" ref="K44" r:id="rId24"/>
    <hyperlink xmlns:r="http://schemas.openxmlformats.org/officeDocument/2006/relationships" ref="K45" r:id="rId25"/>
    <hyperlink xmlns:r="http://schemas.openxmlformats.org/officeDocument/2006/relationships" ref="K46" r:id="rId26"/>
    <hyperlink xmlns:r="http://schemas.openxmlformats.org/officeDocument/2006/relationships" ref="K47" r:id="rId27"/>
    <hyperlink xmlns:r="http://schemas.openxmlformats.org/officeDocument/2006/relationships" ref="K48" r:id="rId28"/>
    <hyperlink xmlns:r="http://schemas.openxmlformats.org/officeDocument/2006/relationships" ref="K49" r:id="rId29"/>
    <hyperlink xmlns:r="http://schemas.openxmlformats.org/officeDocument/2006/relationships" ref="K50" r:id="rId30"/>
    <hyperlink xmlns:r="http://schemas.openxmlformats.org/officeDocument/2006/relationships" ref="K51" r:id="rId31"/>
    <hyperlink xmlns:r="http://schemas.openxmlformats.org/officeDocument/2006/relationships" ref="K52" r:id="rId32"/>
    <hyperlink xmlns:r="http://schemas.openxmlformats.org/officeDocument/2006/relationships" ref="K53" r:id="rId33"/>
    <hyperlink xmlns:r="http://schemas.openxmlformats.org/officeDocument/2006/relationships" ref="Q53" r:id="rId34"/>
    <hyperlink xmlns:r="http://schemas.openxmlformats.org/officeDocument/2006/relationships" ref="K54" r:id="rId35"/>
    <hyperlink xmlns:r="http://schemas.openxmlformats.org/officeDocument/2006/relationships" ref="K55" r:id="rId36"/>
    <hyperlink xmlns:r="http://schemas.openxmlformats.org/officeDocument/2006/relationships" ref="K56" r:id="rId37"/>
    <hyperlink xmlns:r="http://schemas.openxmlformats.org/officeDocument/2006/relationships" ref="K57" r:id="rId38"/>
    <hyperlink xmlns:r="http://schemas.openxmlformats.org/officeDocument/2006/relationships" ref="K58" r:id="rId39"/>
    <hyperlink xmlns:r="http://schemas.openxmlformats.org/officeDocument/2006/relationships" ref="K59" r:id="rId40"/>
    <hyperlink xmlns:r="http://schemas.openxmlformats.org/officeDocument/2006/relationships" ref="K60" r:id="rId41"/>
    <hyperlink xmlns:r="http://schemas.openxmlformats.org/officeDocument/2006/relationships" ref="K61" r:id="rId42"/>
    <hyperlink xmlns:r="http://schemas.openxmlformats.org/officeDocument/2006/relationships" ref="K62" r:id="rId43"/>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S43"/>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5" customWidth="1" min="1" max="1"/>
    <col width="12" customWidth="1" min="2" max="2"/>
    <col width="16" customWidth="1" min="3" max="3"/>
    <col width="7" customWidth="1" min="4" max="4"/>
    <col width="7" customWidth="1" min="5" max="5"/>
    <col width="30" customWidth="1" min="6" max="6"/>
    <col width="15" customWidth="1" min="7" max="7"/>
    <col width="9" customWidth="1" min="8" max="8"/>
    <col width="8" customWidth="1" min="9" max="9"/>
    <col width="9" customWidth="1" min="10" max="10"/>
    <col width="34" customWidth="1" min="11" max="11"/>
    <col width="30" customWidth="1" min="12" max="12"/>
    <col width="15" customWidth="1" min="13" max="13"/>
    <col width="9" customWidth="1" min="14" max="14"/>
    <col width="8" customWidth="1" min="15" max="15"/>
    <col width="9" customWidth="1" min="16" max="16"/>
    <col width="34" customWidth="1" min="17" max="17"/>
    <col width="55" customWidth="1" min="18" max="18"/>
    <col width="14" customWidth="1" min="19" max="19"/>
  </cols>
  <sheetData>
    <row r="1">
      <c r="A1" s="1" t="inlineStr">
        <is>
          <t>青森県　地域公共交通計画・環境基本計画の終期一覧（2026年9月30日時点の調査）</t>
        </is>
      </c>
    </row>
    <row r="2">
      <c r="A2" s="9" t="inlineStr">
        <is>
          <t>営業判定：どちらかの計画の終期が対象年度（「集計・設定」シートで設定、初期値はR9のみ）→◎。次期計画に着手済→△。期間不明→？。</t>
        </is>
      </c>
    </row>
    <row r="3" ht="32" customHeight="1">
      <c r="A3" s="10" t="inlineStr">
        <is>
          <t>No</t>
        </is>
      </c>
      <c r="B3" s="10" t="inlineStr">
        <is>
          <t>市町村</t>
        </is>
      </c>
      <c r="C3" s="10" t="inlineStr">
        <is>
          <t>営業判定</t>
        </is>
      </c>
      <c r="D3" s="10" t="inlineStr">
        <is>
          <t>交通判定</t>
        </is>
      </c>
      <c r="E3" s="10" t="inlineStr">
        <is>
          <t>環境判定</t>
        </is>
      </c>
      <c r="F3" s="10" t="inlineStr">
        <is>
          <t>地域公共交通計画</t>
        </is>
      </c>
      <c r="G3" s="10" t="inlineStr">
        <is>
          <t>交通 計画期間</t>
        </is>
      </c>
      <c r="H3" s="10" t="inlineStr">
        <is>
          <t>交通 終期(令和年度)</t>
        </is>
      </c>
      <c r="I3" s="10" t="inlineStr">
        <is>
          <t>交通 確度</t>
        </is>
      </c>
      <c r="J3" s="10" t="inlineStr">
        <is>
          <t>交通 改定状況</t>
        </is>
      </c>
      <c r="K3" s="10" t="inlineStr">
        <is>
          <t>交通 計画リンク（エビデンス）</t>
        </is>
      </c>
      <c r="L3" s="10" t="inlineStr">
        <is>
          <t>環境基本計画</t>
        </is>
      </c>
      <c r="M3" s="10" t="inlineStr">
        <is>
          <t>環境 計画期間</t>
        </is>
      </c>
      <c r="N3" s="10" t="inlineStr">
        <is>
          <t>環境 終期(令和年度)</t>
        </is>
      </c>
      <c r="O3" s="10" t="inlineStr">
        <is>
          <t>環境 確度</t>
        </is>
      </c>
      <c r="P3" s="10" t="inlineStr">
        <is>
          <t>環境 改定状況</t>
        </is>
      </c>
      <c r="Q3" s="10" t="inlineStr">
        <is>
          <t>環境 計画リンク（エビデンス）</t>
        </is>
      </c>
      <c r="R3" s="10" t="inlineStr">
        <is>
          <t>注釈（改定作業の状況など）</t>
        </is>
      </c>
      <c r="S3" s="10" t="inlineStr">
        <is>
          <t>調査状況</t>
        </is>
      </c>
    </row>
    <row r="4">
      <c r="A4" s="11" t="n">
        <v>1</v>
      </c>
      <c r="B4" s="11" t="inlineStr">
        <is>
          <t>青森市</t>
        </is>
      </c>
      <c r="C4" s="12">
        <f>IF(OR(D4="◎",E4="◎"),"◎ 営業",IF(OR(D4="△",E4="△"),"△ 着手済・要確認",IF(OR(D4="？",E4="？"),"？ 期間要確認","✕ 対象外")))</f>
        <v/>
      </c>
      <c r="D4" s="13">
        <f>IF(J4="計画なし","－",IF(J4="策定済","✕",IF(H4="","？",IF(AND(H4&gt;='集計・設定'!$C$4,H4&lt;='集計・設定'!$C$5),IF(J4="着手済","△","◎"),"✕"))))</f>
        <v/>
      </c>
      <c r="E4" s="13">
        <f>IF(P4="計画なし","－",IF(P4="策定済","✕",IF(N4="","？",IF(AND(N4&gt;='集計・設定'!$C$4,N4&lt;='集計・設定'!$C$5),IF(P4="着手済","△","◎"),"✕"))))</f>
        <v/>
      </c>
      <c r="F4" s="11" t="inlineStr">
        <is>
          <t>青森市地域公共交通計画</t>
        </is>
      </c>
      <c r="G4" s="11" t="inlineStr">
        <is>
          <t>R6〜R10</t>
        </is>
      </c>
      <c r="H4" s="13" t="n">
        <v>10</v>
      </c>
      <c r="I4" s="13" t="inlineStr">
        <is>
          <t>確認済</t>
        </is>
      </c>
      <c r="J4" s="13" t="inlineStr">
        <is>
          <t>未確認</t>
        </is>
      </c>
      <c r="K4" s="14" t="inlineStr">
        <is>
          <t>https://www.city.aomori.aomori.jp/somu/shiseijouhou/jyouhou-koukai/tyougi/documents/tiikikoutuumoukeikaku.pdf</t>
        </is>
      </c>
      <c r="L4" s="11" t="inlineStr">
        <is>
          <t>青森市環境基本計画（令和7年12月制定の青森市環境基本条例第8条に基づき策定中）</t>
        </is>
      </c>
      <c r="M4" s="11" t="inlineStr">
        <is>
          <t>R8〜R10</t>
        </is>
      </c>
      <c r="N4" s="13" t="n">
        <v>10</v>
      </c>
      <c r="O4" s="13" t="inlineStr">
        <is>
          <t>確認済</t>
        </is>
      </c>
      <c r="P4" s="13" t="inlineStr">
        <is>
          <t>着手済</t>
        </is>
      </c>
      <c r="Q4" s="14" t="inlineStr">
        <is>
          <t>https://www.city.aomori.aomori.jp/_res/projects/default_project/_page_/001/011/090/05_080722siryou3.pdf</t>
        </is>
      </c>
      <c r="R4" s="11" t="inlineStr">
        <is>
          <t>環境基本計画は新条例（R7.12）に基づく新規策定中。R8.7.22環境審議会資料によるとR8.10素案審議→R8.12パブコメ→R9.2計画案審議→策定予定（期間は総合計画前期基本計画終期に合わせR10まで）。関連: https://www.city.aomori.aomori.jp/_res/projects/default_project/_page_/001/009/192/080220anken1.pdf 。交通計画URLは市の審議会資料PDF（計画本体ページは未確認）。</t>
        </is>
      </c>
      <c r="S4" s="15" t="inlineStr">
        <is>
          <t>調査済</t>
        </is>
      </c>
    </row>
    <row r="5">
      <c r="A5" s="11" t="n">
        <v>2</v>
      </c>
      <c r="B5" s="11" t="inlineStr">
        <is>
          <t>弘前市</t>
        </is>
      </c>
      <c r="C5" s="12">
        <f>IF(OR(D5="◎",E5="◎"),"◎ 営業",IF(OR(D5="△",E5="△"),"△ 着手済・要確認",IF(OR(D5="？",E5="？"),"？ 期間要確認","✕ 対象外")))</f>
        <v/>
      </c>
      <c r="D5" s="13">
        <f>IF(J5="計画なし","－",IF(J5="策定済","✕",IF(H5="","？",IF(AND(H5&gt;='集計・設定'!$C$4,H5&lt;='集計・設定'!$C$5),IF(J5="着手済","△","◎"),"✕"))))</f>
        <v/>
      </c>
      <c r="E5" s="13">
        <f>IF(P5="計画なし","－",IF(P5="策定済","✕",IF(N5="","？",IF(AND(N5&gt;='集計・設定'!$C$4,N5&lt;='集計・設定'!$C$5),IF(P5="着手済","△","◎"),"✕"))))</f>
        <v/>
      </c>
      <c r="F5" s="11" t="inlineStr">
        <is>
          <t>弘前市地域公共交通計画</t>
        </is>
      </c>
      <c r="G5" s="11" t="inlineStr">
        <is>
          <t>R6〜R10</t>
        </is>
      </c>
      <c r="H5" s="13" t="n">
        <v>10</v>
      </c>
      <c r="I5" s="13" t="inlineStr">
        <is>
          <t>確認済</t>
        </is>
      </c>
      <c r="J5" s="13" t="inlineStr">
        <is>
          <t>未確認</t>
        </is>
      </c>
      <c r="K5" s="14" t="inlineStr">
        <is>
          <t>https://www.city.hirosaki.aomori.jp/jouhou/keikaku/kokyokotu/kotsukeikaku.pdf</t>
        </is>
      </c>
      <c r="L5" s="11" t="inlineStr">
        <is>
          <t>第3次弘前市環境基本計画</t>
        </is>
      </c>
      <c r="M5" s="11" t="inlineStr">
        <is>
          <t>R3〜R12</t>
        </is>
      </c>
      <c r="N5" s="16" t="n">
        <v>12</v>
      </c>
      <c r="O5" s="13" t="inlineStr">
        <is>
          <t>推定</t>
        </is>
      </c>
      <c r="P5" s="13" t="inlineStr">
        <is>
          <t>未確認</t>
        </is>
      </c>
      <c r="Q5" s="14" t="inlineStr">
        <is>
          <t>https://www.city.hirosaki.aomori.jp/jouhou/keikaku/2021-0401-kankyoukihon.html</t>
        </is>
      </c>
      <c r="R5" s="11" t="inlineStr">
        <is>
          <t>交通計画はR6.3策定・5年計画（R5年度策定業務で作成）。環境基本計画はR3.3策定（期間は10年と推定、本文未確認）。次期計画作業は未確認。</t>
        </is>
      </c>
      <c r="S5" s="15" t="inlineStr">
        <is>
          <t>調査済</t>
        </is>
      </c>
    </row>
    <row r="6">
      <c r="A6" s="11" t="n">
        <v>3</v>
      </c>
      <c r="B6" s="11" t="inlineStr">
        <is>
          <t>八戸市</t>
        </is>
      </c>
      <c r="C6" s="12">
        <f>IF(OR(D6="◎",E6="◎"),"◎ 営業",IF(OR(D6="△",E6="△"),"△ 着手済・要確認",IF(OR(D6="？",E6="？"),"？ 期間要確認","✕ 対象外")))</f>
        <v/>
      </c>
      <c r="D6" s="13">
        <f>IF(J6="計画なし","－",IF(J6="策定済","✕",IF(H6="","？",IF(AND(H6&gt;='集計・設定'!$C$4,H6&lt;='集計・設定'!$C$5),IF(J6="着手済","△","◎"),"✕"))))</f>
        <v/>
      </c>
      <c r="E6" s="13">
        <f>IF(P6="計画なし","－",IF(P6="策定済","✕",IF(N6="","？",IF(AND(N6&gt;='集計・設定'!$C$4,N6&lt;='集計・設定'!$C$5),IF(P6="着手済","△","◎"),"✕"))))</f>
        <v/>
      </c>
      <c r="F6" s="11" t="inlineStr">
        <is>
          <t>八戸圏域地域公共交通計画（広域）</t>
        </is>
      </c>
      <c r="G6" s="11" t="inlineStr">
        <is>
          <t>R5〜R10</t>
        </is>
      </c>
      <c r="H6" s="13" t="n">
        <v>10</v>
      </c>
      <c r="I6" s="13" t="inlineStr">
        <is>
          <t>確認済</t>
        </is>
      </c>
      <c r="J6" s="13" t="inlineStr">
        <is>
          <t>未確認</t>
        </is>
      </c>
      <c r="K6" s="14" t="inlineStr">
        <is>
          <t>https://wwwtb.mlit.go.jp/tohoku/content/000181287.pdf</t>
        </is>
      </c>
      <c r="L6" s="11" t="inlineStr">
        <is>
          <t>第3次八戸市環境基本計画</t>
        </is>
      </c>
      <c r="M6" s="11" t="inlineStr">
        <is>
          <t>R5〜R14</t>
        </is>
      </c>
      <c r="N6" s="16" t="n">
        <v>14</v>
      </c>
      <c r="O6" s="13" t="inlineStr">
        <is>
          <t>推定</t>
        </is>
      </c>
      <c r="P6" s="13" t="inlineStr">
        <is>
          <t>未確認</t>
        </is>
      </c>
      <c r="Q6" s="14" t="inlineStr">
        <is>
          <t>https://www.city.hachinohe.aomori.jp/gyoseijoho/keikaku_plan/kurashi_tetsuzuki/1/1/7959.html</t>
        </is>
      </c>
      <c r="R6" s="11" t="inlineStr">
        <is>
          <t>交通計画はR5.3策定の圏域計画（URLは東北運輸局資料、市の計画ページは未取得）。環境基本計画は第2次がH25〜R4のため第3次はR5開始・10年と推定。年次報告: https://www.city.hachinohe.aomori.jp/material/files/group/49/R7hatinohenokannkyou.pdf</t>
        </is>
      </c>
      <c r="S6" s="15" t="inlineStr">
        <is>
          <t>調査済</t>
        </is>
      </c>
    </row>
    <row r="7">
      <c r="A7" s="11" t="n">
        <v>4</v>
      </c>
      <c r="B7" s="11" t="inlineStr">
        <is>
          <t>黒石市</t>
        </is>
      </c>
      <c r="C7" s="12">
        <f>IF(OR(D7="◎",E7="◎"),"◎ 営業",IF(OR(D7="△",E7="△"),"△ 着手済・要確認",IF(OR(D7="？",E7="？"),"？ 期間要確認","✕ 対象外")))</f>
        <v/>
      </c>
      <c r="D7" s="13">
        <f>IF(J7="計画なし","－",IF(J7="策定済","✕",IF(H7="","？",IF(AND(H7&gt;='集計・設定'!$C$4,H7&lt;='集計・設定'!$C$5),IF(J7="着手済","△","◎"),"✕"))))</f>
        <v/>
      </c>
      <c r="E7" s="13">
        <f>IF(P7="計画なし","－",IF(P7="策定済","✕",IF(N7="","？",IF(AND(N7&gt;='集計・設定'!$C$4,N7&lt;='集計・設定'!$C$5),IF(P7="着手済","△","◎"),"✕"))))</f>
        <v/>
      </c>
      <c r="F7" s="11" t="n"/>
      <c r="G7" s="11" t="inlineStr">
        <is>
          <t>不明</t>
        </is>
      </c>
      <c r="H7" s="13" t="n"/>
      <c r="I7" s="13" t="inlineStr">
        <is>
          <t>不明</t>
        </is>
      </c>
      <c r="J7" s="13" t="inlineStr">
        <is>
          <t>未確認</t>
        </is>
      </c>
      <c r="K7" s="11" t="n"/>
      <c r="L7" s="11" t="n"/>
      <c r="M7" s="11" t="inlineStr">
        <is>
          <t>不明</t>
        </is>
      </c>
      <c r="N7" s="13" t="n"/>
      <c r="O7" s="13" t="inlineStr">
        <is>
          <t>不明</t>
        </is>
      </c>
      <c r="P7" s="13" t="inlineStr">
        <is>
          <t>未確認</t>
        </is>
      </c>
      <c r="Q7" s="11" t="n"/>
      <c r="R7" s="11" t="inlineStr">
        <is>
          <t>WebSearchの利用上限（セッション200回）に達したため未調査。要再調査。 市の計画一覧: https://www.city.kuroishi.aomori.jp/shisei/keikaku/</t>
        </is>
      </c>
      <c r="S7" s="17" t="inlineStr">
        <is>
          <t>未調査</t>
        </is>
      </c>
    </row>
    <row r="8">
      <c r="A8" s="11" t="n">
        <v>5</v>
      </c>
      <c r="B8" s="11" t="inlineStr">
        <is>
          <t>五所川原市</t>
        </is>
      </c>
      <c r="C8" s="12">
        <f>IF(OR(D8="◎",E8="◎"),"◎ 営業",IF(OR(D8="△",E8="△"),"△ 着手済・要確認",IF(OR(D8="？",E8="？"),"？ 期間要確認","✕ 対象外")))</f>
        <v/>
      </c>
      <c r="D8" s="13">
        <f>IF(J8="計画なし","－",IF(J8="策定済","✕",IF(H8="","？",IF(AND(H8&gt;='集計・設定'!$C$4,H8&lt;='集計・設定'!$C$5),IF(J8="着手済","△","◎"),"✕"))))</f>
        <v/>
      </c>
      <c r="E8" s="13">
        <f>IF(P8="計画なし","－",IF(P8="策定済","✕",IF(N8="","？",IF(AND(N8&gt;='集計・設定'!$C$4,N8&lt;='集計・設定'!$C$5),IF(P8="着手済","△","◎"),"✕"))))</f>
        <v/>
      </c>
      <c r="F8" s="11" t="n"/>
      <c r="G8" s="11" t="inlineStr">
        <is>
          <t>不明</t>
        </is>
      </c>
      <c r="H8" s="13" t="n"/>
      <c r="I8" s="13" t="inlineStr">
        <is>
          <t>不明</t>
        </is>
      </c>
      <c r="J8" s="13" t="inlineStr">
        <is>
          <t>未確認</t>
        </is>
      </c>
      <c r="K8" s="11" t="n"/>
      <c r="L8" s="11" t="n"/>
      <c r="M8" s="11" t="inlineStr">
        <is>
          <t>不明</t>
        </is>
      </c>
      <c r="N8" s="13" t="n"/>
      <c r="O8" s="13" t="inlineStr">
        <is>
          <t>不明</t>
        </is>
      </c>
      <c r="P8" s="13" t="inlineStr">
        <is>
          <t>未確認</t>
        </is>
      </c>
      <c r="Q8" s="11" t="n"/>
      <c r="R8" s="11" t="inlineStr">
        <is>
          <t>WebSearchの利用上限（セッション200回）に達したため未調査。要再調査。</t>
        </is>
      </c>
      <c r="S8" s="17" t="inlineStr">
        <is>
          <t>未調査</t>
        </is>
      </c>
    </row>
    <row r="9">
      <c r="A9" s="11" t="n">
        <v>6</v>
      </c>
      <c r="B9" s="11" t="inlineStr">
        <is>
          <t>十和田市</t>
        </is>
      </c>
      <c r="C9" s="12">
        <f>IF(OR(D9="◎",E9="◎"),"◎ 営業",IF(OR(D9="△",E9="△"),"△ 着手済・要確認",IF(OR(D9="？",E9="？"),"？ 期間要確認","✕ 対象外")))</f>
        <v/>
      </c>
      <c r="D9" s="13">
        <f>IF(J9="計画なし","－",IF(J9="策定済","✕",IF(H9="","？",IF(AND(H9&gt;='集計・設定'!$C$4,H9&lt;='集計・設定'!$C$5),IF(J9="着手済","△","◎"),"✕"))))</f>
        <v/>
      </c>
      <c r="E9" s="13">
        <f>IF(P9="計画なし","－",IF(P9="策定済","✕",IF(N9="","？",IF(AND(N9&gt;='集計・設定'!$C$4,N9&lt;='集計・設定'!$C$5),IF(P9="着手済","△","◎"),"✕"))))</f>
        <v/>
      </c>
      <c r="F9" s="11" t="n"/>
      <c r="G9" s="11" t="inlineStr">
        <is>
          <t>不明</t>
        </is>
      </c>
      <c r="H9" s="13" t="n"/>
      <c r="I9" s="13" t="inlineStr">
        <is>
          <t>不明</t>
        </is>
      </c>
      <c r="J9" s="13" t="inlineStr">
        <is>
          <t>未確認</t>
        </is>
      </c>
      <c r="K9" s="11" t="n"/>
      <c r="L9" s="11" t="n"/>
      <c r="M9" s="11" t="inlineStr">
        <is>
          <t>不明</t>
        </is>
      </c>
      <c r="N9" s="13" t="n"/>
      <c r="O9" s="13" t="inlineStr">
        <is>
          <t>不明</t>
        </is>
      </c>
      <c r="P9" s="13" t="inlineStr">
        <is>
          <t>未確認</t>
        </is>
      </c>
      <c r="Q9" s="11" t="n"/>
      <c r="R9" s="11" t="inlineStr">
        <is>
          <t>WebSearchの利用上限（セッション200回）に達したため未調査。要再調査。</t>
        </is>
      </c>
      <c r="S9" s="17" t="inlineStr">
        <is>
          <t>未調査</t>
        </is>
      </c>
    </row>
    <row r="10">
      <c r="A10" s="11" t="n">
        <v>7</v>
      </c>
      <c r="B10" s="11" t="inlineStr">
        <is>
          <t>三沢市</t>
        </is>
      </c>
      <c r="C10" s="12">
        <f>IF(OR(D10="◎",E10="◎"),"◎ 営業",IF(OR(D10="△",E10="△"),"△ 着手済・要確認",IF(OR(D10="？",E10="？"),"？ 期間要確認","✕ 対象外")))</f>
        <v/>
      </c>
      <c r="D10" s="13">
        <f>IF(J10="計画なし","－",IF(J10="策定済","✕",IF(H10="","？",IF(AND(H10&gt;='集計・設定'!$C$4,H10&lt;='集計・設定'!$C$5),IF(J10="着手済","△","◎"),"✕"))))</f>
        <v/>
      </c>
      <c r="E10" s="13">
        <f>IF(P10="計画なし","－",IF(P10="策定済","✕",IF(N10="","？",IF(AND(N10&gt;='集計・設定'!$C$4,N10&lt;='集計・設定'!$C$5),IF(P10="着手済","△","◎"),"✕"))))</f>
        <v/>
      </c>
      <c r="F10" s="11" t="n"/>
      <c r="G10" s="11" t="inlineStr">
        <is>
          <t>不明</t>
        </is>
      </c>
      <c r="H10" s="13" t="n"/>
      <c r="I10" s="13" t="inlineStr">
        <is>
          <t>不明</t>
        </is>
      </c>
      <c r="J10" s="13" t="inlineStr">
        <is>
          <t>未確認</t>
        </is>
      </c>
      <c r="K10" s="11" t="n"/>
      <c r="L10" s="11" t="n"/>
      <c r="M10" s="11" t="inlineStr">
        <is>
          <t>不明</t>
        </is>
      </c>
      <c r="N10" s="13" t="n"/>
      <c r="O10" s="13" t="inlineStr">
        <is>
          <t>不明</t>
        </is>
      </c>
      <c r="P10" s="13" t="inlineStr">
        <is>
          <t>未確認</t>
        </is>
      </c>
      <c r="Q10" s="11" t="n"/>
      <c r="R10" s="11" t="inlineStr">
        <is>
          <t>WebSearchの利用上限（セッション200回）に達したため未調査。要再調査。</t>
        </is>
      </c>
      <c r="S10" s="17" t="inlineStr">
        <is>
          <t>未調査</t>
        </is>
      </c>
    </row>
    <row r="11">
      <c r="A11" s="11" t="n">
        <v>8</v>
      </c>
      <c r="B11" s="11" t="inlineStr">
        <is>
          <t>むつ市</t>
        </is>
      </c>
      <c r="C11" s="12">
        <f>IF(OR(D11="◎",E11="◎"),"◎ 営業",IF(OR(D11="△",E11="△"),"△ 着手済・要確認",IF(OR(D11="？",E11="？"),"？ 期間要確認","✕ 対象外")))</f>
        <v/>
      </c>
      <c r="D11" s="13">
        <f>IF(J11="計画なし","－",IF(J11="策定済","✕",IF(H11="","？",IF(AND(H11&gt;='集計・設定'!$C$4,H11&lt;='集計・設定'!$C$5),IF(J11="着手済","△","◎"),"✕"))))</f>
        <v/>
      </c>
      <c r="E11" s="13">
        <f>IF(P11="計画なし","－",IF(P11="策定済","✕",IF(N11="","？",IF(AND(N11&gt;='集計・設定'!$C$4,N11&lt;='集計・設定'!$C$5),IF(P11="着手済","△","◎"),"✕"))))</f>
        <v/>
      </c>
      <c r="F11" s="11" t="n"/>
      <c r="G11" s="11" t="inlineStr">
        <is>
          <t>不明</t>
        </is>
      </c>
      <c r="H11" s="13" t="n"/>
      <c r="I11" s="13" t="inlineStr">
        <is>
          <t>不明</t>
        </is>
      </c>
      <c r="J11" s="13" t="inlineStr">
        <is>
          <t>未確認</t>
        </is>
      </c>
      <c r="K11" s="11" t="n"/>
      <c r="L11" s="11" t="n"/>
      <c r="M11" s="11" t="inlineStr">
        <is>
          <t>不明</t>
        </is>
      </c>
      <c r="N11" s="13" t="n"/>
      <c r="O11" s="13" t="inlineStr">
        <is>
          <t>不明</t>
        </is>
      </c>
      <c r="P11" s="13" t="inlineStr">
        <is>
          <t>未確認</t>
        </is>
      </c>
      <c r="Q11" s="11" t="n"/>
      <c r="R11" s="11" t="inlineStr">
        <is>
          <t>WebSearchの利用上限（セッション200回）に達したため未調査。要再調査。</t>
        </is>
      </c>
      <c r="S11" s="17" t="inlineStr">
        <is>
          <t>未調査</t>
        </is>
      </c>
    </row>
    <row r="12">
      <c r="A12" s="11" t="n">
        <v>9</v>
      </c>
      <c r="B12" s="11" t="inlineStr">
        <is>
          <t>つがる市</t>
        </is>
      </c>
      <c r="C12" s="12">
        <f>IF(OR(D12="◎",E12="◎"),"◎ 営業",IF(OR(D12="△",E12="△"),"△ 着手済・要確認",IF(OR(D12="？",E12="？"),"？ 期間要確認","✕ 対象外")))</f>
        <v/>
      </c>
      <c r="D12" s="13">
        <f>IF(J12="計画なし","－",IF(J12="策定済","✕",IF(H12="","？",IF(AND(H12&gt;='集計・設定'!$C$4,H12&lt;='集計・設定'!$C$5),IF(J12="着手済","△","◎"),"✕"))))</f>
        <v/>
      </c>
      <c r="E12" s="13">
        <f>IF(P12="計画なし","－",IF(P12="策定済","✕",IF(N12="","？",IF(AND(N12&gt;='集計・設定'!$C$4,N12&lt;='集計・設定'!$C$5),IF(P12="着手済","△","◎"),"✕"))))</f>
        <v/>
      </c>
      <c r="F12" s="11" t="n"/>
      <c r="G12" s="11" t="inlineStr">
        <is>
          <t>不明</t>
        </is>
      </c>
      <c r="H12" s="13" t="n"/>
      <c r="I12" s="13" t="inlineStr">
        <is>
          <t>不明</t>
        </is>
      </c>
      <c r="J12" s="13" t="inlineStr">
        <is>
          <t>未確認</t>
        </is>
      </c>
      <c r="K12" s="11" t="n"/>
      <c r="L12" s="11" t="n"/>
      <c r="M12" s="11" t="inlineStr">
        <is>
          <t>不明</t>
        </is>
      </c>
      <c r="N12" s="13" t="n"/>
      <c r="O12" s="13" t="inlineStr">
        <is>
          <t>不明</t>
        </is>
      </c>
      <c r="P12" s="13" t="inlineStr">
        <is>
          <t>未確認</t>
        </is>
      </c>
      <c r="Q12" s="11" t="n"/>
      <c r="R12" s="11" t="inlineStr">
        <is>
          <t>WebSearchの利用上限（セッション200回）に達したため未調査。要再調査。</t>
        </is>
      </c>
      <c r="S12" s="17" t="inlineStr">
        <is>
          <t>未調査</t>
        </is>
      </c>
    </row>
    <row r="13">
      <c r="A13" s="11" t="n">
        <v>10</v>
      </c>
      <c r="B13" s="11" t="inlineStr">
        <is>
          <t>平川市</t>
        </is>
      </c>
      <c r="C13" s="12">
        <f>IF(OR(D13="◎",E13="◎"),"◎ 営業",IF(OR(D13="△",E13="△"),"△ 着手済・要確認",IF(OR(D13="？",E13="？"),"？ 期間要確認","✕ 対象外")))</f>
        <v/>
      </c>
      <c r="D13" s="13">
        <f>IF(J13="計画なし","－",IF(J13="策定済","✕",IF(H13="","？",IF(AND(H13&gt;='集計・設定'!$C$4,H13&lt;='集計・設定'!$C$5),IF(J13="着手済","△","◎"),"✕"))))</f>
        <v/>
      </c>
      <c r="E13" s="13">
        <f>IF(P13="計画なし","－",IF(P13="策定済","✕",IF(N13="","？",IF(AND(N13&gt;='集計・設定'!$C$4,N13&lt;='集計・設定'!$C$5),IF(P13="着手済","△","◎"),"✕"))))</f>
        <v/>
      </c>
      <c r="F13" s="11" t="n"/>
      <c r="G13" s="11" t="inlineStr">
        <is>
          <t>不明</t>
        </is>
      </c>
      <c r="H13" s="13" t="n"/>
      <c r="I13" s="13" t="inlineStr">
        <is>
          <t>不明</t>
        </is>
      </c>
      <c r="J13" s="13" t="inlineStr">
        <is>
          <t>未確認</t>
        </is>
      </c>
      <c r="K13" s="11" t="n"/>
      <c r="L13" s="11" t="n"/>
      <c r="M13" s="11" t="inlineStr">
        <is>
          <t>不明</t>
        </is>
      </c>
      <c r="N13" s="13" t="n"/>
      <c r="O13" s="13" t="inlineStr">
        <is>
          <t>不明</t>
        </is>
      </c>
      <c r="P13" s="13" t="inlineStr">
        <is>
          <t>未確認</t>
        </is>
      </c>
      <c r="Q13" s="11" t="n"/>
      <c r="R13" s="11" t="inlineStr">
        <is>
          <t>WebSearchの利用上限（セッション200回）に達したため未調査。要再調査。 参考: 旧『弘前圏域地域公共交通計画』(H25.3) https://www.city.hirakawa.lg.jp/kurashi/keikaku/files/houkokusho.pdf は期間満了とみられる。</t>
        </is>
      </c>
      <c r="S13" s="17" t="inlineStr">
        <is>
          <t>未調査</t>
        </is>
      </c>
    </row>
    <row r="14">
      <c r="A14" s="11" t="n">
        <v>11</v>
      </c>
      <c r="B14" s="11" t="inlineStr">
        <is>
          <t>平内町</t>
        </is>
      </c>
      <c r="C14" s="12">
        <f>IF(OR(D14="◎",E14="◎"),"◎ 営業",IF(OR(D14="△",E14="△"),"△ 着手済・要確認",IF(OR(D14="？",E14="？"),"？ 期間要確認","✕ 対象外")))</f>
        <v/>
      </c>
      <c r="D14" s="13">
        <f>IF(J14="計画なし","－",IF(J14="策定済","✕",IF(H14="","？",IF(AND(H14&gt;='集計・設定'!$C$4,H14&lt;='集計・設定'!$C$5),IF(J14="着手済","△","◎"),"✕"))))</f>
        <v/>
      </c>
      <c r="E14" s="13">
        <f>IF(P14="計画なし","－",IF(P14="策定済","✕",IF(N14="","？",IF(AND(N14&gt;='集計・設定'!$C$4,N14&lt;='集計・設定'!$C$5),IF(P14="着手済","△","◎"),"✕"))))</f>
        <v/>
      </c>
      <c r="F14" s="11" t="n"/>
      <c r="G14" s="11" t="inlineStr">
        <is>
          <t>不明</t>
        </is>
      </c>
      <c r="H14" s="13" t="n"/>
      <c r="I14" s="13" t="inlineStr">
        <is>
          <t>不明</t>
        </is>
      </c>
      <c r="J14" s="13" t="inlineStr">
        <is>
          <t>未確認</t>
        </is>
      </c>
      <c r="K14" s="11" t="n"/>
      <c r="L14" s="11" t="n"/>
      <c r="M14" s="11" t="inlineStr">
        <is>
          <t>不明</t>
        </is>
      </c>
      <c r="N14" s="13" t="n"/>
      <c r="O14" s="13" t="inlineStr">
        <is>
          <t>不明</t>
        </is>
      </c>
      <c r="P14" s="13" t="inlineStr">
        <is>
          <t>未確認</t>
        </is>
      </c>
      <c r="Q14" s="11" t="n"/>
      <c r="R14" s="11" t="inlineStr">
        <is>
          <t>WebSearchの利用上限（セッション200回）に達したため未調査。要再調査。</t>
        </is>
      </c>
      <c r="S14" s="17" t="inlineStr">
        <is>
          <t>未調査</t>
        </is>
      </c>
    </row>
    <row r="15">
      <c r="A15" s="11" t="n">
        <v>12</v>
      </c>
      <c r="B15" s="11" t="inlineStr">
        <is>
          <t>今別町</t>
        </is>
      </c>
      <c r="C15" s="12">
        <f>IF(OR(D15="◎",E15="◎"),"◎ 営業",IF(OR(D15="△",E15="△"),"△ 着手済・要確認",IF(OR(D15="？",E15="？"),"？ 期間要確認","✕ 対象外")))</f>
        <v/>
      </c>
      <c r="D15" s="13">
        <f>IF(J15="計画なし","－",IF(J15="策定済","✕",IF(H15="","？",IF(AND(H15&gt;='集計・設定'!$C$4,H15&lt;='集計・設定'!$C$5),IF(J15="着手済","△","◎"),"✕"))))</f>
        <v/>
      </c>
      <c r="E15" s="13">
        <f>IF(P15="計画なし","－",IF(P15="策定済","✕",IF(N15="","？",IF(AND(N15&gt;='集計・設定'!$C$4,N15&lt;='集計・設定'!$C$5),IF(P15="着手済","△","◎"),"✕"))))</f>
        <v/>
      </c>
      <c r="F15" s="11" t="n"/>
      <c r="G15" s="11" t="inlineStr">
        <is>
          <t>不明</t>
        </is>
      </c>
      <c r="H15" s="13" t="n"/>
      <c r="I15" s="13" t="inlineStr">
        <is>
          <t>不明</t>
        </is>
      </c>
      <c r="J15" s="13" t="inlineStr">
        <is>
          <t>未確認</t>
        </is>
      </c>
      <c r="K15" s="11" t="n"/>
      <c r="L15" s="11" t="n"/>
      <c r="M15" s="11" t="inlineStr">
        <is>
          <t>不明</t>
        </is>
      </c>
      <c r="N15" s="13" t="n"/>
      <c r="O15" s="13" t="inlineStr">
        <is>
          <t>不明</t>
        </is>
      </c>
      <c r="P15" s="13" t="inlineStr">
        <is>
          <t>未確認</t>
        </is>
      </c>
      <c r="Q15" s="11" t="n"/>
      <c r="R15" s="11" t="inlineStr">
        <is>
          <t>WebSearchの利用上限（セッション200回）に達したため未調査。要再調査。</t>
        </is>
      </c>
      <c r="S15" s="17" t="inlineStr">
        <is>
          <t>未調査</t>
        </is>
      </c>
    </row>
    <row r="16">
      <c r="A16" s="11" t="n">
        <v>13</v>
      </c>
      <c r="B16" s="11" t="inlineStr">
        <is>
          <t>蓬田村</t>
        </is>
      </c>
      <c r="C16" s="12">
        <f>IF(OR(D16="◎",E16="◎"),"◎ 営業",IF(OR(D16="△",E16="△"),"△ 着手済・要確認",IF(OR(D16="？",E16="？"),"？ 期間要確認","✕ 対象外")))</f>
        <v/>
      </c>
      <c r="D16" s="13">
        <f>IF(J16="計画なし","－",IF(J16="策定済","✕",IF(H16="","？",IF(AND(H16&gt;='集計・設定'!$C$4,H16&lt;='集計・設定'!$C$5),IF(J16="着手済","△","◎"),"✕"))))</f>
        <v/>
      </c>
      <c r="E16" s="13">
        <f>IF(P16="計画なし","－",IF(P16="策定済","✕",IF(N16="","？",IF(AND(N16&gt;='集計・設定'!$C$4,N16&lt;='集計・設定'!$C$5),IF(P16="着手済","△","◎"),"✕"))))</f>
        <v/>
      </c>
      <c r="F16" s="11" t="n"/>
      <c r="G16" s="11" t="inlineStr">
        <is>
          <t>不明</t>
        </is>
      </c>
      <c r="H16" s="13" t="n"/>
      <c r="I16" s="13" t="inlineStr">
        <is>
          <t>不明</t>
        </is>
      </c>
      <c r="J16" s="13" t="inlineStr">
        <is>
          <t>未確認</t>
        </is>
      </c>
      <c r="K16" s="11" t="n"/>
      <c r="L16" s="11" t="n"/>
      <c r="M16" s="11" t="inlineStr">
        <is>
          <t>不明</t>
        </is>
      </c>
      <c r="N16" s="13" t="n"/>
      <c r="O16" s="13" t="inlineStr">
        <is>
          <t>不明</t>
        </is>
      </c>
      <c r="P16" s="13" t="inlineStr">
        <is>
          <t>未確認</t>
        </is>
      </c>
      <c r="Q16" s="11" t="n"/>
      <c r="R16" s="11" t="inlineStr">
        <is>
          <t>WebSearchの利用上限（セッション200回）に達したため未調査。要再調査。</t>
        </is>
      </c>
      <c r="S16" s="17" t="inlineStr">
        <is>
          <t>未調査</t>
        </is>
      </c>
    </row>
    <row r="17">
      <c r="A17" s="11" t="n">
        <v>14</v>
      </c>
      <c r="B17" s="11" t="inlineStr">
        <is>
          <t>外ヶ浜町</t>
        </is>
      </c>
      <c r="C17" s="12">
        <f>IF(OR(D17="◎",E17="◎"),"◎ 営業",IF(OR(D17="△",E17="△"),"△ 着手済・要確認",IF(OR(D17="？",E17="？"),"？ 期間要確認","✕ 対象外")))</f>
        <v/>
      </c>
      <c r="D17" s="13">
        <f>IF(J17="計画なし","－",IF(J17="策定済","✕",IF(H17="","？",IF(AND(H17&gt;='集計・設定'!$C$4,H17&lt;='集計・設定'!$C$5),IF(J17="着手済","△","◎"),"✕"))))</f>
        <v/>
      </c>
      <c r="E17" s="13">
        <f>IF(P17="計画なし","－",IF(P17="策定済","✕",IF(N17="","？",IF(AND(N17&gt;='集計・設定'!$C$4,N17&lt;='集計・設定'!$C$5),IF(P17="着手済","△","◎"),"✕"))))</f>
        <v/>
      </c>
      <c r="F17" s="11" t="inlineStr">
        <is>
          <t>外ヶ浜町地域公共交通計画</t>
        </is>
      </c>
      <c r="G17" s="11" t="inlineStr">
        <is>
          <t>R6〜R10</t>
        </is>
      </c>
      <c r="H17" s="16" t="n">
        <v>10</v>
      </c>
      <c r="I17" s="13" t="inlineStr">
        <is>
          <t>推定</t>
        </is>
      </c>
      <c r="J17" s="13" t="inlineStr">
        <is>
          <t>未確認</t>
        </is>
      </c>
      <c r="K17" s="14" t="inlineStr">
        <is>
          <t>https://www.town.sotogahama.lg.jp/gyosei/public/2024-0227-tiikikoukyokoutukeikaku_pabukome.html</t>
        </is>
      </c>
      <c r="L17" s="11" t="n"/>
      <c r="M17" s="11" t="inlineStr">
        <is>
          <t>不明</t>
        </is>
      </c>
      <c r="N17" s="13" t="n"/>
      <c r="O17" s="13" t="inlineStr">
        <is>
          <t>不明</t>
        </is>
      </c>
      <c r="P17" s="13" t="inlineStr">
        <is>
          <t>未確認</t>
        </is>
      </c>
      <c r="Q17" s="11" t="n"/>
      <c r="R17" s="11" t="inlineStr">
        <is>
          <t>交通計画は2024年2月27日パブコメ実施（URLは同パブコメページ、期間は5年と推定）。JR津軽線蟹田〜三厩の代行・転換が絡む。環境基本計画は確認できず、代替として地球温暖化対策実行計画（区域施策編）令和8年3月策定: https://www.town.sotogahama.lg.jp/gyosei/keikaku/files/01_soto_kuikisesaku_plan.pdf</t>
        </is>
      </c>
      <c r="S17" s="17" t="inlineStr">
        <is>
          <t>交通のみ調査</t>
        </is>
      </c>
    </row>
    <row r="18">
      <c r="A18" s="11" t="n">
        <v>15</v>
      </c>
      <c r="B18" s="11" t="inlineStr">
        <is>
          <t>鰺ヶ沢町</t>
        </is>
      </c>
      <c r="C18" s="12">
        <f>IF(OR(D18="◎",E18="◎"),"◎ 営業",IF(OR(D18="△",E18="△"),"△ 着手済・要確認",IF(OR(D18="？",E18="？"),"？ 期間要確認","✕ 対象外")))</f>
        <v/>
      </c>
      <c r="D18" s="13">
        <f>IF(J18="計画なし","－",IF(J18="策定済","✕",IF(H18="","？",IF(AND(H18&gt;='集計・設定'!$C$4,H18&lt;='集計・設定'!$C$5),IF(J18="着手済","△","◎"),"✕"))))</f>
        <v/>
      </c>
      <c r="E18" s="13">
        <f>IF(P18="計画なし","－",IF(P18="策定済","✕",IF(N18="","？",IF(AND(N18&gt;='集計・設定'!$C$4,N18&lt;='集計・設定'!$C$5),IF(P18="着手済","△","◎"),"✕"))))</f>
        <v/>
      </c>
      <c r="F18" s="11" t="n"/>
      <c r="G18" s="11" t="inlineStr">
        <is>
          <t>不明</t>
        </is>
      </c>
      <c r="H18" s="13" t="n"/>
      <c r="I18" s="13" t="inlineStr">
        <is>
          <t>不明</t>
        </is>
      </c>
      <c r="J18" s="13" t="inlineStr">
        <is>
          <t>未確認</t>
        </is>
      </c>
      <c r="K18" s="11" t="n"/>
      <c r="L18" s="11" t="n"/>
      <c r="M18" s="11" t="inlineStr">
        <is>
          <t>不明</t>
        </is>
      </c>
      <c r="N18" s="13" t="n"/>
      <c r="O18" s="13" t="inlineStr">
        <is>
          <t>不明</t>
        </is>
      </c>
      <c r="P18" s="13" t="inlineStr">
        <is>
          <t>未確認</t>
        </is>
      </c>
      <c r="Q18" s="11" t="n"/>
      <c r="R18" s="11" t="inlineStr">
        <is>
          <t>交通計画の単独計画は検索で確認できず（五所川原圏域定住自立圏の構成町）。環境基本計画は検索で確認できず（検索予算上限のため未精査）。</t>
        </is>
      </c>
      <c r="S18" s="17" t="inlineStr">
        <is>
          <t>未調査</t>
        </is>
      </c>
    </row>
    <row r="19">
      <c r="A19" s="11" t="n">
        <v>16</v>
      </c>
      <c r="B19" s="11" t="inlineStr">
        <is>
          <t>深浦町</t>
        </is>
      </c>
      <c r="C19" s="12">
        <f>IF(OR(D19="◎",E19="◎"),"◎ 営業",IF(OR(D19="△",E19="△"),"△ 着手済・要確認",IF(OR(D19="？",E19="？"),"？ 期間要確認","✕ 対象外")))</f>
        <v/>
      </c>
      <c r="D19" s="13">
        <f>IF(J19="計画なし","－",IF(J19="策定済","✕",IF(H19="","？",IF(AND(H19&gt;='集計・設定'!$C$4,H19&lt;='集計・設定'!$C$5),IF(J19="着手済","△","◎"),"✕"))))</f>
        <v/>
      </c>
      <c r="E19" s="13">
        <f>IF(P19="計画なし","－",IF(P19="策定済","✕",IF(N19="","？",IF(AND(N19&gt;='集計・設定'!$C$4,N19&lt;='集計・設定'!$C$5),IF(P19="着手済","△","◎"),"✕"))))</f>
        <v/>
      </c>
      <c r="F19" s="11" t="n"/>
      <c r="G19" s="11" t="inlineStr">
        <is>
          <t>不明</t>
        </is>
      </c>
      <c r="H19" s="13" t="n"/>
      <c r="I19" s="13" t="inlineStr">
        <is>
          <t>不明</t>
        </is>
      </c>
      <c r="J19" s="13" t="inlineStr">
        <is>
          <t>未確認</t>
        </is>
      </c>
      <c r="K19" s="11" t="n"/>
      <c r="L19" s="11" t="n"/>
      <c r="M19" s="11" t="inlineStr">
        <is>
          <t>不明</t>
        </is>
      </c>
      <c r="N19" s="13" t="n"/>
      <c r="O19" s="13" t="inlineStr">
        <is>
          <t>不明</t>
        </is>
      </c>
      <c r="P19" s="13" t="inlineStr">
        <is>
          <t>未確認</t>
        </is>
      </c>
      <c r="Q19" s="11" t="n"/>
      <c r="R19" s="11" t="inlineStr">
        <is>
          <t>交通計画は検索で確認できず（公共交通マップ https://www.town.fukaura.lg.jp/fixed_docs/2023040300013/file_contents/koutumap.pdf のみ）。環境基本計画は検索で確認できず（検索予算上限のため未精査）。</t>
        </is>
      </c>
      <c r="S19" s="17" t="inlineStr">
        <is>
          <t>未調査</t>
        </is>
      </c>
    </row>
    <row r="20">
      <c r="A20" s="11" t="n">
        <v>17</v>
      </c>
      <c r="B20" s="11" t="inlineStr">
        <is>
          <t>西目屋村</t>
        </is>
      </c>
      <c r="C20" s="12">
        <f>IF(OR(D20="◎",E20="◎"),"◎ 営業",IF(OR(D20="△",E20="△"),"△ 着手済・要確認",IF(OR(D20="？",E20="？"),"？ 期間要確認","✕ 対象外")))</f>
        <v/>
      </c>
      <c r="D20" s="13">
        <f>IF(J20="計画なし","－",IF(J20="策定済","✕",IF(H20="","？",IF(AND(H20&gt;='集計・設定'!$C$4,H20&lt;='集計・設定'!$C$5),IF(J20="着手済","△","◎"),"✕"))))</f>
        <v/>
      </c>
      <c r="E20" s="13">
        <f>IF(P20="計画なし","－",IF(P20="策定済","✕",IF(N20="","？",IF(AND(N20&gt;='集計・設定'!$C$4,N20&lt;='集計・設定'!$C$5),IF(P20="着手済","△","◎"),"✕"))))</f>
        <v/>
      </c>
      <c r="F20" s="11" t="n"/>
      <c r="G20" s="11" t="inlineStr">
        <is>
          <t>不明</t>
        </is>
      </c>
      <c r="H20" s="13" t="n"/>
      <c r="I20" s="13" t="inlineStr">
        <is>
          <t>不明</t>
        </is>
      </c>
      <c r="J20" s="13" t="inlineStr">
        <is>
          <t>未確認</t>
        </is>
      </c>
      <c r="K20" s="11" t="n"/>
      <c r="L20" s="11" t="n"/>
      <c r="M20" s="11" t="inlineStr">
        <is>
          <t>不明</t>
        </is>
      </c>
      <c r="N20" s="13" t="n"/>
      <c r="O20" s="13" t="inlineStr">
        <is>
          <t>不明</t>
        </is>
      </c>
      <c r="P20" s="13" t="inlineStr">
        <is>
          <t>未確認</t>
        </is>
      </c>
      <c r="Q20" s="11" t="n"/>
      <c r="R20" s="11" t="inlineStr">
        <is>
          <t>交通計画は確認できず（弘前圏域定住自立圏の構成村、小規模村で計画なしの可能性）。環境基本計画は検索で確認できず（検索予算上限のため未精査）。</t>
        </is>
      </c>
      <c r="S20" s="17" t="inlineStr">
        <is>
          <t>未調査</t>
        </is>
      </c>
    </row>
    <row r="21">
      <c r="A21" s="11" t="n">
        <v>18</v>
      </c>
      <c r="B21" s="11" t="inlineStr">
        <is>
          <t>藤崎町</t>
        </is>
      </c>
      <c r="C21" s="12">
        <f>IF(OR(D21="◎",E21="◎"),"◎ 営業",IF(OR(D21="△",E21="△"),"△ 着手済・要確認",IF(OR(D21="？",E21="？"),"？ 期間要確認","✕ 対象外")))</f>
        <v/>
      </c>
      <c r="D21" s="13">
        <f>IF(J21="計画なし","－",IF(J21="策定済","✕",IF(H21="","？",IF(AND(H21&gt;='集計・設定'!$C$4,H21&lt;='集計・設定'!$C$5),IF(J21="着手済","△","◎"),"✕"))))</f>
        <v/>
      </c>
      <c r="E21" s="13">
        <f>IF(P21="計画なし","－",IF(P21="策定済","✕",IF(N21="","？",IF(AND(N21&gt;='集計・設定'!$C$4,N21&lt;='集計・設定'!$C$5),IF(P21="着手済","△","◎"),"✕"))))</f>
        <v/>
      </c>
      <c r="F21" s="11" t="n"/>
      <c r="G21" s="11" t="inlineStr">
        <is>
          <t>不明</t>
        </is>
      </c>
      <c r="H21" s="13" t="n"/>
      <c r="I21" s="13" t="inlineStr">
        <is>
          <t>不明</t>
        </is>
      </c>
      <c r="J21" s="13" t="inlineStr">
        <is>
          <t>未確認</t>
        </is>
      </c>
      <c r="K21" s="11" t="n"/>
      <c r="L21" s="11" t="n"/>
      <c r="M21" s="11" t="inlineStr">
        <is>
          <t>不明</t>
        </is>
      </c>
      <c r="N21" s="13" t="n"/>
      <c r="O21" s="13" t="inlineStr">
        <is>
          <t>不明</t>
        </is>
      </c>
      <c r="P21" s="13" t="inlineStr">
        <is>
          <t>未確認</t>
        </is>
      </c>
      <c r="Q21" s="11" t="n"/>
      <c r="R21" s="11" t="inlineStr">
        <is>
          <t>交通計画は検索で確認できず。環境基本計画は検索で確認できず（検索予算上限のため未精査）。</t>
        </is>
      </c>
      <c r="S21" s="17" t="inlineStr">
        <is>
          <t>未調査</t>
        </is>
      </c>
    </row>
    <row r="22">
      <c r="A22" s="11" t="n">
        <v>19</v>
      </c>
      <c r="B22" s="11" t="inlineStr">
        <is>
          <t>大鰐町</t>
        </is>
      </c>
      <c r="C22" s="12">
        <f>IF(OR(D22="◎",E22="◎"),"◎ 営業",IF(OR(D22="△",E22="△"),"△ 着手済・要確認",IF(OR(D22="？",E22="？"),"？ 期間要確認","✕ 対象外")))</f>
        <v/>
      </c>
      <c r="D22" s="13">
        <f>IF(J22="計画なし","－",IF(J22="策定済","✕",IF(H22="","？",IF(AND(H22&gt;='集計・設定'!$C$4,H22&lt;='集計・設定'!$C$5),IF(J22="着手済","△","◎"),"✕"))))</f>
        <v/>
      </c>
      <c r="E22" s="13">
        <f>IF(P22="計画なし","－",IF(P22="策定済","✕",IF(N22="","？",IF(AND(N22&gt;='集計・設定'!$C$4,N22&lt;='集計・設定'!$C$5),IF(P22="着手済","△","◎"),"✕"))))</f>
        <v/>
      </c>
      <c r="F22" s="11" t="inlineStr">
        <is>
          <t>大鰐町地域公共交通計画</t>
        </is>
      </c>
      <c r="G22" s="11" t="inlineStr">
        <is>
          <t>不明</t>
        </is>
      </c>
      <c r="H22" s="13" t="n"/>
      <c r="I22" s="13" t="inlineStr">
        <is>
          <t>不明</t>
        </is>
      </c>
      <c r="J22" s="13" t="inlineStr">
        <is>
          <t>未確認</t>
        </is>
      </c>
      <c r="K22" s="14" t="inlineStr">
        <is>
          <t>http://www.town.owani.lg.jp/aboutowani/plan/kokyo-kotsu.html</t>
        </is>
      </c>
      <c r="L22" s="11" t="n"/>
      <c r="M22" s="11" t="inlineStr">
        <is>
          <t>不明</t>
        </is>
      </c>
      <c r="N22" s="13" t="n"/>
      <c r="O22" s="13" t="inlineStr">
        <is>
          <t>不明</t>
        </is>
      </c>
      <c r="P22" s="13" t="inlineStr">
        <is>
          <t>未確認</t>
        </is>
      </c>
      <c r="Q22" s="11" t="n"/>
      <c r="R22" s="11" t="inlineStr">
        <is>
          <t>町HPに「大鰐町地域公共交通計画策定について」ページあり（期間・策定年は未確認、サイトはfetch不可）。過去に計画案策定支援業務の公募型プロポーザル実施: http://www.town.owani.lg.jp/news/index.cfm/detail.1.12187.html （日付未確認）。環境基本計画は検索で確認できず（検索予算上限のため未精査）。</t>
        </is>
      </c>
      <c r="S22" s="17" t="inlineStr">
        <is>
          <t>交通のみ調査</t>
        </is>
      </c>
    </row>
    <row r="23">
      <c r="A23" s="11" t="n">
        <v>20</v>
      </c>
      <c r="B23" s="11" t="inlineStr">
        <is>
          <t>田舎館村</t>
        </is>
      </c>
      <c r="C23" s="12">
        <f>IF(OR(D23="◎",E23="◎"),"◎ 営業",IF(OR(D23="△",E23="△"),"△ 着手済・要確認",IF(OR(D23="？",E23="？"),"？ 期間要確認","✕ 対象外")))</f>
        <v/>
      </c>
      <c r="D23" s="13">
        <f>IF(J23="計画なし","－",IF(J23="策定済","✕",IF(H23="","？",IF(AND(H23&gt;='集計・設定'!$C$4,H23&lt;='集計・設定'!$C$5),IF(J23="着手済","△","◎"),"✕"))))</f>
        <v/>
      </c>
      <c r="E23" s="13">
        <f>IF(P23="計画なし","－",IF(P23="策定済","✕",IF(N23="","？",IF(AND(N23&gt;='集計・設定'!$C$4,N23&lt;='集計・設定'!$C$5),IF(P23="着手済","△","◎"),"✕"))))</f>
        <v/>
      </c>
      <c r="F23" s="11" t="n"/>
      <c r="G23" s="11" t="inlineStr">
        <is>
          <t>不明</t>
        </is>
      </c>
      <c r="H23" s="13" t="n"/>
      <c r="I23" s="13" t="inlineStr">
        <is>
          <t>不明</t>
        </is>
      </c>
      <c r="J23" s="13" t="inlineStr">
        <is>
          <t>未確認</t>
        </is>
      </c>
      <c r="K23" s="11" t="n"/>
      <c r="L23" s="11" t="n"/>
      <c r="M23" s="11" t="inlineStr">
        <is>
          <t>不明</t>
        </is>
      </c>
      <c r="N23" s="13" t="n"/>
      <c r="O23" s="13" t="inlineStr">
        <is>
          <t>不明</t>
        </is>
      </c>
      <c r="P23" s="13" t="inlineStr">
        <is>
          <t>未確認</t>
        </is>
      </c>
      <c r="Q23" s="11" t="n"/>
      <c r="R23" s="11" t="inlineStr">
        <is>
          <t>交通計画は確認できず（川部駅周辺都市再生整備計画R5.3のみ）。環境基本計画は検索で確認できず（検索予算上限のため未精査）。</t>
        </is>
      </c>
      <c r="S23" s="17" t="inlineStr">
        <is>
          <t>未調査</t>
        </is>
      </c>
    </row>
    <row r="24">
      <c r="A24" s="11" t="n">
        <v>21</v>
      </c>
      <c r="B24" s="11" t="inlineStr">
        <is>
          <t>板柳町</t>
        </is>
      </c>
      <c r="C24" s="12">
        <f>IF(OR(D24="◎",E24="◎"),"◎ 営業",IF(OR(D24="△",E24="△"),"△ 着手済・要確認",IF(OR(D24="？",E24="？"),"？ 期間要確認","✕ 対象外")))</f>
        <v/>
      </c>
      <c r="D24" s="13">
        <f>IF(J24="計画なし","－",IF(J24="策定済","✕",IF(H24="","？",IF(AND(H24&gt;='集計・設定'!$C$4,H24&lt;='集計・設定'!$C$5),IF(J24="着手済","△","◎"),"✕"))))</f>
        <v/>
      </c>
      <c r="E24" s="13">
        <f>IF(P24="計画なし","－",IF(P24="策定済","✕",IF(N24="","？",IF(AND(N24&gt;='集計・設定'!$C$4,N24&lt;='集計・設定'!$C$5),IF(P24="着手済","△","◎"),"✕"))))</f>
        <v/>
      </c>
      <c r="F24" s="11" t="n"/>
      <c r="G24" s="11" t="inlineStr">
        <is>
          <t>不明</t>
        </is>
      </c>
      <c r="H24" s="13" t="n"/>
      <c r="I24" s="13" t="inlineStr">
        <is>
          <t>不明</t>
        </is>
      </c>
      <c r="J24" s="13" t="inlineStr">
        <is>
          <t>未確認</t>
        </is>
      </c>
      <c r="K24" s="11" t="n"/>
      <c r="L24" s="11" t="n"/>
      <c r="M24" s="11" t="inlineStr">
        <is>
          <t>不明</t>
        </is>
      </c>
      <c r="N24" s="13" t="n"/>
      <c r="O24" s="13" t="inlineStr">
        <is>
          <t>不明</t>
        </is>
      </c>
      <c r="P24" s="13" t="inlineStr">
        <is>
          <t>未確認</t>
        </is>
      </c>
      <c r="Q24" s="11" t="n"/>
      <c r="R24" s="11" t="inlineStr">
        <is>
          <t>交通計画は確認できず。都市計画マスタープラン改定案（令和7年2月）あり: https://www.town.itayanagi.aomori.jp/administration/salary/files/toshimasu.pdf 。環境基本計画は検索で確認できず（検索予算上限のため未精査）。</t>
        </is>
      </c>
      <c r="S24" s="17" t="inlineStr">
        <is>
          <t>未調査</t>
        </is>
      </c>
    </row>
    <row r="25">
      <c r="A25" s="11" t="n">
        <v>22</v>
      </c>
      <c r="B25" s="11" t="inlineStr">
        <is>
          <t>鶴田町</t>
        </is>
      </c>
      <c r="C25" s="12">
        <f>IF(OR(D25="◎",E25="◎"),"◎ 営業",IF(OR(D25="△",E25="△"),"△ 着手済・要確認",IF(OR(D25="？",E25="？"),"？ 期間要確認","✕ 対象外")))</f>
        <v/>
      </c>
      <c r="D25" s="13">
        <f>IF(J25="計画なし","－",IF(J25="策定済","✕",IF(H25="","？",IF(AND(H25&gt;='集計・設定'!$C$4,H25&lt;='集計・設定'!$C$5),IF(J25="着手済","△","◎"),"✕"))))</f>
        <v/>
      </c>
      <c r="E25" s="13">
        <f>IF(P25="計画なし","－",IF(P25="策定済","✕",IF(N25="","？",IF(AND(N25&gt;='集計・設定'!$C$4,N25&lt;='集計・設定'!$C$5),IF(P25="着手済","△","◎"),"✕"))))</f>
        <v/>
      </c>
      <c r="F25" s="11" t="n"/>
      <c r="G25" s="11" t="inlineStr">
        <is>
          <t>不明</t>
        </is>
      </c>
      <c r="H25" s="13" t="n"/>
      <c r="I25" s="13" t="inlineStr">
        <is>
          <t>不明</t>
        </is>
      </c>
      <c r="J25" s="13" t="inlineStr">
        <is>
          <t>未確認</t>
        </is>
      </c>
      <c r="K25" s="11" t="n"/>
      <c r="L25" s="11" t="n"/>
      <c r="M25" s="11" t="inlineStr">
        <is>
          <t>不明</t>
        </is>
      </c>
      <c r="N25" s="13" t="n"/>
      <c r="O25" s="13" t="inlineStr">
        <is>
          <t>不明</t>
        </is>
      </c>
      <c r="P25" s="13" t="inlineStr">
        <is>
          <t>未確認</t>
        </is>
      </c>
      <c r="Q25" s="11" t="n"/>
      <c r="R25" s="11" t="inlineStr">
        <is>
          <t>交通計画は検索で確認できず（五所川原圏域定住自立圏の構成町）。環境基本計画は検索で確認できず（検索予算上限のため未精査）。</t>
        </is>
      </c>
      <c r="S25" s="17" t="inlineStr">
        <is>
          <t>未調査</t>
        </is>
      </c>
    </row>
    <row r="26">
      <c r="A26" s="11" t="n">
        <v>23</v>
      </c>
      <c r="B26" s="11" t="inlineStr">
        <is>
          <t>中泊町</t>
        </is>
      </c>
      <c r="C26" s="12">
        <f>IF(OR(D26="◎",E26="◎"),"◎ 営業",IF(OR(D26="△",E26="△"),"△ 着手済・要確認",IF(OR(D26="？",E26="？"),"？ 期間要確認","✕ 対象外")))</f>
        <v/>
      </c>
      <c r="D26" s="13">
        <f>IF(J26="計画なし","－",IF(J26="策定済","✕",IF(H26="","？",IF(AND(H26&gt;='集計・設定'!$C$4,H26&lt;='集計・設定'!$C$5),IF(J26="着手済","△","◎"),"✕"))))</f>
        <v/>
      </c>
      <c r="E26" s="13">
        <f>IF(P26="計画なし","－",IF(P26="策定済","✕",IF(N26="","？",IF(AND(N26&gt;='集計・設定'!$C$4,N26&lt;='集計・設定'!$C$5),IF(P26="着手済","△","◎"),"✕"))))</f>
        <v/>
      </c>
      <c r="F26" s="11" t="n"/>
      <c r="G26" s="11" t="inlineStr">
        <is>
          <t>不明</t>
        </is>
      </c>
      <c r="H26" s="13" t="n"/>
      <c r="I26" s="13" t="inlineStr">
        <is>
          <t>不明</t>
        </is>
      </c>
      <c r="J26" s="13" t="inlineStr">
        <is>
          <t>未確認</t>
        </is>
      </c>
      <c r="K26" s="11" t="n"/>
      <c r="L26" s="11" t="n"/>
      <c r="M26" s="11" t="inlineStr">
        <is>
          <t>不明</t>
        </is>
      </c>
      <c r="N26" s="13" t="n"/>
      <c r="O26" s="13" t="inlineStr">
        <is>
          <t>不明</t>
        </is>
      </c>
      <c r="P26" s="13" t="inlineStr">
        <is>
          <t>未確認</t>
        </is>
      </c>
      <c r="Q26" s="11" t="n"/>
      <c r="R26" s="11" t="inlineStr">
        <is>
          <t>交通計画は検索で確認できず（五所川原圏域定住自立圏の構成町）。環境基本計画は検索で確認できず（検索予算上限のため未精査）。</t>
        </is>
      </c>
      <c r="S26" s="17" t="inlineStr">
        <is>
          <t>未調査</t>
        </is>
      </c>
    </row>
    <row r="27">
      <c r="A27" s="11" t="n">
        <v>24</v>
      </c>
      <c r="B27" s="11" t="inlineStr">
        <is>
          <t>野辺地町</t>
        </is>
      </c>
      <c r="C27" s="12">
        <f>IF(OR(D27="◎",E27="◎"),"◎ 営業",IF(OR(D27="△",E27="△"),"△ 着手済・要確認",IF(OR(D27="？",E27="？"),"？ 期間要確認","✕ 対象外")))</f>
        <v/>
      </c>
      <c r="D27" s="13">
        <f>IF(J27="計画なし","－",IF(J27="策定済","✕",IF(H27="","？",IF(AND(H27&gt;='集計・設定'!$C$4,H27&lt;='集計・設定'!$C$5),IF(J27="着手済","△","◎"),"✕"))))</f>
        <v/>
      </c>
      <c r="E27" s="13">
        <f>IF(P27="計画なし","－",IF(P27="策定済","✕",IF(N27="","？",IF(AND(N27&gt;='集計・設定'!$C$4,N27&lt;='集計・設定'!$C$5),IF(P27="着手済","△","◎"),"✕"))))</f>
        <v/>
      </c>
      <c r="F27" s="11" t="n"/>
      <c r="G27" s="11" t="inlineStr">
        <is>
          <t>不明</t>
        </is>
      </c>
      <c r="H27" s="13" t="n"/>
      <c r="I27" s="13" t="inlineStr">
        <is>
          <t>不明</t>
        </is>
      </c>
      <c r="J27" s="13" t="inlineStr">
        <is>
          <t>未確認</t>
        </is>
      </c>
      <c r="K27" s="11" t="n"/>
      <c r="L27" s="11" t="n"/>
      <c r="M27" s="11" t="inlineStr">
        <is>
          <t>不明</t>
        </is>
      </c>
      <c r="N27" s="13" t="n"/>
      <c r="O27" s="13" t="inlineStr">
        <is>
          <t>不明</t>
        </is>
      </c>
      <c r="P27" s="13" t="inlineStr">
        <is>
          <t>未確認</t>
        </is>
      </c>
      <c r="Q27" s="11" t="n"/>
      <c r="R27" s="11" t="inlineStr">
        <is>
          <t>交通計画は町HP上で確認できず（地域間幹線系統確保維持費補助金交付要綱のみ）。環境基本計画は検索で確認できず（検索予算上限のため未精査）。</t>
        </is>
      </c>
      <c r="S27" s="17" t="inlineStr">
        <is>
          <t>未調査</t>
        </is>
      </c>
    </row>
    <row r="28">
      <c r="A28" s="11" t="n">
        <v>25</v>
      </c>
      <c r="B28" s="11" t="inlineStr">
        <is>
          <t>七戸町</t>
        </is>
      </c>
      <c r="C28" s="12">
        <f>IF(OR(D28="◎",E28="◎"),"◎ 営業",IF(OR(D28="△",E28="△"),"△ 着手済・要確認",IF(OR(D28="？",E28="？"),"？ 期間要確認","✕ 対象外")))</f>
        <v/>
      </c>
      <c r="D28" s="13">
        <f>IF(J28="計画なし","－",IF(J28="策定済","✕",IF(H28="","？",IF(AND(H28&gt;='集計・設定'!$C$4,H28&lt;='集計・設定'!$C$5),IF(J28="着手済","△","◎"),"✕"))))</f>
        <v/>
      </c>
      <c r="E28" s="13">
        <f>IF(P28="計画なし","－",IF(P28="策定済","✕",IF(N28="","？",IF(AND(N28&gt;='集計・設定'!$C$4,N28&lt;='集計・設定'!$C$5),IF(P28="着手済","△","◎"),"✕"))))</f>
        <v/>
      </c>
      <c r="F28" s="11" t="inlineStr">
        <is>
          <t>七戸町地域公共交通網形成計画</t>
        </is>
      </c>
      <c r="G28" s="11" t="inlineStr">
        <is>
          <t>不明</t>
        </is>
      </c>
      <c r="H28" s="13" t="n"/>
      <c r="I28" s="13" t="inlineStr">
        <is>
          <t>不明</t>
        </is>
      </c>
      <c r="J28" s="13" t="inlineStr">
        <is>
          <t>未確認</t>
        </is>
      </c>
      <c r="K28" s="14" t="inlineStr">
        <is>
          <t>https://www.town.shichinohe.lg.jp/gyosei/keikaku/kurashi/post-197.html</t>
        </is>
      </c>
      <c r="L28" s="11" t="n"/>
      <c r="M28" s="11" t="inlineStr">
        <is>
          <t>不明</t>
        </is>
      </c>
      <c r="N28" s="13" t="n"/>
      <c r="O28" s="13" t="inlineStr">
        <is>
          <t>不明</t>
        </is>
      </c>
      <c r="P28" s="13" t="inlineStr">
        <is>
          <t>未確認</t>
        </is>
      </c>
      <c r="Q28" s="11" t="n"/>
      <c r="R28" s="11" t="inlineStr">
        <is>
          <t>網形成計画（策定支援プロポ: http://www.town.shichinohe.lg.jp/jigyo/nyuusatsu/post-65.html）。期間未確認で既に期限切れの可能性、後継の地域公共交通計画は未確認。環境基本計画は確認できず、関連として地域省エネルギー重点ビジョン（H22）あり。</t>
        </is>
      </c>
      <c r="S28" s="17" t="inlineStr">
        <is>
          <t>交通のみ調査</t>
        </is>
      </c>
    </row>
    <row r="29">
      <c r="A29" s="11" t="n">
        <v>26</v>
      </c>
      <c r="B29" s="11" t="inlineStr">
        <is>
          <t>六戸町</t>
        </is>
      </c>
      <c r="C29" s="12">
        <f>IF(OR(D29="◎",E29="◎"),"◎ 営業",IF(OR(D29="△",E29="△"),"△ 着手済・要確認",IF(OR(D29="？",E29="？"),"？ 期間要確認","✕ 対象外")))</f>
        <v/>
      </c>
      <c r="D29" s="13">
        <f>IF(J29="計画なし","－",IF(J29="策定済","✕",IF(H29="","？",IF(AND(H29&gt;='集計・設定'!$C$4,H29&lt;='集計・設定'!$C$5),IF(J29="着手済","△","◎"),"✕"))))</f>
        <v/>
      </c>
      <c r="E29" s="13">
        <f>IF(P29="計画なし","－",IF(P29="策定済","✕",IF(N29="","？",IF(AND(N29&gt;='集計・設定'!$C$4,N29&lt;='集計・設定'!$C$5),IF(P29="着手済","△","◎"),"✕"))))</f>
        <v/>
      </c>
      <c r="F29" s="11" t="n"/>
      <c r="G29" s="11" t="inlineStr">
        <is>
          <t>不明</t>
        </is>
      </c>
      <c r="H29" s="13" t="n"/>
      <c r="I29" s="13" t="inlineStr">
        <is>
          <t>不明</t>
        </is>
      </c>
      <c r="J29" s="13" t="inlineStr">
        <is>
          <t>着手済</t>
        </is>
      </c>
      <c r="K29" s="11" t="n"/>
      <c r="L29" s="11" t="n"/>
      <c r="M29" s="11" t="inlineStr">
        <is>
          <t>不明</t>
        </is>
      </c>
      <c r="N29" s="13" t="n"/>
      <c r="O29" s="13" t="inlineStr">
        <is>
          <t>不明</t>
        </is>
      </c>
      <c r="P29" s="13" t="inlineStr">
        <is>
          <t>未確認</t>
        </is>
      </c>
      <c r="Q29" s="11" t="n"/>
      <c r="R29" s="11" t="inlineStr">
        <is>
          <t>交通計画は未確認だが、2026年8月31日に「交通まちづくりワークショップ」開催告知（町バス利用者・学生・保護者・事業者対象）: https://www.town.rokunohe.aomori.jp/docs/2026083100015 。地域公共交通計画策定に向けた作業と推定（計画名は未確認）。環境基本計画は検索で確認できず（検索予算上限のため未精査）。</t>
        </is>
      </c>
      <c r="S29" s="17" t="inlineStr">
        <is>
          <t>未調査</t>
        </is>
      </c>
    </row>
    <row r="30">
      <c r="A30" s="11" t="n">
        <v>27</v>
      </c>
      <c r="B30" s="11" t="inlineStr">
        <is>
          <t>横浜町</t>
        </is>
      </c>
      <c r="C30" s="12">
        <f>IF(OR(D30="◎",E30="◎"),"◎ 営業",IF(OR(D30="△",E30="△"),"△ 着手済・要確認",IF(OR(D30="？",E30="？"),"？ 期間要確認","✕ 対象外")))</f>
        <v/>
      </c>
      <c r="D30" s="13">
        <f>IF(J30="計画なし","－",IF(J30="策定済","✕",IF(H30="","？",IF(AND(H30&gt;='集計・設定'!$C$4,H30&lt;='集計・設定'!$C$5),IF(J30="着手済","△","◎"),"✕"))))</f>
        <v/>
      </c>
      <c r="E30" s="13">
        <f>IF(P30="計画なし","－",IF(P30="策定済","✕",IF(N30="","？",IF(AND(N30&gt;='集計・設定'!$C$4,N30&lt;='集計・設定'!$C$5),IF(P30="着手済","△","◎"),"✕"))))</f>
        <v/>
      </c>
      <c r="F30" s="11" t="n"/>
      <c r="G30" s="11" t="inlineStr">
        <is>
          <t>不明</t>
        </is>
      </c>
      <c r="H30" s="13" t="n"/>
      <c r="I30" s="13" t="inlineStr">
        <is>
          <t>不明</t>
        </is>
      </c>
      <c r="J30" s="13" t="inlineStr">
        <is>
          <t>未確認</t>
        </is>
      </c>
      <c r="K30" s="11" t="n"/>
      <c r="L30" s="11" t="n"/>
      <c r="M30" s="11" t="inlineStr">
        <is>
          <t>不明</t>
        </is>
      </c>
      <c r="N30" s="13" t="n"/>
      <c r="O30" s="13" t="inlineStr">
        <is>
          <t>不明</t>
        </is>
      </c>
      <c r="P30" s="13" t="inlineStr">
        <is>
          <t>未確認</t>
        </is>
      </c>
      <c r="Q30" s="11" t="n"/>
      <c r="R30" s="11" t="inlineStr">
        <is>
          <t>町単独の地域公共交通計画は確認できず。下北半島都市圏（広域立地適正化方針）には含まれるが、下北地域公共交通計画の対象は5市町村で横浜町は含まれない模様。町HPに2026-04-10付PDFあり内容未確認 https://www.town.yokohama.lg.jp/index.cfm/6,9299,c,html/9299/20260410-143501.pdf 。 環境基本計画は検索予算上限により未調査（要確認）。</t>
        </is>
      </c>
      <c r="S30" s="17" t="inlineStr">
        <is>
          <t>未調査</t>
        </is>
      </c>
    </row>
    <row r="31">
      <c r="A31" s="11" t="n">
        <v>28</v>
      </c>
      <c r="B31" s="11" t="inlineStr">
        <is>
          <t>東北町</t>
        </is>
      </c>
      <c r="C31" s="12">
        <f>IF(OR(D31="◎",E31="◎"),"◎ 営業",IF(OR(D31="△",E31="△"),"△ 着手済・要確認",IF(OR(D31="？",E31="？"),"？ 期間要確認","✕ 対象外")))</f>
        <v/>
      </c>
      <c r="D31" s="13">
        <f>IF(J31="計画なし","－",IF(J31="策定済","✕",IF(H31="","？",IF(AND(H31&gt;='集計・設定'!$C$4,H31&lt;='集計・設定'!$C$5),IF(J31="着手済","△","◎"),"✕"))))</f>
        <v/>
      </c>
      <c r="E31" s="13">
        <f>IF(P31="計画なし","－",IF(P31="策定済","✕",IF(N31="","？",IF(AND(N31&gt;='集計・設定'!$C$4,N31&lt;='集計・設定'!$C$5),IF(P31="着手済","△","◎"),"✕"))))</f>
        <v/>
      </c>
      <c r="F31" s="11" t="n"/>
      <c r="G31" s="11" t="inlineStr">
        <is>
          <t>不明</t>
        </is>
      </c>
      <c r="H31" s="13" t="n"/>
      <c r="I31" s="13" t="inlineStr">
        <is>
          <t>不明</t>
        </is>
      </c>
      <c r="J31" s="13" t="inlineStr">
        <is>
          <t>未確認</t>
        </is>
      </c>
      <c r="K31" s="11" t="n"/>
      <c r="L31" s="11" t="n"/>
      <c r="M31" s="11" t="inlineStr">
        <is>
          <t>不明</t>
        </is>
      </c>
      <c r="N31" s="13" t="n"/>
      <c r="O31" s="13" t="inlineStr">
        <is>
          <t>不明</t>
        </is>
      </c>
      <c r="P31" s="13" t="inlineStr">
        <is>
          <t>未確認</t>
        </is>
      </c>
      <c r="Q31" s="11" t="n"/>
      <c r="R31" s="11" t="inlineStr">
        <is>
          <t>東北町地域公共交通会議あり（会議録 https://www.town.tohoku.lg.jp/chousei/info/info_yakuba_03-54.html ）。地域公共交通計画の有無は未確認。 環境基本計画は検索予算上限により未調査（要確認）。</t>
        </is>
      </c>
      <c r="S31" s="17" t="inlineStr">
        <is>
          <t>未調査</t>
        </is>
      </c>
    </row>
    <row r="32">
      <c r="A32" s="11" t="n">
        <v>29</v>
      </c>
      <c r="B32" s="11" t="inlineStr">
        <is>
          <t>六ヶ所村</t>
        </is>
      </c>
      <c r="C32" s="12">
        <f>IF(OR(D32="◎",E32="◎"),"◎ 営業",IF(OR(D32="△",E32="△"),"△ 着手済・要確認",IF(OR(D32="？",E32="？"),"？ 期間要確認","✕ 対象外")))</f>
        <v/>
      </c>
      <c r="D32" s="13">
        <f>IF(J32="計画なし","－",IF(J32="策定済","✕",IF(H32="","？",IF(AND(H32&gt;='集計・設定'!$C$4,H32&lt;='集計・設定'!$C$5),IF(J32="着手済","△","◎"),"✕"))))</f>
        <v/>
      </c>
      <c r="E32" s="13">
        <f>IF(P32="計画なし","－",IF(P32="策定済","✕",IF(N32="","？",IF(AND(N32&gt;='集計・設定'!$C$4,N32&lt;='集計・設定'!$C$5),IF(P32="着手済","△","◎"),"✕"))))</f>
        <v/>
      </c>
      <c r="F32" s="11" t="inlineStr">
        <is>
          <t>六ヶ所村地域公共交通計画</t>
        </is>
      </c>
      <c r="G32" s="11" t="inlineStr">
        <is>
          <t>R7〜（終期不明）</t>
        </is>
      </c>
      <c r="H32" s="13" t="n"/>
      <c r="I32" s="13" t="inlineStr">
        <is>
          <t>不明</t>
        </is>
      </c>
      <c r="J32" s="13" t="inlineStr">
        <is>
          <t>策定済</t>
        </is>
      </c>
      <c r="K32" s="14" t="inlineStr">
        <is>
          <t>https://www.rokkasho.jp/index.cfm/14,19918,c,html/19918/20250620-120455.pdf</t>
        </is>
      </c>
      <c r="L32" s="11" t="n"/>
      <c r="M32" s="11" t="inlineStr">
        <is>
          <t>不明</t>
        </is>
      </c>
      <c r="N32" s="13" t="n"/>
      <c r="O32" s="13" t="inlineStr">
        <is>
          <t>不明</t>
        </is>
      </c>
      <c r="P32" s="13" t="inlineStr">
        <is>
          <t>未確認</t>
        </is>
      </c>
      <c r="Q32" s="11" t="n"/>
      <c r="R32" s="11" t="inlineStr">
        <is>
          <t>R7.3策定（素案住民意見聴取後）。計画ページ https://www.rokkasho.jp/index.cfm/11,19571,31,177,html 。R7.6に計画に基づく再編・見直し検討及び実証運行支援業務の公募型プロポーザル実施 https://www.rokkasho.jp/index.cfm/14,19918,31,177,html 。 環境基本計画は検索予算上限により未調査（要確認）。</t>
        </is>
      </c>
      <c r="S32" s="17" t="inlineStr">
        <is>
          <t>交通のみ調査</t>
        </is>
      </c>
    </row>
    <row r="33">
      <c r="A33" s="11" t="n">
        <v>30</v>
      </c>
      <c r="B33" s="11" t="inlineStr">
        <is>
          <t>おいらせ町</t>
        </is>
      </c>
      <c r="C33" s="12">
        <f>IF(OR(D33="◎",E33="◎"),"◎ 営業",IF(OR(D33="△",E33="△"),"△ 着手済・要確認",IF(OR(D33="？",E33="？"),"？ 期間要確認","✕ 対象外")))</f>
        <v/>
      </c>
      <c r="D33" s="13">
        <f>IF(J33="計画なし","－",IF(J33="策定済","✕",IF(H33="","？",IF(AND(H33&gt;='集計・設定'!$C$4,H33&lt;='集計・設定'!$C$5),IF(J33="着手済","△","◎"),"✕"))))</f>
        <v/>
      </c>
      <c r="E33" s="13">
        <f>IF(P33="計画なし","－",IF(P33="策定済","✕",IF(N33="","？",IF(AND(N33&gt;='集計・設定'!$C$4,N33&lt;='集計・設定'!$C$5),IF(P33="着手済","△","◎"),"✕"))))</f>
        <v/>
      </c>
      <c r="F33" s="11" t="inlineStr">
        <is>
          <t>八戸圏域地域公共交通計画（八戸圏域8市町村共同）</t>
        </is>
      </c>
      <c r="G33" s="11" t="inlineStr">
        <is>
          <t>R5〜R10</t>
        </is>
      </c>
      <c r="H33" s="13" t="n">
        <v>10</v>
      </c>
      <c r="I33" s="13" t="inlineStr">
        <is>
          <t>確認済</t>
        </is>
      </c>
      <c r="J33" s="13" t="inlineStr">
        <is>
          <t>未確認</t>
        </is>
      </c>
      <c r="K33" s="14" t="inlineStr">
        <is>
          <t>https://www.city.hachinohe.aomori.jp/section/public_transport/</t>
        </is>
      </c>
      <c r="L33" s="11" t="n"/>
      <c r="M33" s="11" t="inlineStr">
        <is>
          <t>不明</t>
        </is>
      </c>
      <c r="N33" s="13" t="n"/>
      <c r="O33" s="13" t="inlineStr">
        <is>
          <t>不明</t>
        </is>
      </c>
      <c r="P33" s="13" t="inlineStr">
        <is>
          <t>未確認</t>
        </is>
      </c>
      <c r="Q33" s="11" t="n"/>
      <c r="R33" s="11" t="inlineStr">
        <is>
          <t>八戸圏域連携中枢都市圏8市町村（八戸市・三戸町・五戸町・田子町・南部町・階上町・新郷村・おいらせ町）の共同計画、R5.3策定。次期計画作業は未確認。URLは八戸市公共交通政策課ページ（計画本体PDFは東北運輸局資料 https://wwwtb.mlit.go.jp/tohoku/content/000341938.pdf 等で言及）。 環境基本計画は検索予算上限により未調査（要確認）。</t>
        </is>
      </c>
      <c r="S33" s="17" t="inlineStr">
        <is>
          <t>交通のみ調査</t>
        </is>
      </c>
    </row>
    <row r="34">
      <c r="A34" s="11" t="n">
        <v>31</v>
      </c>
      <c r="B34" s="11" t="inlineStr">
        <is>
          <t>大間町</t>
        </is>
      </c>
      <c r="C34" s="12">
        <f>IF(OR(D34="◎",E34="◎"),"◎ 営業",IF(OR(D34="△",E34="△"),"△ 着手済・要確認",IF(OR(D34="？",E34="？"),"？ 期間要確認","✕ 対象外")))</f>
        <v/>
      </c>
      <c r="D34" s="13">
        <f>IF(J34="計画なし","－",IF(J34="策定済","✕",IF(H34="","？",IF(AND(H34&gt;='集計・設定'!$C$4,H34&lt;='集計・設定'!$C$5),IF(J34="着手済","△","◎"),"✕"))))</f>
        <v/>
      </c>
      <c r="E34" s="13">
        <f>IF(P34="計画なし","－",IF(P34="策定済","✕",IF(N34="","？",IF(AND(N34&gt;='集計・設定'!$C$4,N34&lt;='集計・設定'!$C$5),IF(P34="着手済","△","◎"),"✕"))))</f>
        <v/>
      </c>
      <c r="F34" s="11" t="inlineStr">
        <is>
          <t>下北地域公共交通計画（下北地域公共交通総合連携協議会：むつ市・大間町・東通村・風間浦村・佐井村）</t>
        </is>
      </c>
      <c r="G34" s="11" t="inlineStr">
        <is>
          <t>R7〜R11</t>
        </is>
      </c>
      <c r="H34" s="13" t="n">
        <v>11</v>
      </c>
      <c r="I34" s="13" t="inlineStr">
        <is>
          <t>確認済</t>
        </is>
      </c>
      <c r="J34" s="13" t="inlineStr">
        <is>
          <t>策定済</t>
        </is>
      </c>
      <c r="K34" s="14" t="inlineStr">
        <is>
          <t>https://www.city.mutsu.lg.jp/government/katsudou/kyoudou/files/simokitatiikikoukyoukoutuukeikakusoann.pdf</t>
        </is>
      </c>
      <c r="L34" s="11" t="n"/>
      <c r="M34" s="11" t="inlineStr">
        <is>
          <t>不明</t>
        </is>
      </c>
      <c r="N34" s="13" t="n"/>
      <c r="O34" s="13" t="inlineStr">
        <is>
          <t>不明</t>
        </is>
      </c>
      <c r="P34" s="13" t="inlineStr">
        <is>
          <t>未確認</t>
        </is>
      </c>
      <c r="Q34" s="11" t="n"/>
      <c r="R34" s="11" t="inlineStr">
        <is>
          <t>素案意見募集R7.2.17〜3.3、計画期間2025〜2029年度（R6年度末策定とみられる）。旧・下北地域公共交通網形成計画(H30.3)の後継。むつ市は本計画に基づく公共交通再編実施計画(2026〜2029)を作成 https://www.city.mutsu.lg.jp/kurashi/koutsu/koutsu_sisaku/files/mutsu_kokyokotsusaihen_2026.pdf 。URLは素案PDF。 環境基本計画は検索予算上限により未調査（要確認）。</t>
        </is>
      </c>
      <c r="S34" s="17" t="inlineStr">
        <is>
          <t>交通のみ調査</t>
        </is>
      </c>
    </row>
    <row r="35">
      <c r="A35" s="11" t="n">
        <v>32</v>
      </c>
      <c r="B35" s="11" t="inlineStr">
        <is>
          <t>東通村</t>
        </is>
      </c>
      <c r="C35" s="12">
        <f>IF(OR(D35="◎",E35="◎"),"◎ 営業",IF(OR(D35="△",E35="△"),"△ 着手済・要確認",IF(OR(D35="？",E35="？"),"？ 期間要確認","✕ 対象外")))</f>
        <v/>
      </c>
      <c r="D35" s="13">
        <f>IF(J35="計画なし","－",IF(J35="策定済","✕",IF(H35="","？",IF(AND(H35&gt;='集計・設定'!$C$4,H35&lt;='集計・設定'!$C$5),IF(J35="着手済","△","◎"),"✕"))))</f>
        <v/>
      </c>
      <c r="E35" s="13">
        <f>IF(P35="計画なし","－",IF(P35="策定済","✕",IF(N35="","？",IF(AND(N35&gt;='集計・設定'!$C$4,N35&lt;='集計・設定'!$C$5),IF(P35="着手済","△","◎"),"✕"))))</f>
        <v/>
      </c>
      <c r="F35" s="11" t="inlineStr">
        <is>
          <t>下北地域公共交通計画（下北地域公共交通総合連携協議会：むつ市・大間町・東通村・風間浦村・佐井村）</t>
        </is>
      </c>
      <c r="G35" s="11" t="inlineStr">
        <is>
          <t>R7〜R11</t>
        </is>
      </c>
      <c r="H35" s="13" t="n">
        <v>11</v>
      </c>
      <c r="I35" s="13" t="inlineStr">
        <is>
          <t>確認済</t>
        </is>
      </c>
      <c r="J35" s="13" t="inlineStr">
        <is>
          <t>策定済</t>
        </is>
      </c>
      <c r="K35" s="14" t="inlineStr">
        <is>
          <t>https://www.city.mutsu.lg.jp/government/katsudou/kyoudou/files/simokitatiikikoukyoukoutuukeikakusoann.pdf</t>
        </is>
      </c>
      <c r="L35" s="11" t="n"/>
      <c r="M35" s="11" t="inlineStr">
        <is>
          <t>不明</t>
        </is>
      </c>
      <c r="N35" s="13" t="n"/>
      <c r="O35" s="13" t="inlineStr">
        <is>
          <t>不明</t>
        </is>
      </c>
      <c r="P35" s="13" t="inlineStr">
        <is>
          <t>未確認</t>
        </is>
      </c>
      <c r="Q35" s="11" t="n"/>
      <c r="R35" s="11" t="inlineStr">
        <is>
          <t>素案意見募集R7.2.17〜3.3、計画期間2025〜2029年度（R6年度末策定とみられる）。旧・下北地域公共交通網形成計画(H30.3)の後継。むつ市は本計画に基づく公共交通再編実施計画(2026〜2029)を作成 https://www.city.mutsu.lg.jp/kurashi/koutsu/koutsu_sisaku/files/mutsu_kokyokotsusaihen_2026.pdf 。URLは素案PDF。 環境基本計画は検索予算上限により未調査（要確認）。</t>
        </is>
      </c>
      <c r="S35" s="17" t="inlineStr">
        <is>
          <t>交通のみ調査</t>
        </is>
      </c>
    </row>
    <row r="36">
      <c r="A36" s="11" t="n">
        <v>33</v>
      </c>
      <c r="B36" s="11" t="inlineStr">
        <is>
          <t>風間浦村</t>
        </is>
      </c>
      <c r="C36" s="12">
        <f>IF(OR(D36="◎",E36="◎"),"◎ 営業",IF(OR(D36="△",E36="△"),"△ 着手済・要確認",IF(OR(D36="？",E36="？"),"？ 期間要確認","✕ 対象外")))</f>
        <v/>
      </c>
      <c r="D36" s="13">
        <f>IF(J36="計画なし","－",IF(J36="策定済","✕",IF(H36="","？",IF(AND(H36&gt;='集計・設定'!$C$4,H36&lt;='集計・設定'!$C$5),IF(J36="着手済","△","◎"),"✕"))))</f>
        <v/>
      </c>
      <c r="E36" s="13">
        <f>IF(P36="計画なし","－",IF(P36="策定済","✕",IF(N36="","？",IF(AND(N36&gt;='集計・設定'!$C$4,N36&lt;='集計・設定'!$C$5),IF(P36="着手済","△","◎"),"✕"))))</f>
        <v/>
      </c>
      <c r="F36" s="11" t="inlineStr">
        <is>
          <t>下北地域公共交通計画（下北地域公共交通総合連携協議会：むつ市・大間町・東通村・風間浦村・佐井村）</t>
        </is>
      </c>
      <c r="G36" s="11" t="inlineStr">
        <is>
          <t>R7〜R11</t>
        </is>
      </c>
      <c r="H36" s="13" t="n">
        <v>11</v>
      </c>
      <c r="I36" s="13" t="inlineStr">
        <is>
          <t>確認済</t>
        </is>
      </c>
      <c r="J36" s="13" t="inlineStr">
        <is>
          <t>策定済</t>
        </is>
      </c>
      <c r="K36" s="14" t="inlineStr">
        <is>
          <t>https://www.city.mutsu.lg.jp/government/katsudou/kyoudou/files/simokitatiikikoukyoukoutuukeikakusoann.pdf</t>
        </is>
      </c>
      <c r="L36" s="11" t="n"/>
      <c r="M36" s="11" t="inlineStr">
        <is>
          <t>不明</t>
        </is>
      </c>
      <c r="N36" s="13" t="n"/>
      <c r="O36" s="13" t="inlineStr">
        <is>
          <t>不明</t>
        </is>
      </c>
      <c r="P36" s="13" t="inlineStr">
        <is>
          <t>未確認</t>
        </is>
      </c>
      <c r="Q36" s="11" t="n"/>
      <c r="R36" s="11" t="inlineStr">
        <is>
          <t>素案意見募集R7.2.17〜3.3、計画期間2025〜2029年度（R6年度末策定とみられる）。旧・下北地域公共交通網形成計画(H30.3)の後継。むつ市は本計画に基づく公共交通再編実施計画(2026〜2029)を作成 https://www.city.mutsu.lg.jp/kurashi/koutsu/koutsu_sisaku/files/mutsu_kokyokotsusaihen_2026.pdf 。URLは素案PDF。 環境基本計画は検索予算上限により未調査（要確認）。</t>
        </is>
      </c>
      <c r="S36" s="17" t="inlineStr">
        <is>
          <t>交通のみ調査</t>
        </is>
      </c>
    </row>
    <row r="37">
      <c r="A37" s="11" t="n">
        <v>34</v>
      </c>
      <c r="B37" s="11" t="inlineStr">
        <is>
          <t>佐井村</t>
        </is>
      </c>
      <c r="C37" s="12">
        <f>IF(OR(D37="◎",E37="◎"),"◎ 営業",IF(OR(D37="△",E37="△"),"△ 着手済・要確認",IF(OR(D37="？",E37="？"),"？ 期間要確認","✕ 対象外")))</f>
        <v/>
      </c>
      <c r="D37" s="13">
        <f>IF(J37="計画なし","－",IF(J37="策定済","✕",IF(H37="","？",IF(AND(H37&gt;='集計・設定'!$C$4,H37&lt;='集計・設定'!$C$5),IF(J37="着手済","△","◎"),"✕"))))</f>
        <v/>
      </c>
      <c r="E37" s="13">
        <f>IF(P37="計画なし","－",IF(P37="策定済","✕",IF(N37="","？",IF(AND(N37&gt;='集計・設定'!$C$4,N37&lt;='集計・設定'!$C$5),IF(P37="着手済","△","◎"),"✕"))))</f>
        <v/>
      </c>
      <c r="F37" s="11" t="inlineStr">
        <is>
          <t>下北地域公共交通計画（下北地域公共交通総合連携協議会：むつ市・大間町・東通村・風間浦村・佐井村）</t>
        </is>
      </c>
      <c r="G37" s="11" t="inlineStr">
        <is>
          <t>R7〜R11</t>
        </is>
      </c>
      <c r="H37" s="13" t="n">
        <v>11</v>
      </c>
      <c r="I37" s="13" t="inlineStr">
        <is>
          <t>確認済</t>
        </is>
      </c>
      <c r="J37" s="13" t="inlineStr">
        <is>
          <t>策定済</t>
        </is>
      </c>
      <c r="K37" s="14" t="inlineStr">
        <is>
          <t>https://www.city.mutsu.lg.jp/government/katsudou/kyoudou/files/simokitatiikikoukyoukoutuukeikakusoann.pdf</t>
        </is>
      </c>
      <c r="L37" s="11" t="n"/>
      <c r="M37" s="11" t="inlineStr">
        <is>
          <t>不明</t>
        </is>
      </c>
      <c r="N37" s="13" t="n"/>
      <c r="O37" s="13" t="inlineStr">
        <is>
          <t>不明</t>
        </is>
      </c>
      <c r="P37" s="13" t="inlineStr">
        <is>
          <t>未確認</t>
        </is>
      </c>
      <c r="Q37" s="11" t="n"/>
      <c r="R37" s="11" t="inlineStr">
        <is>
          <t>素案意見募集R7.2.17〜3.3、計画期間2025〜2029年度（R6年度末策定とみられる）。旧・下北地域公共交通網形成計画(H30.3)の後継。むつ市は本計画に基づく公共交通再編実施計画(2026〜2029)を作成 https://www.city.mutsu.lg.jp/kurashi/koutsu/koutsu_sisaku/files/mutsu_kokyokotsusaihen_2026.pdf 。URLは素案PDF。 環境基本計画は検索予算上限により未調査（要確認）。</t>
        </is>
      </c>
      <c r="S37" s="17" t="inlineStr">
        <is>
          <t>交通のみ調査</t>
        </is>
      </c>
    </row>
    <row r="38">
      <c r="A38" s="11" t="n">
        <v>35</v>
      </c>
      <c r="B38" s="11" t="inlineStr">
        <is>
          <t>三戸町</t>
        </is>
      </c>
      <c r="C38" s="12">
        <f>IF(OR(D38="◎",E38="◎"),"◎ 営業",IF(OR(D38="△",E38="△"),"△ 着手済・要確認",IF(OR(D38="？",E38="？"),"？ 期間要確認","✕ 対象外")))</f>
        <v/>
      </c>
      <c r="D38" s="13">
        <f>IF(J38="計画なし","－",IF(J38="策定済","✕",IF(H38="","？",IF(AND(H38&gt;='集計・設定'!$C$4,H38&lt;='集計・設定'!$C$5),IF(J38="着手済","△","◎"),"✕"))))</f>
        <v/>
      </c>
      <c r="E38" s="13">
        <f>IF(P38="計画なし","－",IF(P38="策定済","✕",IF(N38="","？",IF(AND(N38&gt;='集計・設定'!$C$4,N38&lt;='集計・設定'!$C$5),IF(P38="着手済","△","◎"),"✕"))))</f>
        <v/>
      </c>
      <c r="F38" s="11" t="inlineStr">
        <is>
          <t>八戸圏域地域公共交通計画（八戸圏域8市町村共同）</t>
        </is>
      </c>
      <c r="G38" s="11" t="inlineStr">
        <is>
          <t>R5〜R10</t>
        </is>
      </c>
      <c r="H38" s="13" t="n">
        <v>10</v>
      </c>
      <c r="I38" s="13" t="inlineStr">
        <is>
          <t>確認済</t>
        </is>
      </c>
      <c r="J38" s="13" t="inlineStr">
        <is>
          <t>未確認</t>
        </is>
      </c>
      <c r="K38" s="14" t="inlineStr">
        <is>
          <t>https://www.city.hachinohe.aomori.jp/section/public_transport/</t>
        </is>
      </c>
      <c r="L38" s="11" t="n"/>
      <c r="M38" s="11" t="inlineStr">
        <is>
          <t>不明</t>
        </is>
      </c>
      <c r="N38" s="13" t="n"/>
      <c r="O38" s="13" t="inlineStr">
        <is>
          <t>不明</t>
        </is>
      </c>
      <c r="P38" s="13" t="inlineStr">
        <is>
          <t>未確認</t>
        </is>
      </c>
      <c r="Q38" s="11" t="n"/>
      <c r="R38" s="11" t="inlineStr">
        <is>
          <t>八戸圏域連携中枢都市圏8市町村（八戸市・三戸町・五戸町・田子町・南部町・階上町・新郷村・おいらせ町）の共同計画、R5.3策定。次期計画作業は未確認。URLは八戸市公共交通政策課ページ（計画本体PDFは東北運輸局資料 https://wwwtb.mlit.go.jp/tohoku/content/000341938.pdf 等で言及）。 環境基本計画は検索予算上限により未調査（要確認）。</t>
        </is>
      </c>
      <c r="S38" s="17" t="inlineStr">
        <is>
          <t>交通のみ調査</t>
        </is>
      </c>
    </row>
    <row r="39">
      <c r="A39" s="11" t="n">
        <v>36</v>
      </c>
      <c r="B39" s="11" t="inlineStr">
        <is>
          <t>五戸町</t>
        </is>
      </c>
      <c r="C39" s="12">
        <f>IF(OR(D39="◎",E39="◎"),"◎ 営業",IF(OR(D39="△",E39="△"),"△ 着手済・要確認",IF(OR(D39="？",E39="？"),"？ 期間要確認","✕ 対象外")))</f>
        <v/>
      </c>
      <c r="D39" s="13">
        <f>IF(J39="計画なし","－",IF(J39="策定済","✕",IF(H39="","？",IF(AND(H39&gt;='集計・設定'!$C$4,H39&lt;='集計・設定'!$C$5),IF(J39="着手済","△","◎"),"✕"))))</f>
        <v/>
      </c>
      <c r="E39" s="13">
        <f>IF(P39="計画なし","－",IF(P39="策定済","✕",IF(N39="","？",IF(AND(N39&gt;='集計・設定'!$C$4,N39&lt;='集計・設定'!$C$5),IF(P39="着手済","△","◎"),"✕"))))</f>
        <v/>
      </c>
      <c r="F39" s="11" t="inlineStr">
        <is>
          <t>八戸圏域地域公共交通計画（八戸圏域8市町村共同）</t>
        </is>
      </c>
      <c r="G39" s="11" t="inlineStr">
        <is>
          <t>R5〜R10</t>
        </is>
      </c>
      <c r="H39" s="13" t="n">
        <v>10</v>
      </c>
      <c r="I39" s="13" t="inlineStr">
        <is>
          <t>確認済</t>
        </is>
      </c>
      <c r="J39" s="13" t="inlineStr">
        <is>
          <t>未確認</t>
        </is>
      </c>
      <c r="K39" s="14" t="inlineStr">
        <is>
          <t>https://www.city.hachinohe.aomori.jp/section/public_transport/</t>
        </is>
      </c>
      <c r="L39" s="11" t="n"/>
      <c r="M39" s="11" t="inlineStr">
        <is>
          <t>不明</t>
        </is>
      </c>
      <c r="N39" s="13" t="n"/>
      <c r="O39" s="13" t="inlineStr">
        <is>
          <t>不明</t>
        </is>
      </c>
      <c r="P39" s="13" t="inlineStr">
        <is>
          <t>未確認</t>
        </is>
      </c>
      <c r="Q39" s="11" t="n"/>
      <c r="R39" s="11" t="inlineStr">
        <is>
          <t>八戸圏域連携中枢都市圏8市町村（八戸市・三戸町・五戸町・田子町・南部町・階上町・新郷村・おいらせ町）の共同計画、R5.3策定。次期計画作業は未確認。URLは八戸市公共交通政策課ページ（計画本体PDFは東北運輸局資料 https://wwwtb.mlit.go.jp/tohoku/content/000341938.pdf 等で言及）。 環境基本計画は検索予算上限により未調査（要確認）。</t>
        </is>
      </c>
      <c r="S39" s="17" t="inlineStr">
        <is>
          <t>交通のみ調査</t>
        </is>
      </c>
    </row>
    <row r="40">
      <c r="A40" s="11" t="n">
        <v>37</v>
      </c>
      <c r="B40" s="11" t="inlineStr">
        <is>
          <t>田子町</t>
        </is>
      </c>
      <c r="C40" s="12">
        <f>IF(OR(D40="◎",E40="◎"),"◎ 営業",IF(OR(D40="△",E40="△"),"△ 着手済・要確認",IF(OR(D40="？",E40="？"),"？ 期間要確認","✕ 対象外")))</f>
        <v/>
      </c>
      <c r="D40" s="13">
        <f>IF(J40="計画なし","－",IF(J40="策定済","✕",IF(H40="","？",IF(AND(H40&gt;='集計・設定'!$C$4,H40&lt;='集計・設定'!$C$5),IF(J40="着手済","△","◎"),"✕"))))</f>
        <v/>
      </c>
      <c r="E40" s="13">
        <f>IF(P40="計画なし","－",IF(P40="策定済","✕",IF(N40="","？",IF(AND(N40&gt;='集計・設定'!$C$4,N40&lt;='集計・設定'!$C$5),IF(P40="着手済","△","◎"),"✕"))))</f>
        <v/>
      </c>
      <c r="F40" s="11" t="inlineStr">
        <is>
          <t>八戸圏域地域公共交通計画（八戸圏域8市町村共同）</t>
        </is>
      </c>
      <c r="G40" s="11" t="inlineStr">
        <is>
          <t>R5〜R10</t>
        </is>
      </c>
      <c r="H40" s="13" t="n">
        <v>10</v>
      </c>
      <c r="I40" s="13" t="inlineStr">
        <is>
          <t>確認済</t>
        </is>
      </c>
      <c r="J40" s="13" t="inlineStr">
        <is>
          <t>未確認</t>
        </is>
      </c>
      <c r="K40" s="14" t="inlineStr">
        <is>
          <t>https://www.city.hachinohe.aomori.jp/section/public_transport/</t>
        </is>
      </c>
      <c r="L40" s="11" t="n"/>
      <c r="M40" s="11" t="inlineStr">
        <is>
          <t>不明</t>
        </is>
      </c>
      <c r="N40" s="13" t="n"/>
      <c r="O40" s="13" t="inlineStr">
        <is>
          <t>不明</t>
        </is>
      </c>
      <c r="P40" s="13" t="inlineStr">
        <is>
          <t>未確認</t>
        </is>
      </c>
      <c r="Q40" s="11" t="n"/>
      <c r="R40" s="11" t="inlineStr">
        <is>
          <t>八戸圏域連携中枢都市圏8市町村（八戸市・三戸町・五戸町・田子町・南部町・階上町・新郷村・おいらせ町）の共同計画、R5.3策定。次期計画作業は未確認。URLは八戸市公共交通政策課ページ（計画本体PDFは東北運輸局資料 https://wwwtb.mlit.go.jp/tohoku/content/000341938.pdf 等で言及）。 環境基本計画は検索予算上限により未調査（要確認）。</t>
        </is>
      </c>
      <c r="S40" s="17" t="inlineStr">
        <is>
          <t>交通のみ調査</t>
        </is>
      </c>
    </row>
    <row r="41">
      <c r="A41" s="11" t="n">
        <v>38</v>
      </c>
      <c r="B41" s="11" t="inlineStr">
        <is>
          <t>南部町</t>
        </is>
      </c>
      <c r="C41" s="12">
        <f>IF(OR(D41="◎",E41="◎"),"◎ 営業",IF(OR(D41="△",E41="△"),"△ 着手済・要確認",IF(OR(D41="？",E41="？"),"？ 期間要確認","✕ 対象外")))</f>
        <v/>
      </c>
      <c r="D41" s="13">
        <f>IF(J41="計画なし","－",IF(J41="策定済","✕",IF(H41="","？",IF(AND(H41&gt;='集計・設定'!$C$4,H41&lt;='集計・設定'!$C$5),IF(J41="着手済","△","◎"),"✕"))))</f>
        <v/>
      </c>
      <c r="E41" s="13">
        <f>IF(P41="計画なし","－",IF(P41="策定済","✕",IF(N41="","？",IF(AND(N41&gt;='集計・設定'!$C$4,N41&lt;='集計・設定'!$C$5),IF(P41="着手済","△","◎"),"✕"))))</f>
        <v/>
      </c>
      <c r="F41" s="11" t="inlineStr">
        <is>
          <t>八戸圏域地域公共交通計画（八戸圏域8市町村共同）</t>
        </is>
      </c>
      <c r="G41" s="11" t="inlineStr">
        <is>
          <t>R5〜R10</t>
        </is>
      </c>
      <c r="H41" s="13" t="n">
        <v>10</v>
      </c>
      <c r="I41" s="13" t="inlineStr">
        <is>
          <t>確認済</t>
        </is>
      </c>
      <c r="J41" s="13" t="inlineStr">
        <is>
          <t>未確認</t>
        </is>
      </c>
      <c r="K41" s="14" t="inlineStr">
        <is>
          <t>https://www.city.hachinohe.aomori.jp/section/public_transport/</t>
        </is>
      </c>
      <c r="L41" s="11" t="n"/>
      <c r="M41" s="11" t="inlineStr">
        <is>
          <t>不明</t>
        </is>
      </c>
      <c r="N41" s="13" t="n"/>
      <c r="O41" s="13" t="inlineStr">
        <is>
          <t>不明</t>
        </is>
      </c>
      <c r="P41" s="13" t="inlineStr">
        <is>
          <t>未確認</t>
        </is>
      </c>
      <c r="Q41" s="11" t="n"/>
      <c r="R41" s="11" t="inlineStr">
        <is>
          <t>八戸圏域連携中枢都市圏8市町村（八戸市・三戸町・五戸町・田子町・南部町・階上町・新郷村・おいらせ町）の共同計画、R5.3策定。次期計画作業は未確認。URLは八戸市公共交通政策課ページ（計画本体PDFは東北運輸局資料 https://wwwtb.mlit.go.jp/tohoku/content/000341938.pdf 等で言及）。 環境基本計画は検索予算上限により未調査（要確認）。</t>
        </is>
      </c>
      <c r="S41" s="17" t="inlineStr">
        <is>
          <t>交通のみ調査</t>
        </is>
      </c>
    </row>
    <row r="42">
      <c r="A42" s="11" t="n">
        <v>39</v>
      </c>
      <c r="B42" s="11" t="inlineStr">
        <is>
          <t>階上町</t>
        </is>
      </c>
      <c r="C42" s="12">
        <f>IF(OR(D42="◎",E42="◎"),"◎ 営業",IF(OR(D42="△",E42="△"),"△ 着手済・要確認",IF(OR(D42="？",E42="？"),"？ 期間要確認","✕ 対象外")))</f>
        <v/>
      </c>
      <c r="D42" s="13">
        <f>IF(J42="計画なし","－",IF(J42="策定済","✕",IF(H42="","？",IF(AND(H42&gt;='集計・設定'!$C$4,H42&lt;='集計・設定'!$C$5),IF(J42="着手済","△","◎"),"✕"))))</f>
        <v/>
      </c>
      <c r="E42" s="13">
        <f>IF(P42="計画なし","－",IF(P42="策定済","✕",IF(N42="","？",IF(AND(N42&gt;='集計・設定'!$C$4,N42&lt;='集計・設定'!$C$5),IF(P42="着手済","△","◎"),"✕"))))</f>
        <v/>
      </c>
      <c r="F42" s="11" t="inlineStr">
        <is>
          <t>八戸圏域地域公共交通計画（八戸圏域8市町村共同）</t>
        </is>
      </c>
      <c r="G42" s="11" t="inlineStr">
        <is>
          <t>R5〜R10</t>
        </is>
      </c>
      <c r="H42" s="13" t="n">
        <v>10</v>
      </c>
      <c r="I42" s="13" t="inlineStr">
        <is>
          <t>確認済</t>
        </is>
      </c>
      <c r="J42" s="13" t="inlineStr">
        <is>
          <t>未確認</t>
        </is>
      </c>
      <c r="K42" s="14" t="inlineStr">
        <is>
          <t>https://www.city.hachinohe.aomori.jp/section/public_transport/</t>
        </is>
      </c>
      <c r="L42" s="11" t="n"/>
      <c r="M42" s="11" t="inlineStr">
        <is>
          <t>不明</t>
        </is>
      </c>
      <c r="N42" s="13" t="n"/>
      <c r="O42" s="13" t="inlineStr">
        <is>
          <t>不明</t>
        </is>
      </c>
      <c r="P42" s="13" t="inlineStr">
        <is>
          <t>未確認</t>
        </is>
      </c>
      <c r="Q42" s="11" t="n"/>
      <c r="R42" s="11" t="inlineStr">
        <is>
          <t>八戸圏域連携中枢都市圏8市町村（八戸市・三戸町・五戸町・田子町・南部町・階上町・新郷村・おいらせ町）の共同計画、R5.3策定。次期計画作業は未確認。URLは八戸市公共交通政策課ページ（計画本体PDFは東北運輸局資料 https://wwwtb.mlit.go.jp/tohoku/content/000341938.pdf 等で言及）。 環境基本計画は検索予算上限により未調査（要確認）。</t>
        </is>
      </c>
      <c r="S42" s="17" t="inlineStr">
        <is>
          <t>交通のみ調査</t>
        </is>
      </c>
    </row>
    <row r="43">
      <c r="A43" s="11" t="n">
        <v>40</v>
      </c>
      <c r="B43" s="11" t="inlineStr">
        <is>
          <t>新郷村</t>
        </is>
      </c>
      <c r="C43" s="12">
        <f>IF(OR(D43="◎",E43="◎"),"◎ 営業",IF(OR(D43="△",E43="△"),"△ 着手済・要確認",IF(OR(D43="？",E43="？"),"？ 期間要確認","✕ 対象外")))</f>
        <v/>
      </c>
      <c r="D43" s="13">
        <f>IF(J43="計画なし","－",IF(J43="策定済","✕",IF(H43="","？",IF(AND(H43&gt;='集計・設定'!$C$4,H43&lt;='集計・設定'!$C$5),IF(J43="着手済","△","◎"),"✕"))))</f>
        <v/>
      </c>
      <c r="E43" s="13">
        <f>IF(P43="計画なし","－",IF(P43="策定済","✕",IF(N43="","？",IF(AND(N43&gt;='集計・設定'!$C$4,N43&lt;='集計・設定'!$C$5),IF(P43="着手済","△","◎"),"✕"))))</f>
        <v/>
      </c>
      <c r="F43" s="11" t="inlineStr">
        <is>
          <t>八戸圏域地域公共交通計画（八戸圏域8市町村共同）</t>
        </is>
      </c>
      <c r="G43" s="11" t="inlineStr">
        <is>
          <t>R5〜R10</t>
        </is>
      </c>
      <c r="H43" s="13" t="n">
        <v>10</v>
      </c>
      <c r="I43" s="13" t="inlineStr">
        <is>
          <t>確認済</t>
        </is>
      </c>
      <c r="J43" s="13" t="inlineStr">
        <is>
          <t>未確認</t>
        </is>
      </c>
      <c r="K43" s="14" t="inlineStr">
        <is>
          <t>https://www.city.hachinohe.aomori.jp/section/public_transport/</t>
        </is>
      </c>
      <c r="L43" s="11" t="n"/>
      <c r="M43" s="11" t="inlineStr">
        <is>
          <t>不明</t>
        </is>
      </c>
      <c r="N43" s="13" t="n"/>
      <c r="O43" s="13" t="inlineStr">
        <is>
          <t>不明</t>
        </is>
      </c>
      <c r="P43" s="13" t="inlineStr">
        <is>
          <t>未確認</t>
        </is>
      </c>
      <c r="Q43" s="11" t="n"/>
      <c r="R43" s="11" t="inlineStr">
        <is>
          <t>八戸圏域連携中枢都市圏8市町村（八戸市・三戸町・五戸町・田子町・南部町・階上町・新郷村・おいらせ町）の共同計画、R5.3策定。次期計画作業は未確認。URLは八戸市公共交通政策課ページ（計画本体PDFは東北運輸局資料 https://wwwtb.mlit.go.jp/tohoku/content/000341938.pdf 等で言及）。 環境基本計画は検索予算上限により未調査（要確認）。</t>
        </is>
      </c>
      <c r="S43" s="17" t="inlineStr">
        <is>
          <t>交通のみ調査</t>
        </is>
      </c>
    </row>
  </sheetData>
  <autoFilter ref="A3:S43"/>
  <conditionalFormatting sqref="A4:S43">
    <cfRule type="expression" priority="1" dxfId="0">
      <formula>LEFT($C4,1)="◎"</formula>
    </cfRule>
    <cfRule type="expression" priority="2" dxfId="1">
      <formula>LEFT($C4,1)="△"</formula>
    </cfRule>
    <cfRule type="expression" priority="3" dxfId="2">
      <formula>LEFT($C4,1)="？"</formula>
    </cfRule>
    <cfRule type="expression" priority="4" dxfId="3">
      <formula>LEFT($C4,1)="✕"</formula>
    </cfRule>
  </conditionalFormatting>
  <dataValidations count="1">
    <dataValidation sqref="J4:J43 P4:P43" showDropDown="0" showInputMessage="0" showErrorMessage="0" allowBlank="1" type="list">
      <formula1>"未確認,着手済,策定済,計画なし"</formula1>
    </dataValidation>
  </dataValidations>
  <hyperlinks>
    <hyperlink xmlns:r="http://schemas.openxmlformats.org/officeDocument/2006/relationships" ref="K4" r:id="rId1"/>
    <hyperlink xmlns:r="http://schemas.openxmlformats.org/officeDocument/2006/relationships" ref="Q4" r:id="rId2"/>
    <hyperlink xmlns:r="http://schemas.openxmlformats.org/officeDocument/2006/relationships" ref="K5" r:id="rId3"/>
    <hyperlink xmlns:r="http://schemas.openxmlformats.org/officeDocument/2006/relationships" ref="Q5" r:id="rId4"/>
    <hyperlink xmlns:r="http://schemas.openxmlformats.org/officeDocument/2006/relationships" ref="K6" r:id="rId5"/>
    <hyperlink xmlns:r="http://schemas.openxmlformats.org/officeDocument/2006/relationships" ref="Q6" r:id="rId6"/>
    <hyperlink xmlns:r="http://schemas.openxmlformats.org/officeDocument/2006/relationships" ref="K17" r:id="rId7"/>
    <hyperlink xmlns:r="http://schemas.openxmlformats.org/officeDocument/2006/relationships" ref="K22" r:id="rId8"/>
    <hyperlink xmlns:r="http://schemas.openxmlformats.org/officeDocument/2006/relationships" ref="K28" r:id="rId9"/>
    <hyperlink xmlns:r="http://schemas.openxmlformats.org/officeDocument/2006/relationships" ref="K32" r:id="rId10"/>
    <hyperlink xmlns:r="http://schemas.openxmlformats.org/officeDocument/2006/relationships" ref="K33" r:id="rId11"/>
    <hyperlink xmlns:r="http://schemas.openxmlformats.org/officeDocument/2006/relationships" ref="K34" r:id="rId12"/>
    <hyperlink xmlns:r="http://schemas.openxmlformats.org/officeDocument/2006/relationships" ref="K35" r:id="rId13"/>
    <hyperlink xmlns:r="http://schemas.openxmlformats.org/officeDocument/2006/relationships" ref="K36" r:id="rId14"/>
    <hyperlink xmlns:r="http://schemas.openxmlformats.org/officeDocument/2006/relationships" ref="K37" r:id="rId15"/>
    <hyperlink xmlns:r="http://schemas.openxmlformats.org/officeDocument/2006/relationships" ref="K38" r:id="rId16"/>
    <hyperlink xmlns:r="http://schemas.openxmlformats.org/officeDocument/2006/relationships" ref="K39" r:id="rId17"/>
    <hyperlink xmlns:r="http://schemas.openxmlformats.org/officeDocument/2006/relationships" ref="K40" r:id="rId18"/>
    <hyperlink xmlns:r="http://schemas.openxmlformats.org/officeDocument/2006/relationships" ref="K41" r:id="rId19"/>
    <hyperlink xmlns:r="http://schemas.openxmlformats.org/officeDocument/2006/relationships" ref="K42" r:id="rId20"/>
    <hyperlink xmlns:r="http://schemas.openxmlformats.org/officeDocument/2006/relationships" ref="K43" r:id="rId2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2026-09-30T09:13:33Z</dcterms:created>
  <dcterms:modified xsi:type="dcterms:W3CDTF">2026-09-30T09:13:33Z</dcterms:modified>
</cp:coreProperties>
</file>