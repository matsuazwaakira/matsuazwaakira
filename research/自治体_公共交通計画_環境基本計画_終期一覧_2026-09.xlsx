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集計・設定" sheetId="1" state="visible" r:id="rId1"/>
    <sheet name="青森県" sheetId="2" state="visible" r:id="rId2"/>
    <sheet name="岩手県" sheetId="3" state="visible" r:id="rId3"/>
    <sheet name="宮城県" sheetId="4" state="visible" r:id="rId4"/>
    <sheet name="秋田県" sheetId="5" state="visible" r:id="rId5"/>
    <sheet name="山形県" sheetId="6" state="visible" r:id="rId6"/>
    <sheet name="福島県" sheetId="7" state="visible" r:id="rId7"/>
    <sheet name="茨城県" sheetId="8" state="visible" r:id="rId8"/>
    <sheet name="栃木県" sheetId="9" state="visible" r:id="rId9"/>
  </sheets>
  <definedNames>
    <definedName name="_xlnm._FilterDatabase" localSheetId="1" hidden="1">'青森県'!$A$3:$S$43</definedName>
    <definedName name="_xlnm._FilterDatabase" localSheetId="2" hidden="1">'岩手県'!$A$3:$S$36</definedName>
    <definedName name="_xlnm._FilterDatabase" localSheetId="3" hidden="1">'宮城県'!$A$3:$S$38</definedName>
    <definedName name="_xlnm._FilterDatabase" localSheetId="4" hidden="1">'秋田県'!$A$3:$S$28</definedName>
    <definedName name="_xlnm._FilterDatabase" localSheetId="5" hidden="1">'山形県'!$A$3:$S$38</definedName>
    <definedName name="_xlnm._FilterDatabase" localSheetId="6" hidden="1">'福島県'!$A$3:$S$62</definedName>
    <definedName name="_xlnm._FilterDatabase" localSheetId="7" hidden="1">'茨城県'!$A$3:$S$47</definedName>
    <definedName name="_xlnm._FilterDatabase" localSheetId="8" hidden="1">'栃木県'!$A$3:$S$28</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sz val="14"/>
    </font>
    <font>
      <name val="Arial"/>
      <color rgb="00555555"/>
      <sz val="10"/>
    </font>
    <font>
      <name val="Arial"/>
      <b val="1"/>
      <color rgb="00FFFFFF"/>
    </font>
    <font>
      <name val="Arial"/>
      <sz val="10"/>
    </font>
    <font>
      <name val="Arial"/>
      <b val="1"/>
      <sz val="10"/>
    </font>
    <font>
      <name val="Arial"/>
      <color rgb="000563C1"/>
      <sz val="9"/>
      <u val="single"/>
    </font>
    <font>
      <name val="Arial"/>
      <i val="1"/>
      <color rgb="007F6000"/>
      <sz val="10"/>
    </font>
    <font>
      <name val="Arial"/>
      <b val="1"/>
      <color rgb="00C00000"/>
      <sz val="10"/>
    </font>
    <font>
      <name val="Arial"/>
      <b val="1"/>
    </font>
    <font>
      <name val="Arial"/>
    </font>
    <font>
      <name val="Arial"/>
      <b val="1"/>
      <color rgb="000000FF"/>
    </font>
    <font>
      <name val="Arial"/>
      <color rgb="00555555"/>
      <sz val="9"/>
    </font>
  </fonts>
  <fills count="4">
    <fill>
      <patternFill/>
    </fill>
    <fill>
      <patternFill patternType="gray125"/>
    </fill>
    <fill>
      <patternFill patternType="solid">
        <fgColor rgb="001F4E78"/>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9" fillId="0" borderId="0" pivotButton="0" quotePrefix="0" xfId="0"/>
    <xf numFmtId="0" fontId="10" fillId="0" borderId="0" pivotButton="0" quotePrefix="0" xfId="0"/>
    <xf numFmtId="0" fontId="11" fillId="3" borderId="0" pivotButton="0" quotePrefix="0" xfId="0"/>
    <xf numFmtId="0" fontId="12" fillId="0" borderId="0" pivotButton="0" quotePrefix="0" xfId="0"/>
    <xf numFmtId="0" fontId="3" fillId="2" borderId="0" applyAlignment="1" pivotButton="0" quotePrefix="0" xfId="0">
      <alignment horizontal="center"/>
    </xf>
    <xf numFmtId="0" fontId="5" fillId="0" borderId="0" pivotButton="0" quotePrefix="0" xfId="0"/>
    <xf numFmtId="0" fontId="4"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center" vertical="top" wrapText="1"/>
    </xf>
    <xf numFmtId="0" fontId="4" fillId="0" borderId="1" applyAlignment="1" pivotButton="0" quotePrefix="0" xfId="0">
      <alignment horizontal="center" vertical="top" wrapText="1"/>
    </xf>
    <xf numFmtId="0" fontId="6" fillId="0" borderId="1" applyAlignment="1" pivotButton="0" quotePrefix="0" xfId="0">
      <alignment vertical="top" wrapText="1"/>
    </xf>
    <xf numFmtId="0" fontId="4" fillId="0" borderId="1" applyAlignment="1" pivotButton="0" quotePrefix="0" xfId="0">
      <alignment horizontal="center" vertical="top"/>
    </xf>
    <xf numFmtId="0" fontId="7" fillId="0" borderId="1" applyAlignment="1" pivotButton="0" quotePrefix="0" xfId="0">
      <alignment horizontal="center" vertical="top" wrapText="1"/>
    </xf>
    <xf numFmtId="0" fontId="8" fillId="0" borderId="1" applyAlignment="1" pivotButton="0" quotePrefix="0" xfId="0">
      <alignment horizontal="center" vertical="top"/>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DDEBF7"/>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ity.aomori.aomori.jp/somu/shiseijouhou/jyouhou-koukai/tyougi/documents/tiikikoutuumoukeikaku.pdf" TargetMode="External" Id="rId1" /><Relationship Type="http://schemas.openxmlformats.org/officeDocument/2006/relationships/hyperlink" Target="https://www.city.aomori.aomori.jp/_res/projects/default_project/_page_/001/011/090/05_080722siryou3.pdf" TargetMode="External" Id="rId2" /><Relationship Type="http://schemas.openxmlformats.org/officeDocument/2006/relationships/hyperlink" Target="https://www.city.hirosaki.aomori.jp/jouhou/keikaku/kokyokotu/kotsukeikaku.pdf" TargetMode="External" Id="rId3" /><Relationship Type="http://schemas.openxmlformats.org/officeDocument/2006/relationships/hyperlink" Target="https://www.city.hirosaki.aomori.jp/jouhou/keikaku/2021-0401-kankyoukihon.html" TargetMode="External" Id="rId4" /><Relationship Type="http://schemas.openxmlformats.org/officeDocument/2006/relationships/hyperlink" Target="https://wwwtb.mlit.go.jp/tohoku/content/000181287.pdf" TargetMode="External" Id="rId5" /><Relationship Type="http://schemas.openxmlformats.org/officeDocument/2006/relationships/hyperlink" Target="https://www.city.hachinohe.aomori.jp/gyoseijoho/keikaku_plan/kurashi_tetsuzuki/1/1/7959.html" TargetMode="External" Id="rId6" /><Relationship Type="http://schemas.openxmlformats.org/officeDocument/2006/relationships/hyperlink" Target="http://www.city.kuroishi.aomori.jp/shisei/keikaku/2025-0523-1102-33.html" TargetMode="External" Id="rId7" /><Relationship Type="http://schemas.openxmlformats.org/officeDocument/2006/relationships/hyperlink" Target="http://www.city.kuroishi.aomori.jp/shisei/keikaku/kankyou-kihon-keikaku.html" TargetMode="External" Id="rId8" /><Relationship Type="http://schemas.openxmlformats.org/officeDocument/2006/relationships/hyperlink" Target="https://www.city.goshogawara.lg.jp/kurashi/machi/chiikikoukyokoutsukeikaku.html" TargetMode="External" Id="rId9" /><Relationship Type="http://schemas.openxmlformats.org/officeDocument/2006/relationships/hyperlink" Target="https://www.city.towada.lg.jp/kurashi/koutsu/files/keikaku.pdf" TargetMode="External" Id="rId10" /><Relationship Type="http://schemas.openxmlformats.org/officeDocument/2006/relationships/hyperlink" Target="https://www.city.misawa.lg.jp/index.cfm/12,21981,57,254,html" TargetMode="External" Id="rId11" /><Relationship Type="http://schemas.openxmlformats.org/officeDocument/2006/relationships/hyperlink" Target="https://www.city.misawa.lg.jp/index.cfm/12,31881,c,html/31881/20181207-151357.pdf" TargetMode="External" Id="rId12" /><Relationship Type="http://schemas.openxmlformats.org/officeDocument/2006/relationships/hyperlink" Target="https://www.city.mutsu.lg.jp/government/katsudou/kyoudou/files/simokitatiikikoukyoukoutuukeikakusoann.pdf" TargetMode="External" Id="rId13" /><Relationship Type="http://schemas.openxmlformats.org/officeDocument/2006/relationships/hyperlink" Target="https://www.city.tsugaru.aomori.jp/soshiki/minsei/shimin/kankyoeisei/gomi/kankyoukihonkeikaku/10184.html" TargetMode="External" Id="rId14" /><Relationship Type="http://schemas.openxmlformats.org/officeDocument/2006/relationships/hyperlink" Target="https://www.city.hirakawa.lg.jp/kurashi/keikaku/2021-0514-1007-25.html" TargetMode="External" Id="rId15" /><Relationship Type="http://schemas.openxmlformats.org/officeDocument/2006/relationships/hyperlink" Target="https://www.city.hirakawa.lg.jp/kurashi/keikaku/kankyokihonkeikaku.html" TargetMode="External" Id="rId16" /><Relationship Type="http://schemas.openxmlformats.org/officeDocument/2006/relationships/hyperlink" Target="https://www.town.hiranai.aomori.jp/chosei/machizukuri/3/1241.html" TargetMode="External" Id="rId17" /><Relationship Type="http://schemas.openxmlformats.org/officeDocument/2006/relationships/hyperlink" Target="https://www.town.imabetsu.lg.jp/gyousei/koukai/2023-0828-1639-1.html" TargetMode="External" Id="rId18" /><Relationship Type="http://schemas.openxmlformats.org/officeDocument/2006/relationships/hyperlink" Target="https://www.town.sotogahama.lg.jp/gyosei/public/2024-0227-tiikikoukyokoutukeikaku_pabukome.html" TargetMode="External" Id="rId19" /><Relationship Type="http://schemas.openxmlformats.org/officeDocument/2006/relationships/hyperlink" Target="http://www.town.ajigasawa.lg.jp/gyosei_jyoho/kotsu/kokyokotukeikaku.html" TargetMode="External" Id="rId20" /><Relationship Type="http://schemas.openxmlformats.org/officeDocument/2006/relationships/hyperlink" Target="https://www.town.fukaura.lg.jp/doc/2020031800019/file_contents/2020031800019_fixed_docs_2020031800019_file_contents_kotsukeikaku.pdf" TargetMode="External" Id="rId21" /><Relationship Type="http://schemas.openxmlformats.org/officeDocument/2006/relationships/hyperlink" Target="http://www.town.owani.lg.jp/aboutowani/plan/kokyo-kotsu.html" TargetMode="External" Id="rId22" /><Relationship Type="http://schemas.openxmlformats.org/officeDocument/2006/relationships/hyperlink" Target="https://www.town.nakadomari.lg.jp/material/files/group/3/koutuukeikakur6.pdf" TargetMode="External" Id="rId23" /><Relationship Type="http://schemas.openxmlformats.org/officeDocument/2006/relationships/hyperlink" Target="https://www.town.shichinohe.lg.jp/gyosei/keikaku/kurashi/post-197.html" TargetMode="External" Id="rId24" /><Relationship Type="http://schemas.openxmlformats.org/officeDocument/2006/relationships/hyperlink" Target="https://www.rokkasho.jp/index.cfm/14,19918,c,html/19918/20250620-120455.pdf" TargetMode="External" Id="rId25" /><Relationship Type="http://schemas.openxmlformats.org/officeDocument/2006/relationships/hyperlink" Target="https://wwwtb.mlit.go.jp/tohoku/content/000181287.pdf" TargetMode="External" Id="rId26" /><Relationship Type="http://schemas.openxmlformats.org/officeDocument/2006/relationships/hyperlink" Target="https://www.city.mutsu.lg.jp/government/katsudou/kyoudou/files/simokitatiikikoukyoukoutuukeikakusoann.pdf" TargetMode="External" Id="rId27" /><Relationship Type="http://schemas.openxmlformats.org/officeDocument/2006/relationships/hyperlink" Target="https://www.city.mutsu.lg.jp/government/katsudou/kyoudou/files/simokitatiikikoukyoukoutuukeikakusoann.pdf" TargetMode="External" Id="rId28" /><Relationship Type="http://schemas.openxmlformats.org/officeDocument/2006/relationships/hyperlink" Target="https://www.city.mutsu.lg.jp/government/katsudou/kyoudou/files/simokitatiikikoukyoukoutuukeikakusoann.pdf" TargetMode="External" Id="rId29" /><Relationship Type="http://schemas.openxmlformats.org/officeDocument/2006/relationships/hyperlink" Target="https://www.city.mutsu.lg.jp/government/katsudou/kyoudou/files/simokitatiikikoukyoukoutuukeikakusoann.pdf" TargetMode="External" Id="rId30" /><Relationship Type="http://schemas.openxmlformats.org/officeDocument/2006/relationships/hyperlink" Target="https://wwwtb.mlit.go.jp/tohoku/content/000181287.pdf" TargetMode="External" Id="rId31" /><Relationship Type="http://schemas.openxmlformats.org/officeDocument/2006/relationships/hyperlink" Target="https://wwwtb.mlit.go.jp/tohoku/content/000181287.pdf" TargetMode="External" Id="rId32" /><Relationship Type="http://schemas.openxmlformats.org/officeDocument/2006/relationships/hyperlink" Target="https://wwwtb.mlit.go.jp/tohoku/content/000181287.pdf" TargetMode="External" Id="rId33" /><Relationship Type="http://schemas.openxmlformats.org/officeDocument/2006/relationships/hyperlink" Target="https://wwwtb.mlit.go.jp/tohoku/content/000181287.pdf" TargetMode="External" Id="rId34" /><Relationship Type="http://schemas.openxmlformats.org/officeDocument/2006/relationships/hyperlink" Target="https://wwwtb.mlit.go.jp/tohoku/content/000181287.pdf" TargetMode="External" Id="rId35" /><Relationship Type="http://schemas.openxmlformats.org/officeDocument/2006/relationships/hyperlink" Target="https://wwwtb.mlit.go.jp/tohoku/content/000181287.pdf" TargetMode="External" Id="rId36" /></Relationships>
</file>

<file path=xl/worksheets/_rels/sheet3.xml.rels><Relationships xmlns="http://schemas.openxmlformats.org/package/2006/relationships"><Relationship Type="http://schemas.openxmlformats.org/officeDocument/2006/relationships/hyperlink" Target="https://www.city.morioka.iwate.jp/_res/projects/default_project/_page_/001/043/162/R7honpen.pdf" TargetMode="External" Id="rId1" /><Relationship Type="http://schemas.openxmlformats.org/officeDocument/2006/relationships/hyperlink" Target="https://www.city.morioka.iwate.jp/_res/projects/default_project/_page_/001/010/054/kihonntekizikou.pdf" TargetMode="External" Id="rId2" /><Relationship Type="http://schemas.openxmlformats.org/officeDocument/2006/relationships/hyperlink" Target="https://www.city.miyako.iwate.jp/material/files/group/8/miyakositiikikoukyoukoutuukeikaku.pdf" TargetMode="External" Id="rId3" /><Relationship Type="http://schemas.openxmlformats.org/officeDocument/2006/relationships/hyperlink" Target="https://www.city.miyako.iwate.jp/material/files/group/14/kihonkeikaku.pdf" TargetMode="External" Id="rId4" /><Relationship Type="http://schemas.openxmlformats.org/officeDocument/2006/relationships/hyperlink" Target="https://www.city.ofunato.iwate.jp/archive/contents-5125" TargetMode="External" Id="rId5" /><Relationship Type="http://schemas.openxmlformats.org/officeDocument/2006/relationships/hyperlink" Target="https://www.city.ofunato.iwate.jp/site/kankyokeikaku/" TargetMode="External" Id="rId6" /><Relationship Type="http://schemas.openxmlformats.org/officeDocument/2006/relationships/hyperlink" Target="https://www.city.hanamaki.iwate.jp/_res/projects/default_project/_page_/001/021/245/keikaku.pdf" TargetMode="External" Id="rId7" /><Relationship Type="http://schemas.openxmlformats.org/officeDocument/2006/relationships/hyperlink" Target="https://www.city.hanamaki.iwate.jp/shisei/shisei/keikaku/1002782.html" TargetMode="External" Id="rId8" /><Relationship Type="http://schemas.openxmlformats.org/officeDocument/2006/relationships/hyperlink" Target="https://www.city.kitakami.iwate.jp/life/soshikikarasagasu/toshisaiseisuishin/koutsuuseisaku/1_1/21919.html" TargetMode="External" Id="rId9" /><Relationship Type="http://schemas.openxmlformats.org/officeDocument/2006/relationships/hyperlink" Target="https://www.city.kitakami.iwate.jp/material/files/group/14/kankyokeikaku_0803.pdf" TargetMode="External" Id="rId10" /><Relationship Type="http://schemas.openxmlformats.org/officeDocument/2006/relationships/hyperlink" Target="https://www.city.kuji.lg.jp/material/files/group/19/keikaku.pdf" TargetMode="External" Id="rId11" /><Relationship Type="http://schemas.openxmlformats.org/officeDocument/2006/relationships/hyperlink" Target="https://www.city.kuji.lg.jp/material/files/group/19/2021_kuji_kankyou_1.pdf" TargetMode="External" Id="rId12" /><Relationship Type="http://schemas.openxmlformats.org/officeDocument/2006/relationships/hyperlink" Target="https://www.city.tono.iwate.jp/index.cfm/50,13281,311,html" TargetMode="External" Id="rId13" /><Relationship Type="http://schemas.openxmlformats.org/officeDocument/2006/relationships/hyperlink" Target="https://www.city.tono.iwate.jp/index.cfm/45,34797,247,html" TargetMode="External" Id="rId14" /><Relationship Type="http://schemas.openxmlformats.org/officeDocument/2006/relationships/hyperlink" Target="https://www.city.ichinoseki.iwate.jp/index.cfm/7,166695,c,html/166695/20240410-160623.pdf" TargetMode="External" Id="rId15" /><Relationship Type="http://schemas.openxmlformats.org/officeDocument/2006/relationships/hyperlink" Target="https://www.city.ichinoseki.iwate.jp/index.cfm/7,90284,125,html" TargetMode="External" Id="rId16" /><Relationship Type="http://schemas.openxmlformats.org/officeDocument/2006/relationships/hyperlink" Target="https://www.city.rikuzentakata.iwate.jp/material/files/group/19/20231124_4-2.pdf" TargetMode="External" Id="rId17" /><Relationship Type="http://schemas.openxmlformats.org/officeDocument/2006/relationships/hyperlink" Target="https://www.city.kamaishi.iwate.jp/docs/2021040500020/file_contents/001.pdf" TargetMode="External" Id="rId18" /><Relationship Type="http://schemas.openxmlformats.org/officeDocument/2006/relationships/hyperlink" Target="https://www.city.kamaishi.iwate.jp/docs/2023110200014/" TargetMode="External" Id="rId19" /><Relationship Type="http://schemas.openxmlformats.org/officeDocument/2006/relationships/hyperlink" Target="https://www.city.ninohe.lg.jp/info/2661" TargetMode="External" Id="rId20" /><Relationship Type="http://schemas.openxmlformats.org/officeDocument/2006/relationships/hyperlink" Target="https://www.city.hachimantai.lg.jp/soshiki/machi/1517.html" TargetMode="External" Id="rId21" /><Relationship Type="http://schemas.openxmlformats.org/officeDocument/2006/relationships/hyperlink" Target="https://www.city.hachimantai.lg.jp/uploaded/attachment/13185.pdf" TargetMode="External" Id="rId22" /><Relationship Type="http://schemas.openxmlformats.org/officeDocument/2006/relationships/hyperlink" Target="https://www.city.oshu.iwate.jp/soshiki/2/1004/12523.html" TargetMode="External" Id="rId23" /><Relationship Type="http://schemas.openxmlformats.org/officeDocument/2006/relationships/hyperlink" Target="https://www.city.oshu.iwate.jp/material/files/group/183/dai2jikankyoukihonnkeikaku_GX.pdf" TargetMode="External" Id="rId24" /><Relationship Type="http://schemas.openxmlformats.org/officeDocument/2006/relationships/hyperlink" Target="https://www.city.morioka.iwate.jp/_res/projects/default_project/_page_/001/043/162/R7honpen.pdf" TargetMode="External" Id="rId25" /><Relationship Type="http://schemas.openxmlformats.org/officeDocument/2006/relationships/hyperlink" Target="https://www.city.takizawa.iwate.jp/kurashi/kankyo/contents-12768/p20241204162009" TargetMode="External" Id="rId26" /><Relationship Type="http://schemas.openxmlformats.org/officeDocument/2006/relationships/hyperlink" Target="https://www.town.shizukuishi.iwate.jp/docs/2021101200012/file_contents/honpen.pdf" TargetMode="External" Id="rId27" /><Relationship Type="http://schemas.openxmlformats.org/officeDocument/2006/relationships/hyperlink" Target="https://www.town.shizukuishi.iwate.jp/docs/2016050600013/file_contents/kankyoukihonkeikaku.pdf" TargetMode="External" Id="rId28" /><Relationship Type="http://schemas.openxmlformats.org/officeDocument/2006/relationships/hyperlink" Target="https://town.iwate.iwate.jp/town/gyosei/koutsuumoukeisei2017-2021/" TargetMode="External" Id="rId29" /><Relationship Type="http://schemas.openxmlformats.org/officeDocument/2006/relationships/hyperlink" Target="https://www.town.shiwa.iwate.jp/shiwatown/cms/soshiki/4/2_99/koukyoukoutsukeikaku.pdf" TargetMode="External" Id="rId30" /><Relationship Type="http://schemas.openxmlformats.org/officeDocument/2006/relationships/hyperlink" Target="https://www.city.morioka.iwate.jp/_res/projects/default_project/_page_/001/043/162/R7honpen.pdf" TargetMode="External" Id="rId31" /><Relationship Type="http://schemas.openxmlformats.org/officeDocument/2006/relationships/hyperlink" Target="https://www.town.nishiwaga.lg.jp/material/files/group/1/2306nishiwagakotsukeikaku.pdf" TargetMode="External" Id="rId32" /><Relationship Type="http://schemas.openxmlformats.org/officeDocument/2006/relationships/hyperlink" Target="https://www.town.kanegasaki.iwate.jp/articles/2020032900015/file_contents/keikaku.pdf" TargetMode="External" Id="rId33" /><Relationship Type="http://schemas.openxmlformats.org/officeDocument/2006/relationships/hyperlink" Target="https://www.town.hiraizumi.iwate.jp/%E5%B9%B3%E6%B3%89%E7%94%BA%E5%9C%B0%E5%9F%9F%E5%85%AC%E5%85%B1%E4%BA%A4%E9%80%9A%E8%A8%88%E7%94%BB%E3%82%92%E7%AD%96%E5%AE%9A%E3%81%97%E3%81%BE%E3%81%97%E3%81%9F-25574/" TargetMode="External" Id="rId34" /><Relationship Type="http://schemas.openxmlformats.org/officeDocument/2006/relationships/hyperlink" Target="https://www.town.sumita.iwate.jp/docs/2025040400014/files/tiikikoukyoukoutuukeikaku2025.pdf" TargetMode="External" Id="rId35" /><Relationship Type="http://schemas.openxmlformats.org/officeDocument/2006/relationships/hyperlink" Target="https://www.town.sumita.iwate.jp/docs/2023061500010/files/04_dai4syou.pdf" TargetMode="External" Id="rId36" /><Relationship Type="http://schemas.openxmlformats.org/officeDocument/2006/relationships/hyperlink" Target="https://www.town.otsuchi.iwate.jp/fs/2/3/0/5/0/9/_/___________.pdf" TargetMode="External" Id="rId37" /><Relationship Type="http://schemas.openxmlformats.org/officeDocument/2006/relationships/hyperlink" Target="https://www.town.yamada.iwate.jp/fs/1/2/1/7/4/5/_/___________.pdf" TargetMode="External" Id="rId38" /><Relationship Type="http://schemas.openxmlformats.org/officeDocument/2006/relationships/hyperlink" Target="https://www.town.iwaizumi.lg.jp/docs/2024032500015/" TargetMode="External" Id="rId39" /><Relationship Type="http://schemas.openxmlformats.org/officeDocument/2006/relationships/hyperlink" Target="https://www.vill.tanohata.iwate.jp/bunya/keikaku/tanohata/" TargetMode="External" Id="rId40" /><Relationship Type="http://schemas.openxmlformats.org/officeDocument/2006/relationships/hyperlink" Target="https://www.vill.tanohata.iwate.jp/docs/2015081800027/" TargetMode="External" Id="rId41" /><Relationship Type="http://schemas.openxmlformats.org/officeDocument/2006/relationships/hyperlink" Target="https://vill.kunohe.iwate.jp/fs/9/5/9/5/_/%E4%B9%9D%E6%88%B8%E6%9D%91%E5%9C%B0%E5%9F%9F%E5%85%AC%E5%85%B1%E4%BA%A4%E9%80%9A%E8%A8%88%E7%94%BB.pdf" TargetMode="External" Id="rId42" /><Relationship Type="http://schemas.openxmlformats.org/officeDocument/2006/relationships/hyperlink" Target="https://www.town.hirono.iwate.jp/doc/2026070700013" TargetMode="External" Id="rId43" /></Relationships>
</file>

<file path=xl/worksheets/_rels/sheet4.xml.rels><Relationships xmlns="http://schemas.openxmlformats.org/package/2006/relationships"><Relationship Type="http://schemas.openxmlformats.org/officeDocument/2006/relationships/hyperlink" Target="https://www.city.sendai.jp/kokyo/kurashi/machi/kotsu/kekakunado/chikoukei.html" TargetMode="External" Id="rId1" /><Relationship Type="http://schemas.openxmlformats.org/officeDocument/2006/relationships/hyperlink" Target="https://www.city.sendai.jp/kankyo-chose/kurashi/machi/kankyohozen/chosa/morinomiyako/documents/01_moripura_honpen.pdf" TargetMode="External" Id="rId2" /><Relationship Type="http://schemas.openxmlformats.org/officeDocument/2006/relationships/hyperlink" Target="https://www.city.ishinomaki.lg.jp:443/cont/10053500/issks/dai1shou.pdf" TargetMode="External" Id="rId3" /><Relationship Type="http://schemas.openxmlformats.org/officeDocument/2006/relationships/hyperlink" Target="https://www.city.ishinomaki.lg.jp/cont/10301000/3253/1.pdf" TargetMode="External" Id="rId4" /><Relationship Type="http://schemas.openxmlformats.org/officeDocument/2006/relationships/hyperlink" Target="https://www.city.shiogama.miyagi.jp/soshiki/18/50557.html" TargetMode="External" Id="rId5" /><Relationship Type="http://schemas.openxmlformats.org/officeDocument/2006/relationships/hyperlink" Target="https://www.kesennuma.miyagi.jp/li/shisei/150/020/index.html" TargetMode="External" Id="rId6" /><Relationship Type="http://schemas.openxmlformats.org/officeDocument/2006/relationships/hyperlink" Target="https://www.city.shiroishi.miyagi.jp/uploaded/attachment/22013.pdf" TargetMode="External" Id="rId7" /><Relationship Type="http://schemas.openxmlformats.org/officeDocument/2006/relationships/hyperlink" Target="https://www.city.shiroishi.miyagi.jp/soshiki/18/" TargetMode="External" Id="rId8" /><Relationship Type="http://schemas.openxmlformats.org/officeDocument/2006/relationships/hyperlink" Target="https://www.city.natori.miyagi.jp/uploaded/attachment/9510.pdf" TargetMode="External" Id="rId9" /><Relationship Type="http://schemas.openxmlformats.org/officeDocument/2006/relationships/hyperlink" Target="https://www.city.natori.miyagi.jp/uploaded/attachment/10172.pdf" TargetMode="External" Id="rId10" /><Relationship Type="http://schemas.openxmlformats.org/officeDocument/2006/relationships/hyperlink" Target="https://www.city.kakuda.lg.jp/soshiki/4/25038.html" TargetMode="External" Id="rId11" /><Relationship Type="http://schemas.openxmlformats.org/officeDocument/2006/relationships/hyperlink" Target="https://www.city.tagajo.miyagi.jp/toshike/kurashi/kotsu/documents/keikaku.pdf" TargetMode="External" Id="rId12" /><Relationship Type="http://schemas.openxmlformats.org/officeDocument/2006/relationships/hyperlink" Target="https://www.city.iwanuma.miyagi.jp/kurashi/kotsu/shimin-bus/documents/shinbuskeikaku.pdf" TargetMode="External" Id="rId13" /><Relationship Type="http://schemas.openxmlformats.org/officeDocument/2006/relationships/hyperlink" Target="https://www.city.iwanuma.miyagi.jp/kurashi/kankyo-eisei/kankyo-eisei/kankyo-keikaku.html" TargetMode="External" Id="rId14" /><Relationship Type="http://schemas.openxmlformats.org/officeDocument/2006/relationships/hyperlink" Target="https://www.city.tome.miyagi.jp/shiminkyodo/koukyoukoutsuu/documents/tomechikikoukyokotsukeikakuan.pdf" TargetMode="External" Id="rId15" /><Relationship Type="http://schemas.openxmlformats.org/officeDocument/2006/relationships/hyperlink" Target="https://www.city.tome.miyagi.jp/kankyo/shisejoho/gyose/sogokekaku/documents/3rdenviplan.pdf" TargetMode="External" Id="rId16" /><Relationship Type="http://schemas.openxmlformats.org/officeDocument/2006/relationships/hyperlink" Target="https://www.kuriharacity.jp/li/010/020/120/index.html" TargetMode="External" Id="rId17" /><Relationship Type="http://schemas.openxmlformats.org/officeDocument/2006/relationships/hyperlink" Target="https://www.kuriharacity.jp/li/010/020/080/index.html" TargetMode="External" Id="rId18" /><Relationship Type="http://schemas.openxmlformats.org/officeDocument/2006/relationships/hyperlink" Target="https://www.city.higashimatsushima.miyagi.jp/shisei/shisaku-keikaku/kihonkeikaku/kokyokotsumo-keisei.html" TargetMode="External" Id="rId19" /><Relationship Type="http://schemas.openxmlformats.org/officeDocument/2006/relationships/hyperlink" Target="https://www.city.higashimatsushima.miyagi.jp/shisei/shisaku-keikaku/kihonkeikaku/index.html" TargetMode="External" Id="rId20" /><Relationship Type="http://schemas.openxmlformats.org/officeDocument/2006/relationships/hyperlink" Target="https://www.city.osaki.miyagi.jp/shisei/soshikikarasagasu/shiminkyodousuishimbu/machizukurisuishinka/3/2/1/3214.html" TargetMode="External" Id="rId21" /><Relationship Type="http://schemas.openxmlformats.org/officeDocument/2006/relationships/hyperlink" Target="https://www.city.osaki.miyagi.jp/material/files/group/12/20200421-200432.pdf" TargetMode="External" Id="rId22" /><Relationship Type="http://schemas.openxmlformats.org/officeDocument/2006/relationships/hyperlink" Target="https://www.tomiya-city.miyagi.jp/uploads/pdf/b4883b320d97c8ac81041749b47dad0a9397ae5e.pdf" TargetMode="External" Id="rId23" /><Relationship Type="http://schemas.openxmlformats.org/officeDocument/2006/relationships/hyperlink" Target="https://www.town.zao.miyagi.jp/kurashi_guide/seikatsu_kankyo/koutuu/koukyoukoutsuu.html" TargetMode="External" Id="rId24" /><Relationship Type="http://schemas.openxmlformats.org/officeDocument/2006/relationships/hyperlink" Target="https://town.zao.miyagi.jp/section/kankyo/kankyou/kihonkeikaku.files/kankyoukeikaku2.pdf" TargetMode="External" Id="rId25" /><Relationship Type="http://schemas.openxmlformats.org/officeDocument/2006/relationships/hyperlink" Target="https://www.town.ogawara.miyagi.jp/1292.htm" TargetMode="External" Id="rId26" /><Relationship Type="http://schemas.openxmlformats.org/officeDocument/2006/relationships/hyperlink" Target="https://www.town.ogawara.miyagi.jp/7882.htm" TargetMode="External" Id="rId27" /><Relationship Type="http://schemas.openxmlformats.org/officeDocument/2006/relationships/hyperlink" Target="https://www.pref.miyagi.jp/soshiki/soukou/abukumakyougikai-keikaku2.html" TargetMode="External" Id="rId28" /><Relationship Type="http://schemas.openxmlformats.org/officeDocument/2006/relationships/hyperlink" Target="https://www.town.shibata.miyagi.jp/index.cfm/82,54128,c,html/54128/20230329-105154.pdf" TargetMode="External" Id="rId29" /><Relationship Type="http://schemas.openxmlformats.org/officeDocument/2006/relationships/hyperlink" Target="https://www.town.kawasaki.miyagi.jp/soshiki/chishin/484.html" TargetMode="External" Id="rId30" /><Relationship Type="http://schemas.openxmlformats.org/officeDocument/2006/relationships/hyperlink" Target="http://www.town.marumori.miyagi.jp/common/img/content/content_20240411_180249.pdf" TargetMode="External" Id="rId31" /><Relationship Type="http://schemas.openxmlformats.org/officeDocument/2006/relationships/hyperlink" Target="https://www.town.watari.miyagi.jp/town/detail.php?content=1730" TargetMode="External" Id="rId32" /><Relationship Type="http://schemas.openxmlformats.org/officeDocument/2006/relationships/hyperlink" Target="https://www.town.watari.miyagi.jp/common/img/content/content_20220126_163920.pdf" TargetMode="External" Id="rId33" /><Relationship Type="http://schemas.openxmlformats.org/officeDocument/2006/relationships/hyperlink" Target="https://www.town.yamamoto.miyagi.jp/uploaded/attachment/19314.pdf" TargetMode="External" Id="rId34" /><Relationship Type="http://schemas.openxmlformats.org/officeDocument/2006/relationships/hyperlink" Target="https://www.town.rifu.miyagi.jp/gyosei/soshikikarasagasu/seikatu/koukyoukoutu/1/1162.html" TargetMode="External" Id="rId35" /><Relationship Type="http://schemas.openxmlformats.org/officeDocument/2006/relationships/hyperlink" Target="https://www.town.taiwa.miyagi.jp/soshiki/machizukuriseisaku/machizukuri_suishin/bustaxi/3547.html" TargetMode="External" Id="rId36" /><Relationship Type="http://schemas.openxmlformats.org/officeDocument/2006/relationships/hyperlink" Target="https://www.town.taiwa.miyagi.jp/soshiki/chominseikatsu/seikatsukankyo/3718.html" TargetMode="External" Id="rId37" /><Relationship Type="http://schemas.openxmlformats.org/officeDocument/2006/relationships/hyperlink" Target="https://www.town.kami.miyagi.jp/soshikikarasagasu/chominka/kankyoeisei/3689.html" TargetMode="External" Id="rId38" /><Relationship Type="http://schemas.openxmlformats.org/officeDocument/2006/relationships/hyperlink" Target="https://www.town.wakuya.miyagi.jp/documents/honpen.pdf" TargetMode="External" Id="rId39" /><Relationship Type="http://schemas.openxmlformats.org/officeDocument/2006/relationships/hyperlink" Target="https://www.town.onagawa.miyagi.jp/pdf/koutsuu/koutsu_keikaku_gaiyou.pdf" TargetMode="External" Id="rId40" /><Relationship Type="http://schemas.openxmlformats.org/officeDocument/2006/relationships/hyperlink" Target="https://www.town.minamisanriku.miyagi.jp/material/files/group/3/202602042.pdf" TargetMode="External" Id="rId41" /><Relationship Type="http://schemas.openxmlformats.org/officeDocument/2006/relationships/hyperlink" Target="https://www.town.minamisanriku.miyagi.jp/material/files/group/7/keikakusyo.pdf" TargetMode="External" Id="rId42" /></Relationships>
</file>

<file path=xl/worksheets/_rels/sheet5.xml.rels><Relationships xmlns="http://schemas.openxmlformats.org/package/2006/relationships"><Relationship Type="http://schemas.openxmlformats.org/officeDocument/2006/relationships/hyperlink" Target="https://www.city.akita.lg.jp/_res/projects/default_project/_page_/001/049/732/koukyoukoutuuseisakubijonn080306.pdf" TargetMode="External" Id="rId1" /><Relationship Type="http://schemas.openxmlformats.org/officeDocument/2006/relationships/hyperlink" Target="https://www.city.akita.lg.jp/_res/projects/default_project/_page_/001/006/108/keikaku23.pdf" TargetMode="External" Id="rId2" /><Relationship Type="http://schemas.openxmlformats.org/officeDocument/2006/relationships/hyperlink" Target="https://www.city.noshiro.lg.jp/sangyo/kokyo-kotsu/kokyokoutsu-keikaku/24040" TargetMode="External" Id="rId3" /><Relationship Type="http://schemas.openxmlformats.org/officeDocument/2006/relationships/hyperlink" Target="https://www.city.noshiro.lg.jp/sangyo/kankyo/keikaku/22091" TargetMode="External" Id="rId4" /><Relationship Type="http://schemas.openxmlformats.org/officeDocument/2006/relationships/hyperlink" Target="https://www.city.yokote.lg.jp/shisei/1001179/1001469/1001472/1003840.html" TargetMode="External" Id="rId5" /><Relationship Type="http://schemas.openxmlformats.org/officeDocument/2006/relationships/hyperlink" Target="https://www.city.yokote.lg.jp/shisei/1001179/1001469/1001471/1003346.html" TargetMode="External" Id="rId6" /><Relationship Type="http://schemas.openxmlformats.org/officeDocument/2006/relationships/hyperlink" Target="https://www.city.odate.lg.jp/city/soshiki/koutsu/p11901" TargetMode="External" Id="rId7" /><Relationship Type="http://schemas.openxmlformats.org/officeDocument/2006/relationships/hyperlink" Target="https://www.city.odate.lg.jp/city/soshiki/kankyokikaku/p7909" TargetMode="External" Id="rId8" /><Relationship Type="http://schemas.openxmlformats.org/officeDocument/2006/relationships/hyperlink" Target="https://www.city.oga.akita.jp/soshik/kikakuseisakuka/kakushukeikaku/6608.html" TargetMode="External" Id="rId9" /><Relationship Type="http://schemas.openxmlformats.org/officeDocument/2006/relationships/hyperlink" Target="https://www.city-yuzawa.jp/soshiki/31/5581.html" TargetMode="External" Id="rId10" /><Relationship Type="http://schemas.openxmlformats.org/officeDocument/2006/relationships/hyperlink" Target="https://www.city.kazuno.lg.jp/soshiki/shiminkyodo/kankyoseikatsu/gyomu/2/3/10092.html" TargetMode="External" Id="rId11" /><Relationship Type="http://schemas.openxmlformats.org/officeDocument/2006/relationships/hyperlink" Target="https://www.city.kazuno.lg.jp/soshiki/shiminkyodo/kankyoseikatsu/gyomu/1/3/index.html" TargetMode="External" Id="rId12" /><Relationship Type="http://schemas.openxmlformats.org/officeDocument/2006/relationships/hyperlink" Target="https://www.city.yurihonjo.lg.jp/1000006/1001990/1009868.html" TargetMode="External" Id="rId13" /><Relationship Type="http://schemas.openxmlformats.org/officeDocument/2006/relationships/hyperlink" Target="https://www.city.yurihonjo.lg.jp/_res/projects/default_project/_page_/001/007/924/keikaku.pdf" TargetMode="External" Id="rId14" /><Relationship Type="http://schemas.openxmlformats.org/officeDocument/2006/relationships/hyperlink" Target="https://www.city.katagami.lg.jp/soshiki/shiminseikatsu/chiikidukurika/chiikishinko/bus/4006.html" TargetMode="External" Id="rId15" /><Relationship Type="http://schemas.openxmlformats.org/officeDocument/2006/relationships/hyperlink" Target="https://www.city.katagami.lg.jp/material/files/group/6/kankyokihon2.pdf" TargetMode="External" Id="rId16" /><Relationship Type="http://schemas.openxmlformats.org/officeDocument/2006/relationships/hyperlink" Target="https://www.city.daisen.lg.jp/archive/contents-12074" TargetMode="External" Id="rId17" /><Relationship Type="http://schemas.openxmlformats.org/officeDocument/2006/relationships/hyperlink" Target="https://www.city.daisen.lg.jp/genre/administration/plannning" TargetMode="External" Id="rId18" /><Relationship Type="http://schemas.openxmlformats.org/officeDocument/2006/relationships/hyperlink" Target="https://www.city.kitaakita.akita.jp/uploads/public/news_0000015700_00/koukyoukoutsukeikaku.pdf" TargetMode="External" Id="rId19" /><Relationship Type="http://schemas.openxmlformats.org/officeDocument/2006/relationships/hyperlink" Target="https://www.city.kitaakita.akita.jp/uploads/public/archive_0000014042_00/%E3%80%90R3%E6%94%B9%E6%AD%A3%E3%80%91%E5%8C%97%E7%A7%8B%E7%94%B0%E5%B8%82%E7%92%B0%E5%A2%83%E5%9F%BA%E6%9C%AC%E8%A8%88%E7%94%BB_(%E6%9C%80%E7%B5%82%E7%89%88).pdf" TargetMode="External" Id="rId20" /><Relationship Type="http://schemas.openxmlformats.org/officeDocument/2006/relationships/hyperlink" Target="https://www.city.nikaho.akita.jp/material/files/group/5/koukyoukoutuukeikaku3.pdf" TargetMode="External" Id="rId21" /><Relationship Type="http://schemas.openxmlformats.org/officeDocument/2006/relationships/hyperlink" Target="https://www.city.semboku.akita.jp/government/keikaku/documents/220428_koukyoukoutsuu.pdf" TargetMode="External" Id="rId22" /><Relationship Type="http://schemas.openxmlformats.org/officeDocument/2006/relationships/hyperlink" Target="https://www.town.kosaka.akita.jp/machinososhiki/somuka/kikakuzaiseihan/2_2/kokyokotsukeikaku/2497.html" TargetMode="External" Id="rId23" /><Relationship Type="http://schemas.openxmlformats.org/officeDocument/2006/relationships/hyperlink" Target="https://www.town.kosaka.akita.jp/material/files/group/8/01.pdf" TargetMode="External" Id="rId24" /><Relationship Type="http://schemas.openxmlformats.org/officeDocument/2006/relationships/hyperlink" Target="http://www.town.fujisato.akita.jp/kotsu/c640/c643/2890" TargetMode="External" Id="rId25" /><Relationship Type="http://schemas.openxmlformats.org/officeDocument/2006/relationships/hyperlink" Target="https://www.env.go.jp/press/files/jp/3487.pdf" TargetMode="External" Id="rId26" /><Relationship Type="http://schemas.openxmlformats.org/officeDocument/2006/relationships/hyperlink" Target="https://www.town.mitane.akita.jp/material/files/group/3/mitanekoukyoukoutuukeikaku.pdf" TargetMode="External" Id="rId27" /><Relationship Type="http://schemas.openxmlformats.org/officeDocument/2006/relationships/hyperlink" Target="https://www.town.gojome.akita.jp/kurashi/koukyoukoutsu/2085" TargetMode="External" Id="rId28" /><Relationship Type="http://schemas.openxmlformats.org/officeDocument/2006/relationships/hyperlink" Target="https://www.town.gojome.akita.jp/kurashi/koukyoukoutsu/2085" TargetMode="External" Id="rId29"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0" /><Relationship Type="http://schemas.openxmlformats.org/officeDocument/2006/relationships/hyperlink" Target="https://www.town.gojome.akita.jp/kurashi/koukyoukoutsu/2085" TargetMode="External" Id="rId31" /><Relationship Type="http://schemas.openxmlformats.org/officeDocument/2006/relationships/hyperlink" Target="https://www.town.misato.akita.jp/up/files/madoguchi/kikaku/kikakuzaiseihan/koutukeikaku/%E7%BE%8E%E9%83%B7%E7%94%BA%E5%9C%B0%E5%9F%9F%E5%85%AC%E5%85%B1%E4%BA%A4%E9%80%9A%E8%A8%88%E7%94%BB.pdf" TargetMode="External" Id="rId32"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3"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4" /></Relationships>
</file>

<file path=xl/worksheets/_rels/sheet6.xml.rels><Relationships xmlns="http://schemas.openxmlformats.org/package/2006/relationships"><Relationship Type="http://schemas.openxmlformats.org/officeDocument/2006/relationships/hyperlink" Target="https://www.city.yamagata-yamagata.lg.jp/_res/projects/default_project/_page_/001/002/654/keikaku2_honpen.pdf" TargetMode="External" Id="rId1" /><Relationship Type="http://schemas.openxmlformats.org/officeDocument/2006/relationships/hyperlink" Target="https://www.city.yamagata-yamagata.lg.jp/shiseijoho/keikaku/1006993/1002366.html" TargetMode="External" Id="rId2" /><Relationship Type="http://schemas.openxmlformats.org/officeDocument/2006/relationships/hyperlink" Target="https://www.city.yonezawa.yamagata.jp/soshiki/2/1007/7/2367.html" TargetMode="External" Id="rId3" /><Relationship Type="http://schemas.openxmlformats.org/officeDocument/2006/relationships/hyperlink" Target="https://www.city.yonezawa.yamagata.jp/soshiki/3/kankyo/9_1/8300.html" TargetMode="External" Id="rId4" /><Relationship Type="http://schemas.openxmlformats.org/officeDocument/2006/relationships/hyperlink" Target="https://www.city.tsuruoka.lg.jp/seibi/tiikikoukyoukoutu/tiiki0120160419.files/R8.3honnpenn.pdf" TargetMode="External" Id="rId5" /><Relationship Type="http://schemas.openxmlformats.org/officeDocument/2006/relationships/hyperlink" Target="https://www.city.tsuruoka.lg.jp/seibi/kankyo/kihonkeikaku/dainizi_kankyoukihon.html" TargetMode="External" Id="rId6" /><Relationship Type="http://schemas.openxmlformats.org/officeDocument/2006/relationships/hyperlink" Target="https://www.city.sakata.lg.jp/shisei/shisakukeikaku/kikaku/chiikokyokotsumo/trafficplan2021.html" TargetMode="External" Id="rId7" /><Relationship Type="http://schemas.openxmlformats.org/officeDocument/2006/relationships/hyperlink" Target="https://www.city.sakata.lg.jp/shisei/shisakukeikaku/shimin/kankyokihonkeikaku/kankyoplan03.files/kankyoplan3-data.pdf" TargetMode="External" Id="rId8" /><Relationship Type="http://schemas.openxmlformats.org/officeDocument/2006/relationships/hyperlink" Target="https://www.pref.yamagata.jp/020057/kurashi/kendo/kotsuseisaku/ykotsu_kasseikakyougikai.html" TargetMode="External" Id="rId9" /><Relationship Type="http://schemas.openxmlformats.org/officeDocument/2006/relationships/hyperlink" Target="http://www.city.shinjo.yamagata.jp/s008/170/010/kankyoukihonkeikakuno4.pdf" TargetMode="External" Id="rId10" /><Relationship Type="http://schemas.openxmlformats.org/officeDocument/2006/relationships/hyperlink" Target="https://www.city.sagae.yamagata.jp/shisei/keikaku/toshikankyokeikaku/koutsu_net_sakutei.html" TargetMode="External" Id="rId11" /><Relationship Type="http://schemas.openxmlformats.org/officeDocument/2006/relationships/hyperlink" Target="https://www.city.sagae.yamagata.jp/shisei/keikaku/toshikankyokeikaku/kankyokeikaku.html" TargetMode="External" Id="rId12" /><Relationship Type="http://schemas.openxmlformats.org/officeDocument/2006/relationships/hyperlink" Target="https://www.pref.yamagata.jp/020057/kurashi/kendo/kotsuseisaku/ykotsu_kasseikakyougikai.html" TargetMode="External" Id="rId13" /><Relationship Type="http://schemas.openxmlformats.org/officeDocument/2006/relationships/hyperlink" Target="https://www.city.kaminoyama.yamagata.jp/soshiki/6/kaitekikankyou-gaiyou.html" TargetMode="External" Id="rId14" /><Relationship Type="http://schemas.openxmlformats.org/officeDocument/2006/relationships/hyperlink" Target="https://www.pref.yamagata.jp/020057/kurashi/kendo/kotsuseisaku/ykotsu_kasseikakyougikai.html" TargetMode="External" Id="rId15" /><Relationship Type="http://schemas.openxmlformats.org/officeDocument/2006/relationships/hyperlink" Target="https://www.city.murayama.lg.jp/kurashi/shizen/kankyohozen/kankyoukihon.files/kankyou-2.pdf" TargetMode="External" Id="rId16" /><Relationship Type="http://schemas.openxmlformats.org/officeDocument/2006/relationships/hyperlink" Target="https://www.city.nagai.yamagata.jp/kurashi_tetsuzuki/kokyokotsu/1/15982.html" TargetMode="External" Id="rId17" /><Relationship Type="http://schemas.openxmlformats.org/officeDocument/2006/relationships/hyperlink" Target="https://www.city.nagai.yamagata.jp/soshiki/sougoseisaku/106/205/6/sisakukeikaku/13731.html" TargetMode="External" Id="rId18" /><Relationship Type="http://schemas.openxmlformats.org/officeDocument/2006/relationships/hyperlink" Target="https://www.pref.yamagata.jp/020057/kurashi/kendo/kotsuseisaku/ykotsu_kasseikakyougikai.html" TargetMode="External" Id="rId19" /><Relationship Type="http://schemas.openxmlformats.org/officeDocument/2006/relationships/hyperlink" Target="https://www.city.tendo.yamagata.jp/municipal/shisaku/kannkyoukihonn.html" TargetMode="External" Id="rId20" /><Relationship Type="http://schemas.openxmlformats.org/officeDocument/2006/relationships/hyperlink" Target="https://www.pref.yamagata.jp/020057/kurashi/kendo/kotsuseisaku/ykotsu_kasseikakyougikai.html" TargetMode="External" Id="rId21" /><Relationship Type="http://schemas.openxmlformats.org/officeDocument/2006/relationships/hyperlink" Target="https://www.city.higashine.yamagata.jp/section_list/section008/seikatsukankyo-keikaku/169" TargetMode="External" Id="rId22" /><Relationship Type="http://schemas.openxmlformats.org/officeDocument/2006/relationships/hyperlink" Target="https://www.pref.yamagata.jp/020057/kurashi/kendo/kotsuseisaku/ykotsu_kasseikakyougikai.html" TargetMode="External" Id="rId23" /><Relationship Type="http://schemas.openxmlformats.org/officeDocument/2006/relationships/hyperlink" Target="https://www.city.obanazawa.yamagata.jp/kurashi/kankyo/kankyo-shisaku/715" TargetMode="External" Id="rId24" /><Relationship Type="http://schemas.openxmlformats.org/officeDocument/2006/relationships/hyperlink" Target="http://www.city.nanyo.yamagata.jp/kikakusuishin/6356" TargetMode="External" Id="rId25" /><Relationship Type="http://schemas.openxmlformats.org/officeDocument/2006/relationships/hyperlink" Target="https://www.pref.yamagata.jp/020057/kurashi/kendo/kotsuseisaku/ykotsu_kasseikakyougikai.html" TargetMode="External" Id="rId26" /><Relationship Type="http://schemas.openxmlformats.org/officeDocument/2006/relationships/hyperlink" Target="https://www.pref.yamagata.jp/020057/kurashi/kendo/kotsuseisaku/ykotsu_kasseikakyougikai.html" TargetMode="External" Id="rId27" /><Relationship Type="http://schemas.openxmlformats.org/officeDocument/2006/relationships/hyperlink" Target="https://www.town.kahoku.yamagata.jp/gyouseizyouhou/seisaku_keikaku/keikaku_matizukuri/index.html" TargetMode="External" Id="rId28" /><Relationship Type="http://schemas.openxmlformats.org/officeDocument/2006/relationships/hyperlink" Target="https://www.town.nishikawa.yamagata.jp/uploaded/attachment/510.pdf" TargetMode="External" Id="rId29" /><Relationship Type="http://schemas.openxmlformats.org/officeDocument/2006/relationships/hyperlink" Target="https://www.pref.yamagata.jp/020057/kurashi/kendo/kotsuseisaku/ykotsu_kasseikakyougikai.html" TargetMode="External" Id="rId30" /><Relationship Type="http://schemas.openxmlformats.org/officeDocument/2006/relationships/hyperlink" Target="https://www.town.asahi.yamagata.jp/portal/soshikinogoannai/somuka/bosaigakari/3_1/3/2438.html" TargetMode="External" Id="rId31" /><Relationship Type="http://schemas.openxmlformats.org/officeDocument/2006/relationships/hyperlink" Target="https://www.pref.yamagata.jp/020057/kurashi/kendo/kotsuseisaku/ykotsu_kasseikakyougikai.html" TargetMode="External" Id="rId32" /><Relationship Type="http://schemas.openxmlformats.org/officeDocument/2006/relationships/hyperlink" Target="https://www.town.oe.yamagata.jp/government/mainpolicy/keikaku/" TargetMode="External" Id="rId33" /><Relationship Type="http://schemas.openxmlformats.org/officeDocument/2006/relationships/hyperlink" Target="https://www.pref.yamagata.jp/020057/kurashi/kendo/kotsuseisaku/ykotsu_kasseikakyougikai.html" TargetMode="External" Id="rId34" /><Relationship Type="http://schemas.openxmlformats.org/officeDocument/2006/relationships/hyperlink" Target="https://www.pref.yamagata.jp/020057/kurashi/kendo/kotsuseisaku/ykotsu_kasseikakyougikai.html" TargetMode="External" Id="rId35" /><Relationship Type="http://schemas.openxmlformats.org/officeDocument/2006/relationships/hyperlink" Target="https://www.pref.yamagata.jp/020057/kurashi/kendo/kotsuseisaku/ykotsu_kasseikakyougikai.html" TargetMode="External" Id="rId36" /><Relationship Type="http://schemas.openxmlformats.org/officeDocument/2006/relationships/hyperlink" Target="https://www.pref.yamagata.jp/020057/kurashi/kendo/kotsuseisaku/ykotsu_kasseikakyougikai.html" TargetMode="External" Id="rId37" /><Relationship Type="http://schemas.openxmlformats.org/officeDocument/2006/relationships/hyperlink" Target="https://www.pref.yamagata.jp/020057/kurashi/kendo/kotsuseisaku/ykotsu_kasseikakyougikai.html" TargetMode="External" Id="rId38" /><Relationship Type="http://schemas.openxmlformats.org/officeDocument/2006/relationships/hyperlink" Target="https://www.pref.yamagata.jp/020057/kurashi/kendo/kotsuseisaku/ykotsu_kasseikakyougikai.html" TargetMode="External" Id="rId39" /><Relationship Type="http://schemas.openxmlformats.org/officeDocument/2006/relationships/hyperlink" Target="https://www.pref.yamagata.jp/020057/kurashi/kendo/kotsuseisaku/ykotsu_kasseikakyougikai.html" TargetMode="External" Id="rId40" /><Relationship Type="http://schemas.openxmlformats.org/officeDocument/2006/relationships/hyperlink" Target="https://www.pref.yamagata.jp/020057/kurashi/kendo/kotsuseisaku/ykotsu_kasseikakyougikai.html" TargetMode="External" Id="rId41" /><Relationship Type="http://schemas.openxmlformats.org/officeDocument/2006/relationships/hyperlink" Target="https://www.pref.yamagata.jp/020057/kurashi/kendo/kotsuseisaku/ykotsu_kasseikakyougikai.html" TargetMode="External" Id="rId42" /><Relationship Type="http://schemas.openxmlformats.org/officeDocument/2006/relationships/hyperlink" Target="https://www.town.takahata.yamagata.jp/kurashi/gyoseijoho/kakushukeikaku/1/2728.html" TargetMode="External" Id="rId43" /><Relationship Type="http://schemas.openxmlformats.org/officeDocument/2006/relationships/hyperlink" Target="https://www.pref.yamagata.jp/020057/kurashi/kendo/kotsuseisaku/ykotsu_kasseikakyougikai.html" TargetMode="External" Id="rId44" /><Relationship Type="http://schemas.openxmlformats.org/officeDocument/2006/relationships/hyperlink" Target="https://www.town.oguni.yamagata.jp/soshiki/choumin/1214.html" TargetMode="External" Id="rId45" /><Relationship Type="http://schemas.openxmlformats.org/officeDocument/2006/relationships/hyperlink" Target="https://www.pref.yamagata.jp/020057/kurashi/kendo/kotsuseisaku/ykotsu_kasseikakyougikai.html" TargetMode="External" Id="rId46" /><Relationship Type="http://schemas.openxmlformats.org/officeDocument/2006/relationships/hyperlink" Target="https://www.pref.yamagata.jp/020057/kurashi/kendo/kotsuseisaku/ykotsu_kasseikakyougikai.html" TargetMode="External" Id="rId47" /><Relationship Type="http://schemas.openxmlformats.org/officeDocument/2006/relationships/hyperlink" Target="https://www.pref.yamagata.jp/020057/kurashi/kendo/kotsuseisaku/ykotsu_kasseikakyougikai.html" TargetMode="External" Id="rId48" /><Relationship Type="http://schemas.openxmlformats.org/officeDocument/2006/relationships/hyperlink" Target="https://www.pref.yamagata.jp/020057/kurashi/kendo/kotsuseisaku/ykotsu_kasseikakyougikai.html" TargetMode="External" Id="rId49" /><Relationship Type="http://schemas.openxmlformats.org/officeDocument/2006/relationships/hyperlink" Target="https://www.town.shonai.lg.jp/gyousei/shisaku/seisaku/index.html" TargetMode="External" Id="rId50" /><Relationship Type="http://schemas.openxmlformats.org/officeDocument/2006/relationships/hyperlink" Target="https://www.pref.yamagata.jp/020057/kurashi/kendo/kotsuseisaku/ykotsu_kasseikakyougikai.html" TargetMode="External" Id="rId51" /><Relationship Type="http://schemas.openxmlformats.org/officeDocument/2006/relationships/hyperlink" Target="https://www.town.yuza.yamagata.jp/genre/living/environment" TargetMode="External" Id="rId52" /></Relationships>
</file>

<file path=xl/worksheets/_rels/sheet7.xml.rels><Relationships xmlns="http://schemas.openxmlformats.org/package/2006/relationships"><Relationship Type="http://schemas.openxmlformats.org/officeDocument/2006/relationships/hyperlink" Target="https://www.city.fukushima.fukushima.jp/material/files/group/62/40koutuukeikaku-honnpenn1.pdf" TargetMode="External" Id="rId1" /><Relationship Type="http://schemas.openxmlformats.org/officeDocument/2006/relationships/hyperlink" Target="https://www.city.fukushima.fukushima.jp/material/files/group/36/02_r6_kannkyoukihonnkeikaku.pdf" TargetMode="External" Id="rId2" /><Relationship Type="http://schemas.openxmlformats.org/officeDocument/2006/relationships/hyperlink" Target="https://www.pref.fukushima.lg.jp/sec/16005d/aizukenikimoukeikaku.html" TargetMode="External" Id="rId3" /><Relationship Type="http://schemas.openxmlformats.org/officeDocument/2006/relationships/hyperlink" Target="https://www.city.aizuwakamatsu.fukushima.jp/docs/2024050800012/" TargetMode="External" Id="rId4" /><Relationship Type="http://schemas.openxmlformats.org/officeDocument/2006/relationships/hyperlink" Target="https://www.city.koriyama.lg.jp/soshiki/125/68026.html" TargetMode="External" Id="rId5" /><Relationship Type="http://schemas.openxmlformats.org/officeDocument/2006/relationships/hyperlink" Target="https://www.city.koriyama.lg.jp/uploaded/attachment/109925.pdf" TargetMode="External" Id="rId6" /><Relationship Type="http://schemas.openxmlformats.org/officeDocument/2006/relationships/hyperlink" Target="https://www.city.iwaki.lg.jp/www/contents/1679296597893/simple/koukyoukoutuukeikaku1.pdf" TargetMode="External" Id="rId7" /><Relationship Type="http://schemas.openxmlformats.org/officeDocument/2006/relationships/hyperlink" Target="https://www.city.iwaki.lg.jp/www/contents/1774836268840/simple/gaiyo.pdf" TargetMode="External" Id="rId8" /><Relationship Type="http://schemas.openxmlformats.org/officeDocument/2006/relationships/hyperlink" Target="https://www.city.shirakawa.fukushima.jp/data/doc/1712536078_doc_45_0.pdf" TargetMode="External" Id="rId9" /><Relationship Type="http://schemas.openxmlformats.org/officeDocument/2006/relationships/hyperlink" Target="https://www.city.shirakawa.fukushima.jp/data/doc/1634185398_doc_49_0.pdf" TargetMode="External" Id="rId10" /><Relationship Type="http://schemas.openxmlformats.org/officeDocument/2006/relationships/hyperlink" Target="https://www.city.sukagawa.fukushima.jp/kurashi/koutsu/koutsu_keikaku/1015962.html" TargetMode="External" Id="rId11" /><Relationship Type="http://schemas.openxmlformats.org/officeDocument/2006/relationships/hyperlink" Target="https://www.city.sukagawa.fukushima.jp/kurashi/gomi_recycle/kankyo_hozen/1002334/index.html" TargetMode="External" Id="rId12" /><Relationship Type="http://schemas.openxmlformats.org/officeDocument/2006/relationships/hyperlink" Target="https://www.pref.fukushima.lg.jp/sec/16005d/aizukenikimoukeikaku.html" TargetMode="External" Id="rId13" /><Relationship Type="http://schemas.openxmlformats.org/officeDocument/2006/relationships/hyperlink" Target="https://www.city.nihonmatsu.lg.jp/kurashi_tetsuduki/koutsu/page011927.html" TargetMode="External" Id="rId14" /><Relationship Type="http://schemas.openxmlformats.org/officeDocument/2006/relationships/hyperlink" Target="https://www.city.nihonmatsu.lg.jp/data/doc/1716164612_doc_33_0.pdf" TargetMode="External" Id="rId15" /><Relationship Type="http://schemas.openxmlformats.org/officeDocument/2006/relationships/hyperlink" Target="https://www.city.tamura.lg.jp/soshiki/1/assets/&#12304;set&#12305;&#30000;&#26449;&#24066;&#22320;&#22495;&#20844;&#20849;&#20132;&#36890;&#35336;&#30011;&#27010;&#35201;&#29256;2406&#25913;&#35330;.pdf" TargetMode="External" Id="rId16" /><Relationship Type="http://schemas.openxmlformats.org/officeDocument/2006/relationships/hyperlink" Target="https://www.city.minamisoma.lg.jp/material/files/group/3/202601281245.pdf" TargetMode="External" Id="rId17" /><Relationship Type="http://schemas.openxmlformats.org/officeDocument/2006/relationships/hyperlink" Target="https://www.city.minamisoma.lg.jp/material/files/group/3/20231024_co148.pdf" TargetMode="External" Id="rId18" /><Relationship Type="http://schemas.openxmlformats.org/officeDocument/2006/relationships/hyperlink" Target="https://www.city.fukushima-date.lg.jp/soshiki/86/47231.html" TargetMode="External" Id="rId19" /><Relationship Type="http://schemas.openxmlformats.org/officeDocument/2006/relationships/hyperlink" Target="https://www.city.fukushima-date.lg.jp/soshiki/86/47604.html" TargetMode="External" Id="rId20" /><Relationship Type="http://schemas.openxmlformats.org/officeDocument/2006/relationships/hyperlink" Target="https://www.city.motomiya.lg.jp/soshiki/10/tiikikoukyoukoutsuukeikaku.html" TargetMode="External" Id="rId21" /><Relationship Type="http://schemas.openxmlformats.org/officeDocument/2006/relationships/hyperlink" Target="https://www.vill.otama.fukushima.jp/gyousei_jouhou/keikaku/" TargetMode="External" Id="rId22" /><Relationship Type="http://schemas.openxmlformats.org/officeDocument/2006/relationships/hyperlink" Target="https://www.town.minamiaizu.lg.jp/official/soshikikarasagasu/sogoseisakuka/kakushukeikaku/1/3114.html" TargetMode="External" Id="rId23" /><Relationship Type="http://schemas.openxmlformats.org/officeDocument/2006/relationships/hyperlink" Target="https://www.town.minamiaizu.lg.jp/official/soshikikarasagasu/kankyosuidoka/kakushukeikaku/1/450.html" TargetMode="External" Id="rId24" /><Relationship Type="http://schemas.openxmlformats.org/officeDocument/2006/relationships/hyperlink" Target="https://www.pref.fukushima.lg.jp/sec/16005d/aizukeniki-keikaku-ribenkeikaku.html" TargetMode="External" Id="rId25" /><Relationship Type="http://schemas.openxmlformats.org/officeDocument/2006/relationships/hyperlink" Target="https://www.pref.fukushima.lg.jp/sec/16005d/aizukeniki-keikaku-ribenkeikaku.html" TargetMode="External" Id="rId26" /><Relationship Type="http://schemas.openxmlformats.org/officeDocument/2006/relationships/hyperlink" Target="https://www.pref.fukushima.lg.jp/sec/16005d/aizukeniki-keikaku-ribenkeikaku.html" TargetMode="External" Id="rId27" /><Relationship Type="http://schemas.openxmlformats.org/officeDocument/2006/relationships/hyperlink" Target="https://www.pref.fukushima.lg.jp/sec/16005d/aizukeniki-keikaku-ribenkeikaku.html" TargetMode="External" Id="rId28" /><Relationship Type="http://schemas.openxmlformats.org/officeDocument/2006/relationships/hyperlink" Target="https://www.vill.nishigo.fukushima.jp/material/files/group/3/koutsuukeikaku_soan_2026.pdf" TargetMode="External" Id="rId29" /><Relationship Type="http://schemas.openxmlformats.org/officeDocument/2006/relationships/hyperlink" Target="https://www.vill.nishigo.fukushima.jp/soshiki/kankyohozenka/kankyo_gomi/2/4547.html" TargetMode="External" Id="rId30" /><Relationship Type="http://schemas.openxmlformats.org/officeDocument/2006/relationships/hyperlink" Target="https://www.pref.fukushima.lg.jp/uploaded/attachment/622613.pdf" TargetMode="External" Id="rId31" /><Relationship Type="http://schemas.openxmlformats.org/officeDocument/2006/relationships/hyperlink" Target="https://www.pref.fukushima.lg.jp/uploaded/attachment/622613.pdf" TargetMode="External" Id="rId32" /><Relationship Type="http://schemas.openxmlformats.org/officeDocument/2006/relationships/hyperlink" Target="https://www.town.yabuki.fukushima.jp/page/page009573.html" TargetMode="External" Id="rId33" /><Relationship Type="http://schemas.openxmlformats.org/officeDocument/2006/relationships/hyperlink" Target="https://www.pref.fukushima.lg.jp/uploaded/attachment/622613.pdf" TargetMode="External" Id="rId34" /><Relationship Type="http://schemas.openxmlformats.org/officeDocument/2006/relationships/hyperlink" Target="https://www.town.tanagura.fukushima.jp/page/page001917.html" TargetMode="External" Id="rId35" /><Relationship Type="http://schemas.openxmlformats.org/officeDocument/2006/relationships/hyperlink" Target="https://www.pref.fukushima.lg.jp/uploaded/attachment/622613.pdf" TargetMode="External" Id="rId36" /><Relationship Type="http://schemas.openxmlformats.org/officeDocument/2006/relationships/hyperlink" Target="https://www.pref.fukushima.lg.jp/uploaded/attachment/622613.pdf" TargetMode="External" Id="rId37" /><Relationship Type="http://schemas.openxmlformats.org/officeDocument/2006/relationships/hyperlink" Target="https://www.vill.samegawa.fukushima.jp/sp/page/page002592.html" TargetMode="External" Id="rId38" /><Relationship Type="http://schemas.openxmlformats.org/officeDocument/2006/relationships/hyperlink" Target="https://www.town.ishikawa.fukushima.jp/admin/project/03/24.html" TargetMode="External" Id="rId39" /><Relationship Type="http://schemas.openxmlformats.org/officeDocument/2006/relationships/hyperlink" Target="https://www.pref.fukushima.lg.jp/uploaded/attachment/622613.pdf" TargetMode="External" Id="rId40" /><Relationship Type="http://schemas.openxmlformats.org/officeDocument/2006/relationships/hyperlink" Target="https://www.pref.fukushima.lg.jp/uploaded/attachment/622613.pdf" TargetMode="External" Id="rId41" /><Relationship Type="http://schemas.openxmlformats.org/officeDocument/2006/relationships/hyperlink" Target="https://www.pref.fukushima.lg.jp/uploaded/attachment/622613.pdf" TargetMode="External" Id="rId42" /><Relationship Type="http://schemas.openxmlformats.org/officeDocument/2006/relationships/hyperlink" Target="https://www.pref.fukushima.lg.jp/uploaded/attachment/622613.pdf" TargetMode="External" Id="rId43" /><Relationship Type="http://schemas.openxmlformats.org/officeDocument/2006/relationships/hyperlink" Target="https://www.pref.fukushima.lg.jp/sec/16005d/chiikikoukyoukasseikakyougikai.html" TargetMode="External" Id="rId44" /><Relationship Type="http://schemas.openxmlformats.org/officeDocument/2006/relationships/hyperlink" Target="https://www.pref.fukushima.lg.jp/sec/16005d/chiikikoukyoukasseikakyougikai.html" TargetMode="External" Id="rId45" /><Relationship Type="http://schemas.openxmlformats.org/officeDocument/2006/relationships/hyperlink" Target="https://www.pref.fukushima.lg.jp/sec/16005d/hinan-koutsuu-keikaku.html" TargetMode="External" Id="rId46" /><Relationship Type="http://schemas.openxmlformats.org/officeDocument/2006/relationships/hyperlink" Target="https://www.town.hirono.fukushima.jp/chousei/machidukuri/1003877/1005075.html" TargetMode="External" Id="rId47" /><Relationship Type="http://schemas.openxmlformats.org/officeDocument/2006/relationships/hyperlink" Target="https://www.pref.fukushima.lg.jp/sec/16005d/hinan-koutsuu-keikaku.html" TargetMode="External" Id="rId48" /><Relationship Type="http://schemas.openxmlformats.org/officeDocument/2006/relationships/hyperlink" Target="https://www.pref.fukushima.lg.jp/sec/16005d/hinan-koutsuu-keikaku.html" TargetMode="External" Id="rId49" /><Relationship Type="http://schemas.openxmlformats.org/officeDocument/2006/relationships/hyperlink" Target="https://www.pref.fukushima.lg.jp/sec/16005d/hinan-koutsuu-keikaku.html" TargetMode="External" Id="rId50" /><Relationship Type="http://schemas.openxmlformats.org/officeDocument/2006/relationships/hyperlink" Target="https://www.pref.fukushima.lg.jp/sec/16005d/hinan-koutsuu-keikaku.html" TargetMode="External" Id="rId51" /><Relationship Type="http://schemas.openxmlformats.org/officeDocument/2006/relationships/hyperlink" Target="https://www.pref.fukushima.lg.jp/sec/16005d/hinan-koutsuu-keikaku.html" TargetMode="External" Id="rId52" /><Relationship Type="http://schemas.openxmlformats.org/officeDocument/2006/relationships/hyperlink" Target="https://www.pref.fukushima.lg.jp/sec/16005d/hinan-koutsuu-keikaku.html" TargetMode="External" Id="rId53" /><Relationship Type="http://schemas.openxmlformats.org/officeDocument/2006/relationships/hyperlink" Target="https://www.pref.fukushima.lg.jp/sec/16005d/hinan-koutsuu-keikaku.html" TargetMode="External" Id="rId54" /><Relationship Type="http://schemas.openxmlformats.org/officeDocument/2006/relationships/hyperlink" Target="https://www.pref.fukushima.lg.jp/sec/16005d/chiikikoukyoukasseikakyougikai.html" TargetMode="External" Id="rId55" /><Relationship Type="http://schemas.openxmlformats.org/officeDocument/2006/relationships/hyperlink" Target="https://www.pref.fukushima.lg.jp/sec/16005d/hinan-koutsuu-keikaku.html" TargetMode="External" Id="rId56" /></Relationships>
</file>

<file path=xl/worksheets/_rels/sheet8.xml.rels><Relationships xmlns="http://schemas.openxmlformats.org/package/2006/relationships"><Relationship Type="http://schemas.openxmlformats.org/officeDocument/2006/relationships/hyperlink" Target="https://www.city.mito.lg.jp/page/117784.html" TargetMode="External" Id="rId1" /><Relationship Type="http://schemas.openxmlformats.org/officeDocument/2006/relationships/hyperlink" Target="https://www.city.mito.lg.jp/page/3982.html" TargetMode="External" Id="rId2" /><Relationship Type="http://schemas.openxmlformats.org/officeDocument/2006/relationships/hyperlink" Target="https://www.city.hitachi.lg.jp/machizukuri_kankyo/kotsu_doro/1002832/1012175.html" TargetMode="External" Id="rId3" /><Relationship Type="http://schemas.openxmlformats.org/officeDocument/2006/relationships/hyperlink" Target="https://www.city.hitachi.lg.jp/_res/projects/default_project/_page_/001/011/987/keikakuhonpen.pdf" TargetMode="External" Id="rId4" /><Relationship Type="http://schemas.openxmlformats.org/officeDocument/2006/relationships/hyperlink" Target="https://www.city.tsuchiura.lg.jp/page/page009677.html" TargetMode="External" Id="rId5" /><Relationship Type="http://schemas.openxmlformats.org/officeDocument/2006/relationships/hyperlink" Target="https://www.city.tsuchiura.lg.jp/shisei/shinokeikaku/kankyo-kotsu-machizukuri/page017189.html" TargetMode="External" Id="rId6" /><Relationship Type="http://schemas.openxmlformats.org/officeDocument/2006/relationships/hyperlink" Target="https://www.city.ibaraki-koga.lg.jp/material/files/group/80/kogasikoukyoukoutuukeikaku2.pdf" TargetMode="External" Id="rId7" /><Relationship Type="http://schemas.openxmlformats.org/officeDocument/2006/relationships/hyperlink" Target="https://www.city.ibaraki-koga.lg.jp/material/files/group/21/kankyoukeikakuhyousi.pdf" TargetMode="External" Id="rId8" /><Relationship Type="http://schemas.openxmlformats.org/officeDocument/2006/relationships/hyperlink" Target="https://www.city.ishioka.lg.jp/data/doc/1712650110_doc_103_0.pdf" TargetMode="External" Id="rId9" /><Relationship Type="http://schemas.openxmlformats.org/officeDocument/2006/relationships/hyperlink" Target="https://www.city.ishioka.lg.jp/data/doc/1749196597_doc_45_0.pdf" TargetMode="External" Id="rId10" /><Relationship Type="http://schemas.openxmlformats.org/officeDocument/2006/relationships/hyperlink" Target="https://www.city.yuki.lg.jp/shisei/publiccomment/r02/page006785.html" TargetMode="External" Id="rId11" /><Relationship Type="http://schemas.openxmlformats.org/officeDocument/2006/relationships/hyperlink" Target="https://www.city.ryugasaki.ibaraki.jp/kurashi/seikatsu/kokyokotsu/keikaku/20220329131428914.files/01.pdf" TargetMode="External" Id="rId12" /><Relationship Type="http://schemas.openxmlformats.org/officeDocument/2006/relationships/hyperlink" Target="https://www.city.ryugasaki.ibaraki.jp/kurashi/kankyo/kankyo/kankyohakusyo/r7-kakyohakusyo.files/R7kankyo-hakusyo.pdf" TargetMode="External" Id="rId13" /><Relationship Type="http://schemas.openxmlformats.org/officeDocument/2006/relationships/hyperlink" Target="https://www.city.hitachiota.ibaraki.jp/data/doc/1651137157_doc_40_0.pdf" TargetMode="External" Id="rId14" /><Relationship Type="http://schemas.openxmlformats.org/officeDocument/2006/relationships/hyperlink" Target="https://www.city.hitachiota.ibaraki.jp/page/page009600.html" TargetMode="External" Id="rId15" /><Relationship Type="http://schemas.openxmlformats.org/officeDocument/2006/relationships/hyperlink" Target="https://www.city.takahagi.ibaraki.jp/kurashi/sumai/kankyou/ondanka/page004519.html" TargetMode="External" Id="rId16" /><Relationship Type="http://schemas.openxmlformats.org/officeDocument/2006/relationships/hyperlink" Target="https://www.city.kitaibaraki.lg.jp/docs/2024013000015" TargetMode="External" Id="rId17" /><Relationship Type="http://schemas.openxmlformats.org/officeDocument/2006/relationships/hyperlink" Target="https://cms.city.kitaibaraki.lg.jp/docs/2025060500022/file_contents/file_20256113161234_1.pdf" TargetMode="External" Id="rId18" /><Relationship Type="http://schemas.openxmlformats.org/officeDocument/2006/relationships/hyperlink" Target="https://www.city.kasama.lg.jp/data/doc/1758843883_doc_70_0.pdf" TargetMode="External" Id="rId19" /><Relationship Type="http://schemas.openxmlformats.org/officeDocument/2006/relationships/hyperlink" Target="https://www.city.kasama.lg.jp/data/doc/1774510801_doc_207_0.pdf" TargetMode="External" Id="rId20" /><Relationship Type="http://schemas.openxmlformats.org/officeDocument/2006/relationships/hyperlink" Target="https://www.city.toride.ibaraki.jp/seisaku/shise/machizukuri/sogo/plan2024/kanrenkeikaku.html" TargetMode="External" Id="rId21" /><Relationship Type="http://schemas.openxmlformats.org/officeDocument/2006/relationships/hyperlink" Target="https://www.city.toride.ibaraki.jp/seisaku/shise/machizukuri/sogo/plan2024/documents/33dai2jikannkyoukihonkeikaku.pdf" TargetMode="External" Id="rId22" /><Relationship Type="http://schemas.openxmlformats.org/officeDocument/2006/relationships/hyperlink" Target="https://www.city.ushiku.lg.jp/kurashi-tetsuduki/seikatsu/kokyokotsu/page014651.html" TargetMode="External" Id="rId23" /><Relationship Type="http://schemas.openxmlformats.org/officeDocument/2006/relationships/hyperlink" Target="https://www.city.ushiku.lg.jp/page/page002088.html" TargetMode="External" Id="rId24" /><Relationship Type="http://schemas.openxmlformats.org/officeDocument/2006/relationships/hyperlink" Target="https://www.city.tsukuba.lg.jp/material/files/group/137/3honpen.pdf" TargetMode="External" Id="rId25" /><Relationship Type="http://schemas.openxmlformats.org/officeDocument/2006/relationships/hyperlink" Target="https://www.city.hitachinaka.lg.jp/_res/projects/default_project/_page_/001/016/190/hitachinakashi_chiikikoukyoukoutuukeikakuan.pdf" TargetMode="External" Id="rId26" /><Relationship Type="http://schemas.openxmlformats.org/officeDocument/2006/relationships/hyperlink" Target="https://www.city.hitachinaka.lg.jp/_res/projects/default_project/_page_/001/017/041/kaiteigaiyoubann.pdf" TargetMode="External" Id="rId27" /><Relationship Type="http://schemas.openxmlformats.org/officeDocument/2006/relationships/hyperlink" Target="https://www.city.kashima.ibaraki.jp/uploaded/attachment/60268.pdf" TargetMode="External" Id="rId28" /><Relationship Type="http://schemas.openxmlformats.org/officeDocument/2006/relationships/hyperlink" Target="https://www.city.kashima.ibaraki.jp/uploaded/life/87842_130084_misc.pdf" TargetMode="External" Id="rId29" /><Relationship Type="http://schemas.openxmlformats.org/officeDocument/2006/relationships/hyperlink" Target="https://www.city.moriya.ibaraki.jp/kurashi_tetsuzuki/kankyo_gomi/1001993/1002006.html" TargetMode="External" Id="rId30" /><Relationship Type="http://schemas.openxmlformats.org/officeDocument/2006/relationships/hyperlink" Target="https://www.city.hitachiomiya.lg.jp/data/doc/1685520960_doc_100_0.pdf" TargetMode="External" Id="rId31" /><Relationship Type="http://schemas.openxmlformats.org/officeDocument/2006/relationships/hyperlink" Target="https://www.city.hitachiomiya.lg.jp/data/doc/1673312876_doc_1_0.pdf" TargetMode="External" Id="rId32" /><Relationship Type="http://schemas.openxmlformats.org/officeDocument/2006/relationships/hyperlink" Target="https://www.city.naka.lg.jp/gyousei/keikaku/page009444.html" TargetMode="External" Id="rId33" /><Relationship Type="http://schemas.openxmlformats.org/officeDocument/2006/relationships/hyperlink" Target="https://www.city.chikusei.lg.jp/machidukuri/traffic/page009177.html" TargetMode="External" Id="rId34" /><Relationship Type="http://schemas.openxmlformats.org/officeDocument/2006/relationships/hyperlink" Target="https://www.city.bando.lg.jp/page/page006076.html" TargetMode="External" Id="rId35" /><Relationship Type="http://schemas.openxmlformats.org/officeDocument/2006/relationships/hyperlink" Target="https://www.city.bando.lg.jp/page/page010074.html" TargetMode="External" Id="rId36" /><Relationship Type="http://schemas.openxmlformats.org/officeDocument/2006/relationships/hyperlink" Target="https://www.city.inashiki.lg.jp/page/page004756.html" TargetMode="External" Id="rId37" /><Relationship Type="http://schemas.openxmlformats.org/officeDocument/2006/relationships/hyperlink" Target="https://www.city.inashiki.lg.jp/page/page007577.html" TargetMode="External" Id="rId38" /><Relationship Type="http://schemas.openxmlformats.org/officeDocument/2006/relationships/hyperlink" Target="https://www.city.kasumigaura.lg.jp/data/doc/1605678793_doc_10_1.pdf" TargetMode="External" Id="rId39" /><Relationship Type="http://schemas.openxmlformats.org/officeDocument/2006/relationships/hyperlink" Target="https://www.city.kasumigaura.lg.jp/data/doc/1736999768_doc_11_0.pdf" TargetMode="External" Id="rId40" /><Relationship Type="http://schemas.openxmlformats.org/officeDocument/2006/relationships/hyperlink" Target="https://www.city.sakuragawa.lg.jp/sys/public/data/doc/1641257134_0.pdf" TargetMode="External" Id="rId41" /><Relationship Type="http://schemas.openxmlformats.org/officeDocument/2006/relationships/hyperlink" Target="https://www.city.sakuragawa.lg.jp/sys/public/data/doc/1578273137_0.pdf" TargetMode="External" Id="rId42" /><Relationship Type="http://schemas.openxmlformats.org/officeDocument/2006/relationships/hyperlink" Target="https://www.city.kamisu.ibaraki.jp/_res/projects/default_project/_page_/001/003/540/kokeikaku2.pdf" TargetMode="External" Id="rId43" /><Relationship Type="http://schemas.openxmlformats.org/officeDocument/2006/relationships/hyperlink" Target="https://www.city.kamisu.ibaraki.jp/_res/projects/default_project/_page_/001/004/216/kamisushikankyoukihonkeikaku.pdf" TargetMode="External" Id="rId44" /><Relationship Type="http://schemas.openxmlformats.org/officeDocument/2006/relationships/hyperlink" Target="https://www.city.namegata.ibaraki.jp/page/page010706.html" TargetMode="External" Id="rId45" /><Relationship Type="http://schemas.openxmlformats.org/officeDocument/2006/relationships/hyperlink" Target="https://www.city.hokota.lg.jp/data/doc/1654669803_doc_37_0.pdf" TargetMode="External" Id="rId46" /><Relationship Type="http://schemas.openxmlformats.org/officeDocument/2006/relationships/hyperlink" Target="https://www.city.tsukubamirai.lg.jp/jyumin/gomi-kankyou-doubutsu/kankyouhozen/page000080.html" TargetMode="External" Id="rId47" /><Relationship Type="http://schemas.openxmlformats.org/officeDocument/2006/relationships/hyperlink" Target="https://www.city.omitama.lg.jp/manage/contents/upload/602de700e73ca.pdf" TargetMode="External" Id="rId48" /><Relationship Type="http://schemas.openxmlformats.org/officeDocument/2006/relationships/hyperlink" Target="https://www.town.ibaraki.lg.jp/gyousei/kurashitetuduki/gomirisaikle/keikaku/index.html" TargetMode="External" Id="rId49" /><Relationship Type="http://schemas.openxmlformats.org/officeDocument/2006/relationships/hyperlink" Target="https://www.town.oarai.lg.jp/wp/wp-content/uploads/2023/07/%E5%A4%A7%E6%B4%97%E7%94%BA%E5%9C%B0%E5%9F%9F%E5%85%AC%E5%85%B1%E4%BA%A4%E9%80%9A%E8%A8%88%E7%94%BB.pdf" TargetMode="External" Id="rId50" /><Relationship Type="http://schemas.openxmlformats.org/officeDocument/2006/relationships/hyperlink" Target="https://www.town.oarai.lg.jp/wp/wp-content/uploads/2021/03/%E7%AC%AC2%E6%AC%A1%E5%A4%A7%E6%B4%97%E7%94%BA%E7%92%B0%E5%A2%83%E5%9F%BA%E6%9C%AC%E8%A8%88%E7%94%BB%EF%BC%88PDF%EF%BC%89.pdf" TargetMode="External" Id="rId51" /><Relationship Type="http://schemas.openxmlformats.org/officeDocument/2006/relationships/hyperlink" Target="https://www.town.shirosato.lg.jp/page/page006784.html" TargetMode="External" Id="rId52" /><Relationship Type="http://schemas.openxmlformats.org/officeDocument/2006/relationships/hyperlink" Target="https://www.town.shirosato.lg.jp/data/doc/1630301878_doc_711_0.pdf" TargetMode="External" Id="rId53" /><Relationship Type="http://schemas.openxmlformats.org/officeDocument/2006/relationships/hyperlink" Target="https://www.vill.tokai.ibaraki.jp/soshikikarasagasu/sangyobu/sangyoseisakuka/1/1_2/2/5673.html" TargetMode="External" Id="rId54" /><Relationship Type="http://schemas.openxmlformats.org/officeDocument/2006/relationships/hyperlink" Target="https://www.vill.tokai.ibaraki.jp/soshikikarasagasu/somminseikatsubu/kankyoseisakuka/1/1/4/11386.html" TargetMode="External" Id="rId55" /><Relationship Type="http://schemas.openxmlformats.org/officeDocument/2006/relationships/hyperlink" Target="https://www.town.ami.lg.jp/cmsfiles/contents/0000009/9640/keikaku.pdf" TargetMode="External" Id="rId56" /><Relationship Type="http://schemas.openxmlformats.org/officeDocument/2006/relationships/hyperlink" Target="https://www.town.ami.lg.jp/cmsfiles/contents/0000012/12659/1syou.pdf" TargetMode="External" Id="rId57" /><Relationship Type="http://schemas.openxmlformats.org/officeDocument/2006/relationships/hyperlink" Target="https://www.town.goka.lg.jp/data/doc/1690350530_doc_20_0.pdf" TargetMode="External" Id="rId58" /><Relationship Type="http://schemas.openxmlformats.org/officeDocument/2006/relationships/hyperlink" Target="https://www.town.goka.lg.jp/data/doc/1684388643_doc_20_0.pdf" TargetMode="External" Id="rId59" /></Relationships>
</file>

<file path=xl/worksheets/_rels/sheet9.xml.rels><Relationships xmlns="http://schemas.openxmlformats.org/package/2006/relationships"><Relationship Type="http://schemas.openxmlformats.org/officeDocument/2006/relationships/hyperlink" Target="https://www.city.utsunomiya.lg.jp/_res/projects/default_project/_page_/001/035/885/chiikikeikaku.pdf" TargetMode="External" Id="rId1" /><Relationship Type="http://schemas.openxmlformats.org/officeDocument/2006/relationships/hyperlink" Target="https://www.city.utsunomiya.lg.jp/_res/projects/default_project/_page_/001/045/465/4ji_sasshi.pdf" TargetMode="External" Id="rId2" /><Relationship Type="http://schemas.openxmlformats.org/officeDocument/2006/relationships/hyperlink" Target="https://www.city.ashikaga.tochigi.jp/manage/contents/upload/64dc71a539bc0.pdf" TargetMode="External" Id="rId3" /><Relationship Type="http://schemas.openxmlformats.org/officeDocument/2006/relationships/hyperlink" Target="https://www.city.ashikaga.tochigi.jp/manage/contents/upload/633fd39cd506a.pdf" TargetMode="External" Id="rId4" /><Relationship Type="http://schemas.openxmlformats.org/officeDocument/2006/relationships/hyperlink" Target="https://www.city.tochigi.lg.jp/uploaded/attachment/56361.pdf" TargetMode="External" Id="rId5" /><Relationship Type="http://schemas.openxmlformats.org/officeDocument/2006/relationships/hyperlink" Target="https://www.city.tochigi.lg.jp/uploaded/attachment/60576.pdf" TargetMode="External" Id="rId6" /><Relationship Type="http://schemas.openxmlformats.org/officeDocument/2006/relationships/hyperlink" Target="https://www.city.sano.lg.jp/material/files/group/1/koutuukeikaku2.pdf" TargetMode="External" Id="rId7" /><Relationship Type="http://schemas.openxmlformats.org/officeDocument/2006/relationships/hyperlink" Target="https://www.city.sano.lg.jp/material/files/group/1/kankyoukouki2.pdf" TargetMode="External" Id="rId8" /><Relationship Type="http://schemas.openxmlformats.org/officeDocument/2006/relationships/hyperlink" Target="https://www.city.kanuma.tochigi.jp/manage/contents/upload/623824c0af645.pdf" TargetMode="External" Id="rId9" /><Relationship Type="http://schemas.openxmlformats.org/officeDocument/2006/relationships/hyperlink" Target="https://www.city.kanuma.tochigi.jp/0097/info-0000007871-1.html" TargetMode="External" Id="rId10" /><Relationship Type="http://schemas.openxmlformats.org/officeDocument/2006/relationships/hyperlink" Target="https://www.city.nikko.lg.jp/material/files/group/33/tiikikoukyoukoutuukeikaku.pdf" TargetMode="External" Id="rId11" /><Relationship Type="http://schemas.openxmlformats.org/officeDocument/2006/relationships/hyperlink" Target="https://www.city.nikko.lg.jp/soshiki/6/1031/5/1/1/125.html" TargetMode="External" Id="rId12" /><Relationship Type="http://schemas.openxmlformats.org/officeDocument/2006/relationships/hyperlink" Target="https://www.city.oyama.tochigi.jp/o-bus/news/page011195.html" TargetMode="External" Id="rId13" /><Relationship Type="http://schemas.openxmlformats.org/officeDocument/2006/relationships/hyperlink" Target="https://www.city.oyama.tochigi.jp/data/doc/1700382745_doc_21_0.pdf" TargetMode="External" Id="rId14" /><Relationship Type="http://schemas.openxmlformats.org/officeDocument/2006/relationships/hyperlink" Target="https://www.city.moka.lg.jp/material/files/group/47/kotsu_plan_r8.pdf" TargetMode="External" Id="rId15" /><Relationship Type="http://schemas.openxmlformats.org/officeDocument/2006/relationships/hyperlink" Target="https://www.city.moka.lg.jp/material/files/group/22/20260416kankyougaiyouban.pdf" TargetMode="External" Id="rId16" /><Relationship Type="http://schemas.openxmlformats.org/officeDocument/2006/relationships/hyperlink" Target="https://www.city.ohtawara.tochigi.jp/docs/2026073100056" TargetMode="External" Id="rId17" /><Relationship Type="http://schemas.openxmlformats.org/officeDocument/2006/relationships/hyperlink" Target="https://www.city.ohtawara.tochigi.jp/docs/2026013000019" TargetMode="External" Id="rId18" /><Relationship Type="http://schemas.openxmlformats.org/officeDocument/2006/relationships/hyperlink" Target="https://www.city.yaita.tochigi.jp/soshiki/toshiseibi/koukyoukoutsu-plan.html" TargetMode="External" Id="rId19" /><Relationship Type="http://schemas.openxmlformats.org/officeDocument/2006/relationships/hyperlink" Target="https://www.city.yaita.tochigi.jp/soshiki/seikatsukankyou/kankyo-kihon.html" TargetMode="External" Id="rId20" /><Relationship Type="http://schemas.openxmlformats.org/officeDocument/2006/relationships/hyperlink" Target="https://www.city.nasushiobara.tochigi.jp/material/files/group/15/nasushiobaracity_2nd_publictransportation.pdf" TargetMode="External" Id="rId21" /><Relationship Type="http://schemas.openxmlformats.org/officeDocument/2006/relationships/hyperlink" Target="https://www.city.nasushiobara.tochigi.jp/material/files/group/13/dai2ki_kankyokihonkeikaku_an.pdf" TargetMode="External" Id="rId22" /><Relationship Type="http://schemas.openxmlformats.org/officeDocument/2006/relationships/hyperlink" Target="https://www.city.tochigi-sakura.lg.jp/life/000017/p003140.html" TargetMode="External" Id="rId23" /><Relationship Type="http://schemas.openxmlformats.org/officeDocument/2006/relationships/hyperlink" Target="https://www.city.tochigi-sakura.lg.jp/life/000014/000121/000403/p001957.html" TargetMode="External" Id="rId24" /><Relationship Type="http://schemas.openxmlformats.org/officeDocument/2006/relationships/hyperlink" Target="https://www.city.nasukarasuyama.lg.jp/page/page000722.html" TargetMode="External" Id="rId25" /><Relationship Type="http://schemas.openxmlformats.org/officeDocument/2006/relationships/hyperlink" Target="https://www.city.nasukarasuyama.lg.jp/page/page000773.html" TargetMode="External" Id="rId26" /><Relationship Type="http://schemas.openxmlformats.org/officeDocument/2006/relationships/hyperlink" Target="https://www.city.shimotsuke.lg.jp/0170/info-0000005122-3.html" TargetMode="External" Id="rId27" /><Relationship Type="http://schemas.openxmlformats.org/officeDocument/2006/relationships/hyperlink" Target="https://www.city.shimotsuke.lg.jp/office0109/section-3.html" TargetMode="External" Id="rId28" /><Relationship Type="http://schemas.openxmlformats.org/officeDocument/2006/relationships/hyperlink" Target="https://www.town.kaminokawa.lg.jp/0166/info-0000001338-0.html" TargetMode="External" Id="rId29" /><Relationship Type="http://schemas.openxmlformats.org/officeDocument/2006/relationships/hyperlink" Target="https://www.town.kaminokawa.lg.jp/0003/info-0000003247-0.html" TargetMode="External" Id="rId30" /><Relationship Type="http://schemas.openxmlformats.org/officeDocument/2006/relationships/hyperlink" Target="https://www.town.mashiko.lg.jp/page/page003396.html" TargetMode="External" Id="rId31" /><Relationship Type="http://schemas.openxmlformats.org/officeDocument/2006/relationships/hyperlink" Target="https://www.town.mashiko.lg.jp/page/page000467.html" TargetMode="External" Id="rId32" /><Relationship Type="http://schemas.openxmlformats.org/officeDocument/2006/relationships/hyperlink" Target="https://www.town.motegi.tochigi.jp/motegi/nextpage.php?cd=6374&amp;syurui=2" TargetMode="External" Id="rId33" /><Relationship Type="http://schemas.openxmlformats.org/officeDocument/2006/relationships/hyperlink" Target="https://www.town.motegi.tochigi.jp/motegi/nextpage.php?cd=7672&amp;syurui=2" TargetMode="External" Id="rId34" /><Relationship Type="http://schemas.openxmlformats.org/officeDocument/2006/relationships/hyperlink" Target="https://www.town.ichikai.tochigi.jp/info/785" TargetMode="External" Id="rId35" /><Relationship Type="http://schemas.openxmlformats.org/officeDocument/2006/relationships/hyperlink" Target="https://www.town.ichikai.tochigi.jp/info/1814" TargetMode="External" Id="rId36" /><Relationship Type="http://schemas.openxmlformats.org/officeDocument/2006/relationships/hyperlink" Target="https://www.town.tochigi-haga.lg.jp/kurashi/sekatsu/kokyokotsu/koukyoukoutsuu/koukyoukoutsuu6.html" TargetMode="External" Id="rId37" /><Relationship Type="http://schemas.openxmlformats.org/officeDocument/2006/relationships/hyperlink" Target="https://www.town.tochigi-haga.lg.jp/kurashi/kurashi/ka-bonnyu-toraru/documents/jitugennkeikaku1.pdf" TargetMode="External" Id="rId38" /><Relationship Type="http://schemas.openxmlformats.org/officeDocument/2006/relationships/hyperlink" Target="https://www.town.mibu.tochigi.jp/docs/2026042000042" TargetMode="External" Id="rId39" /><Relationship Type="http://schemas.openxmlformats.org/officeDocument/2006/relationships/hyperlink" Target="https://www.town.mibu.tochigi.jp/docs/2025032700030/file_contents/mibumachikankyokihonkeikaku.pdf" TargetMode="External" Id="rId40" /><Relationship Type="http://schemas.openxmlformats.org/officeDocument/2006/relationships/hyperlink" Target="https://www.town.nogi.lg.jp/cyousei/cyousei_jyouhou/keikaku/keikaku_toshiseibi/page005745.html" TargetMode="External" Id="rId41" /><Relationship Type="http://schemas.openxmlformats.org/officeDocument/2006/relationships/hyperlink" Target="https://www.town.nogi.lg.jp/kurashi/kankyou/ondanka/hojo/" TargetMode="External" Id="rId42" /><Relationship Type="http://schemas.openxmlformats.org/officeDocument/2006/relationships/hyperlink" Target="https://www.town.shioya.tochigi.jp/info/2531" TargetMode="External" Id="rId43" /><Relationship Type="http://schemas.openxmlformats.org/officeDocument/2006/relationships/hyperlink" Target="https://www.town.shioya.tochigi.jp/info/2490" TargetMode="External" Id="rId44" /><Relationship Type="http://schemas.openxmlformats.org/officeDocument/2006/relationships/hyperlink" Target="https://www.town.takanezawa.tochigi.jp/gyosei/plan/bunya/documents/202604koutsukeikaku.pdf" TargetMode="External" Id="rId45" /><Relationship Type="http://schemas.openxmlformats.org/officeDocument/2006/relationships/hyperlink" Target="https://www.town.takanezawa.tochigi.jp/life/kankyo/keikaku/documents/kankyoukihon2026gaiyou.pdf" TargetMode="External" Id="rId46" /><Relationship Type="http://schemas.openxmlformats.org/officeDocument/2006/relationships/hyperlink" Target="https://www.town.nasu.lg.jp/manage/contents/upload/6243b2b07f368.pdf" TargetMode="External" Id="rId47" /><Relationship Type="http://schemas.openxmlformats.org/officeDocument/2006/relationships/hyperlink" Target="http://www.town.nasu.lg.jp/0076/info-0000004347-1.html" TargetMode="External" Id="rId48" /><Relationship Type="http://schemas.openxmlformats.org/officeDocument/2006/relationships/hyperlink" Target="https://www.city.nasushiobara.tochigi.jp/soshikikarasagasu/kb/shinoseisakutokeikaku/1/5504.html" TargetMode="External" Id="rId49" /><Relationship Type="http://schemas.openxmlformats.org/officeDocument/2006/relationships/hyperlink" Target="https://www.town.tochigi-nakagawa.lg.jp/35kankyo/01keikaku/index.html" TargetMode="External" Id="rId50" /></Relationships>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4" customWidth="1" min="1" max="1"/>
    <col width="12" customWidth="1" min="2" max="2"/>
    <col width="10" customWidth="1" min="3" max="3"/>
    <col width="12" customWidth="1" min="4" max="4"/>
    <col width="18" customWidth="1" min="5" max="5"/>
    <col width="16" customWidth="1" min="6" max="6"/>
    <col width="12" customWidth="1" min="7" max="7"/>
    <col width="10" customWidth="1" min="8" max="8"/>
    <col width="14" customWidth="1" min="9" max="9"/>
  </cols>
  <sheetData>
    <row r="1">
      <c r="A1" s="1" t="inlineStr">
        <is>
          <t>自治体 地域公共交通計画・環境基本計画 終期一覧　集計・設定</t>
        </is>
      </c>
    </row>
    <row r="3">
      <c r="A3" s="2" t="inlineStr">
        <is>
          <t>■ 営業対象とする終期（令和年度）</t>
        </is>
      </c>
    </row>
    <row r="4">
      <c r="B4" s="3" t="inlineStr">
        <is>
          <t>下限</t>
        </is>
      </c>
      <c r="C4" s="4" t="n">
        <v>9</v>
      </c>
      <c r="D4" s="5" t="inlineStr">
        <is>
          <t>R8年度で終わる計画は作成中のため対象外（下限9）。数字を変えると全シートの判定が再計算されます。</t>
        </is>
      </c>
    </row>
    <row r="5">
      <c r="B5" s="3" t="inlineStr">
        <is>
          <t>上限</t>
        </is>
      </c>
      <c r="C5" s="4" t="n">
        <v>9</v>
      </c>
    </row>
    <row r="7">
      <c r="A7" s="2" t="inlineStr">
        <is>
          <t>■ 県別の集計</t>
        </is>
      </c>
    </row>
    <row r="8">
      <c r="B8" s="6" t="inlineStr">
        <is>
          <t>県</t>
        </is>
      </c>
      <c r="C8" s="6" t="inlineStr">
        <is>
          <t>市町村数</t>
        </is>
      </c>
      <c r="D8" s="6" t="inlineStr">
        <is>
          <t>◎ 営業</t>
        </is>
      </c>
      <c r="E8" s="6" t="inlineStr">
        <is>
          <t>△ 着手済・要確認</t>
        </is>
      </c>
      <c r="F8" s="6" t="inlineStr">
        <is>
          <t>？ 期間要確認</t>
        </is>
      </c>
      <c r="G8" s="6" t="inlineStr">
        <is>
          <t>✕ 対象外</t>
        </is>
      </c>
      <c r="H8" s="6" t="inlineStr">
        <is>
          <t>未調査</t>
        </is>
      </c>
      <c r="I8" s="6" t="inlineStr">
        <is>
          <t>一部のみ調査</t>
        </is>
      </c>
    </row>
    <row r="9">
      <c r="B9" s="3" t="inlineStr">
        <is>
          <t>青森県</t>
        </is>
      </c>
      <c r="C9" s="3">
        <f>COUNTA('青森県'!$C$4:$C$43)</f>
        <v/>
      </c>
      <c r="D9" s="3">
        <f>COUNTIF('青森県'!$C$4:$C$43,"◎ 営業")</f>
        <v/>
      </c>
      <c r="E9" s="3">
        <f>COUNTIF('青森県'!$C$4:$C$43,"△ 着手済・要確認")</f>
        <v/>
      </c>
      <c r="F9" s="3">
        <f>COUNTIF('青森県'!$C$4:$C$43,"？ 期間要確認")</f>
        <v/>
      </c>
      <c r="G9" s="3">
        <f>COUNTIF('青森県'!$C$4:$C$43,"✕ 対象外")</f>
        <v/>
      </c>
      <c r="H9" s="3">
        <f>COUNTIF('青森県'!$S$4:$S$43,"未調査")</f>
        <v/>
      </c>
      <c r="I9" s="3">
        <f>COUNTIF('青森県'!$S$4:$S$43,"交通のみ調査")+COUNTIF('青森県'!$S$4:$S$43,"環境のみ調査")</f>
        <v/>
      </c>
    </row>
    <row r="10">
      <c r="B10" s="3" t="inlineStr">
        <is>
          <t>岩手県</t>
        </is>
      </c>
      <c r="C10" s="3">
        <f>COUNTA('岩手県'!$C$4:$C$36)</f>
        <v/>
      </c>
      <c r="D10" s="3">
        <f>COUNTIF('岩手県'!$C$4:$C$36,"◎ 営業")</f>
        <v/>
      </c>
      <c r="E10" s="3">
        <f>COUNTIF('岩手県'!$C$4:$C$36,"△ 着手済・要確認")</f>
        <v/>
      </c>
      <c r="F10" s="3">
        <f>COUNTIF('岩手県'!$C$4:$C$36,"？ 期間要確認")</f>
        <v/>
      </c>
      <c r="G10" s="3">
        <f>COUNTIF('岩手県'!$C$4:$C$36,"✕ 対象外")</f>
        <v/>
      </c>
      <c r="H10" s="3">
        <f>COUNTIF('岩手県'!$S$4:$S$36,"未調査")</f>
        <v/>
      </c>
      <c r="I10" s="3">
        <f>COUNTIF('岩手県'!$S$4:$S$36,"交通のみ調査")+COUNTIF('岩手県'!$S$4:$S$36,"環境のみ調査")</f>
        <v/>
      </c>
    </row>
    <row r="11">
      <c r="B11" s="3" t="inlineStr">
        <is>
          <t>宮城県</t>
        </is>
      </c>
      <c r="C11" s="3">
        <f>COUNTA('宮城県'!$C$4:$C$38)</f>
        <v/>
      </c>
      <c r="D11" s="3">
        <f>COUNTIF('宮城県'!$C$4:$C$38,"◎ 営業")</f>
        <v/>
      </c>
      <c r="E11" s="3">
        <f>COUNTIF('宮城県'!$C$4:$C$38,"△ 着手済・要確認")</f>
        <v/>
      </c>
      <c r="F11" s="3">
        <f>COUNTIF('宮城県'!$C$4:$C$38,"？ 期間要確認")</f>
        <v/>
      </c>
      <c r="G11" s="3">
        <f>COUNTIF('宮城県'!$C$4:$C$38,"✕ 対象外")</f>
        <v/>
      </c>
      <c r="H11" s="3">
        <f>COUNTIF('宮城県'!$S$4:$S$38,"未調査")</f>
        <v/>
      </c>
      <c r="I11" s="3">
        <f>COUNTIF('宮城県'!$S$4:$S$38,"交通のみ調査")+COUNTIF('宮城県'!$S$4:$S$38,"環境のみ調査")</f>
        <v/>
      </c>
    </row>
    <row r="12">
      <c r="B12" s="3" t="inlineStr">
        <is>
          <t>秋田県</t>
        </is>
      </c>
      <c r="C12" s="3">
        <f>COUNTA('秋田県'!$C$4:$C$28)</f>
        <v/>
      </c>
      <c r="D12" s="3">
        <f>COUNTIF('秋田県'!$C$4:$C$28,"◎ 営業")</f>
        <v/>
      </c>
      <c r="E12" s="3">
        <f>COUNTIF('秋田県'!$C$4:$C$28,"△ 着手済・要確認")</f>
        <v/>
      </c>
      <c r="F12" s="3">
        <f>COUNTIF('秋田県'!$C$4:$C$28,"？ 期間要確認")</f>
        <v/>
      </c>
      <c r="G12" s="3">
        <f>COUNTIF('秋田県'!$C$4:$C$28,"✕ 対象外")</f>
        <v/>
      </c>
      <c r="H12" s="3">
        <f>COUNTIF('秋田県'!$S$4:$S$28,"未調査")</f>
        <v/>
      </c>
      <c r="I12" s="3">
        <f>COUNTIF('秋田県'!$S$4:$S$28,"交通のみ調査")+COUNTIF('秋田県'!$S$4:$S$28,"環境のみ調査")</f>
        <v/>
      </c>
    </row>
    <row r="13">
      <c r="B13" s="3" t="inlineStr">
        <is>
          <t>山形県</t>
        </is>
      </c>
      <c r="C13" s="3">
        <f>COUNTA('山形県'!$C$4:$C$38)</f>
        <v/>
      </c>
      <c r="D13" s="3">
        <f>COUNTIF('山形県'!$C$4:$C$38,"◎ 営業")</f>
        <v/>
      </c>
      <c r="E13" s="3">
        <f>COUNTIF('山形県'!$C$4:$C$38,"△ 着手済・要確認")</f>
        <v/>
      </c>
      <c r="F13" s="3">
        <f>COUNTIF('山形県'!$C$4:$C$38,"？ 期間要確認")</f>
        <v/>
      </c>
      <c r="G13" s="3">
        <f>COUNTIF('山形県'!$C$4:$C$38,"✕ 対象外")</f>
        <v/>
      </c>
      <c r="H13" s="3">
        <f>COUNTIF('山形県'!$S$4:$S$38,"未調査")</f>
        <v/>
      </c>
      <c r="I13" s="3">
        <f>COUNTIF('山形県'!$S$4:$S$38,"交通のみ調査")+COUNTIF('山形県'!$S$4:$S$38,"環境のみ調査")</f>
        <v/>
      </c>
    </row>
    <row r="14">
      <c r="B14" s="3" t="inlineStr">
        <is>
          <t>福島県</t>
        </is>
      </c>
      <c r="C14" s="3">
        <f>COUNTA('福島県'!$C$4:$C$62)</f>
        <v/>
      </c>
      <c r="D14" s="3">
        <f>COUNTIF('福島県'!$C$4:$C$62,"◎ 営業")</f>
        <v/>
      </c>
      <c r="E14" s="3">
        <f>COUNTIF('福島県'!$C$4:$C$62,"△ 着手済・要確認")</f>
        <v/>
      </c>
      <c r="F14" s="3">
        <f>COUNTIF('福島県'!$C$4:$C$62,"？ 期間要確認")</f>
        <v/>
      </c>
      <c r="G14" s="3">
        <f>COUNTIF('福島県'!$C$4:$C$62,"✕ 対象外")</f>
        <v/>
      </c>
      <c r="H14" s="3">
        <f>COUNTIF('福島県'!$S$4:$S$62,"未調査")</f>
        <v/>
      </c>
      <c r="I14" s="3">
        <f>COUNTIF('福島県'!$S$4:$S$62,"交通のみ調査")+COUNTIF('福島県'!$S$4:$S$62,"環境のみ調査")</f>
        <v/>
      </c>
    </row>
    <row r="15">
      <c r="B15" s="3" t="inlineStr">
        <is>
          <t>茨城県</t>
        </is>
      </c>
      <c r="C15" s="3">
        <f>COUNTA('茨城県'!$C$4:$C$47)</f>
        <v/>
      </c>
      <c r="D15" s="3">
        <f>COUNTIF('茨城県'!$C$4:$C$47,"◎ 営業")</f>
        <v/>
      </c>
      <c r="E15" s="3">
        <f>COUNTIF('茨城県'!$C$4:$C$47,"△ 着手済・要確認")</f>
        <v/>
      </c>
      <c r="F15" s="3">
        <f>COUNTIF('茨城県'!$C$4:$C$47,"？ 期間要確認")</f>
        <v/>
      </c>
      <c r="G15" s="3">
        <f>COUNTIF('茨城県'!$C$4:$C$47,"✕ 対象外")</f>
        <v/>
      </c>
      <c r="H15" s="3">
        <f>COUNTIF('茨城県'!$S$4:$S$47,"未調査")</f>
        <v/>
      </c>
      <c r="I15" s="3">
        <f>COUNTIF('茨城県'!$S$4:$S$47,"交通のみ調査")+COUNTIF('茨城県'!$S$4:$S$47,"環境のみ調査")</f>
        <v/>
      </c>
    </row>
    <row r="16">
      <c r="B16" s="3" t="inlineStr">
        <is>
          <t>栃木県</t>
        </is>
      </c>
      <c r="C16" s="3">
        <f>COUNTA('栃木県'!$C$4:$C$28)</f>
        <v/>
      </c>
      <c r="D16" s="3">
        <f>COUNTIF('栃木県'!$C$4:$C$28,"◎ 営業")</f>
        <v/>
      </c>
      <c r="E16" s="3">
        <f>COUNTIF('栃木県'!$C$4:$C$28,"△ 着手済・要確認")</f>
        <v/>
      </c>
      <c r="F16" s="3">
        <f>COUNTIF('栃木県'!$C$4:$C$28,"？ 期間要確認")</f>
        <v/>
      </c>
      <c r="G16" s="3">
        <f>COUNTIF('栃木県'!$C$4:$C$28,"✕ 対象外")</f>
        <v/>
      </c>
      <c r="H16" s="3">
        <f>COUNTIF('栃木県'!$S$4:$S$28,"未調査")</f>
        <v/>
      </c>
      <c r="I16" s="3">
        <f>COUNTIF('栃木県'!$S$4:$S$28,"交通のみ調査")+COUNTIF('栃木県'!$S$4:$S$28,"環境のみ調査")</f>
        <v/>
      </c>
    </row>
    <row r="17">
      <c r="B17" s="2" t="inlineStr">
        <is>
          <t>合計</t>
        </is>
      </c>
      <c r="C17" s="2">
        <f>SUM(C9:C16)</f>
        <v/>
      </c>
      <c r="D17" s="2">
        <f>SUM(D9:D16)</f>
        <v/>
      </c>
      <c r="E17" s="2">
        <f>SUM(E9:E16)</f>
        <v/>
      </c>
      <c r="F17" s="2">
        <f>SUM(F9:F16)</f>
        <v/>
      </c>
      <c r="G17" s="2">
        <f>SUM(G9:G16)</f>
        <v/>
      </c>
      <c r="H17" s="2">
        <f>SUM(H9:H16)</f>
        <v/>
      </c>
      <c r="I17" s="2">
        <f>SUM(I9:I16)</f>
        <v/>
      </c>
    </row>
    <row r="19">
      <c r="A19" s="7" t="inlineStr">
        <is>
          <t>■ 判定の見方</t>
        </is>
      </c>
    </row>
    <row r="20">
      <c r="A20" s="8" t="inlineStr">
        <is>
          <t>◎ 営業：どちらかの計画の終期が対象年度（初期値R9）で、次の計画の作業は見つかっていない</t>
        </is>
      </c>
    </row>
    <row r="21">
      <c r="A21" s="8" t="inlineStr">
        <is>
          <t>△ 着手済・要確認：終期は対象年度だが、次期計画の策定業務委託やパブコメをすでに確認済。委託先が決まっている可能性が高い</t>
        </is>
      </c>
    </row>
    <row r="22">
      <c r="A22" s="8" t="inlineStr">
        <is>
          <t>？ 期間要確認：終期がわからないため判定できない</t>
        </is>
      </c>
    </row>
    <row r="23">
      <c r="A23" s="8" t="inlineStr">
        <is>
          <t>✕ 対象外：終期が対象年度の外（R8以前は作成中または終了、R10以降は先）、または新計画を策定済</t>
        </is>
      </c>
    </row>
    <row r="24">
      <c r="A24" s="8" t="inlineStr">
        <is>
          <t>－：その計画がない（環境基本計画を作っていない町村など）</t>
        </is>
      </c>
    </row>
    <row r="25">
      <c r="A25" s="8" t="inlineStr"/>
    </row>
    <row r="26">
      <c r="A26" s="7" t="inlineStr">
        <is>
          <t>■ 入力する列</t>
        </is>
      </c>
    </row>
    <row r="27">
      <c r="A27" s="8" t="inlineStr">
        <is>
          <t>各県シートの「終期(令和年度)」と「改定状況」（未確認／着手済／策定済／計画なし）を直すと、判定が自動で変わります。</t>
        </is>
      </c>
    </row>
    <row r="28">
      <c r="A28" s="8" t="inlineStr">
        <is>
          <t>「未確認」は、改定の動きが検索で見つからなかったという意味です。動きがないと確かめたわけではありません。</t>
        </is>
      </c>
    </row>
    <row r="29">
      <c r="A29" s="8" t="inlineStr">
        <is>
          <t>確度：確認済＝検索結果の本文に期間が書かれていた／推定＝策定時期などから推測（終期のセルは茶色の斜体）／不明＝確認できなかった</t>
        </is>
      </c>
    </row>
    <row r="30">
      <c r="A30" s="8" t="inlineStr"/>
    </row>
    <row r="31">
      <c r="A31" s="7" t="inlineStr">
        <is>
          <t>■ 調査の方法と限界</t>
        </is>
      </c>
    </row>
    <row r="32">
      <c r="A32" s="8" t="inlineStr">
        <is>
          <t>【重要】検索回数に上限（1セッション200回）があるため、県によっては一部の市町村・計画を調べきれていません。「調査状況」列が「未調査」「交通のみ調査」の行は空欄・？になっていますが、計画がないという意味ではありません。</t>
        </is>
      </c>
    </row>
    <row r="33">
      <c r="A33" s="8" t="inlineStr">
        <is>
          <t>2026年9月30日時点でWeb検索して調べました。自治体サイトやPDFを直接開けない環境だったため、期間は検索結果の本文・要約から取っています。</t>
        </is>
      </c>
    </row>
    <row r="34">
      <c r="A34" s="8" t="inlineStr">
        <is>
          <t>計画リンクはエビデンスとして検索結果に出たURLを載せています。営業に行く前に、リンク先の計画書で計画期間を確かめてください。特に「推定」「不明」の行は必ず確認してください。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青森県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青森市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青森市地域公共交通計画</t>
        </is>
      </c>
      <c r="G4" s="11" t="inlineStr">
        <is>
          <t>R6〜R10</t>
        </is>
      </c>
      <c r="H4" s="13" t="n">
        <v>10</v>
      </c>
      <c r="I4" s="13" t="inlineStr">
        <is>
          <t>確認済</t>
        </is>
      </c>
      <c r="J4" s="13" t="inlineStr">
        <is>
          <t>未確認</t>
        </is>
      </c>
      <c r="K4" s="14" t="inlineStr">
        <is>
          <t>https://www.city.aomori.aomori.jp/somu/shiseijouhou/jyouhou-koukai/tyougi/documents/tiikikoutuumoukeikaku.pdf</t>
        </is>
      </c>
      <c r="L4" s="11" t="inlineStr">
        <is>
          <t>青森市環境基本計画（令和7年12月制定の青森市環境基本条例第8条に基づき策定中）</t>
        </is>
      </c>
      <c r="M4" s="11" t="inlineStr">
        <is>
          <t>R8〜R10</t>
        </is>
      </c>
      <c r="N4" s="13" t="n">
        <v>10</v>
      </c>
      <c r="O4" s="13" t="inlineStr">
        <is>
          <t>確認済</t>
        </is>
      </c>
      <c r="P4" s="13" t="inlineStr">
        <is>
          <t>着手済</t>
        </is>
      </c>
      <c r="Q4" s="14" t="inlineStr">
        <is>
          <t>https://www.city.aomori.aomori.jp/_res/projects/default_project/_page_/001/011/090/05_080722siryou3.pdf</t>
        </is>
      </c>
      <c r="R4" s="11" t="inlineStr">
        <is>
          <t>環境基本計画は新条例（R7.12）に基づく新規策定中。R8.7.22環境審議会資料によるとR8.10素案審議→R8.12パブコメ→R9.2計画案審議→策定予定（期間は総合計画前期基本計画終期に合わせR10まで）。関連: https://www.city.aomori.aomori.jp/_res/projects/default_project/_page_/001/009/192/080220anken1.pdf 。交通計画URLは市の審議会資料PDF（計画本体ページは未確認）。</t>
        </is>
      </c>
      <c r="S4" s="15" t="inlineStr">
        <is>
          <t>調査済</t>
        </is>
      </c>
    </row>
    <row r="5">
      <c r="A5" s="11" t="n">
        <v>2</v>
      </c>
      <c r="B5" s="11" t="inlineStr">
        <is>
          <t>弘前市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弘前市地域公共交通計画</t>
        </is>
      </c>
      <c r="G5" s="11" t="inlineStr">
        <is>
          <t>R6〜R10</t>
        </is>
      </c>
      <c r="H5" s="13" t="n">
        <v>10</v>
      </c>
      <c r="I5" s="13" t="inlineStr">
        <is>
          <t>確認済</t>
        </is>
      </c>
      <c r="J5" s="13" t="inlineStr">
        <is>
          <t>未確認</t>
        </is>
      </c>
      <c r="K5" s="14" t="inlineStr">
        <is>
          <t>https://www.city.hirosaki.aomori.jp/jouhou/keikaku/kokyokotu/kotsukeikaku.pdf</t>
        </is>
      </c>
      <c r="L5" s="11" t="inlineStr">
        <is>
          <t>第3次弘前市環境基本計画</t>
        </is>
      </c>
      <c r="M5" s="11" t="inlineStr">
        <is>
          <t>R3〜R12</t>
        </is>
      </c>
      <c r="N5" s="16" t="n">
        <v>12</v>
      </c>
      <c r="O5" s="13" t="inlineStr">
        <is>
          <t>推定</t>
        </is>
      </c>
      <c r="P5" s="13" t="inlineStr">
        <is>
          <t>未確認</t>
        </is>
      </c>
      <c r="Q5" s="14" t="inlineStr">
        <is>
          <t>https://www.city.hirosaki.aomori.jp/jouhou/keikaku/2021-0401-kankyoukihon.html</t>
        </is>
      </c>
      <c r="R5" s="11" t="inlineStr">
        <is>
          <t>環境：R3.3策定（改訂）の記載は資料編 https://city.hirosaki.aomori.jp/jouhou/keikaku/files/shiryouhen.pdf で示唆されるが、期間は今回の検索でも確認できず推定のまま。</t>
        </is>
      </c>
      <c r="S5" s="15" t="inlineStr">
        <is>
          <t>調査済</t>
        </is>
      </c>
    </row>
    <row r="6">
      <c r="A6" s="11" t="n">
        <v>3</v>
      </c>
      <c r="B6" s="11" t="inlineStr">
        <is>
          <t>八戸市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八戸圏域地域公共交通計画（広域）</t>
        </is>
      </c>
      <c r="G6" s="11" t="inlineStr">
        <is>
          <t>R5〜R10</t>
        </is>
      </c>
      <c r="H6" s="13" t="n">
        <v>10</v>
      </c>
      <c r="I6" s="13" t="inlineStr">
        <is>
          <t>確認済</t>
        </is>
      </c>
      <c r="J6" s="13" t="inlineStr">
        <is>
          <t>未確認</t>
        </is>
      </c>
      <c r="K6" s="14" t="inlineStr">
        <is>
          <t>https://wwwtb.mlit.go.jp/tohoku/content/000181287.pdf</t>
        </is>
      </c>
      <c r="L6" s="11" t="inlineStr">
        <is>
          <t>第3次八戸市環境基本計画</t>
        </is>
      </c>
      <c r="M6" s="11" t="inlineStr">
        <is>
          <t>R5〜R14</t>
        </is>
      </c>
      <c r="N6" s="16" t="n">
        <v>14</v>
      </c>
      <c r="O6" s="13" t="inlineStr">
        <is>
          <t>推定</t>
        </is>
      </c>
      <c r="P6" s="13" t="inlineStr">
        <is>
          <t>未確認</t>
        </is>
      </c>
      <c r="Q6" s="14" t="inlineStr">
        <is>
          <t>https://www.city.hachinohe.aomori.jp/gyoseijoho/keikaku_plan/kurashi_tetsuzuki/1/1/7959.html</t>
        </is>
      </c>
      <c r="R6" s="11" t="inlineStr">
        <is>
          <t>環境：今回の検索でも期間確認できず推定のまま。関連：第2次八戸市地球温暖化対策実行計画区域施策編 https://www.city.hachinohe.aomori.jp/gyoseijoho/keikaku_plan/kurashi_tetsuzuki/1/1/7961.html 。</t>
        </is>
      </c>
      <c r="S6" s="15" t="inlineStr">
        <is>
          <t>調査済</t>
        </is>
      </c>
    </row>
    <row r="7">
      <c r="A7" s="11" t="n">
        <v>4</v>
      </c>
      <c r="B7" s="11" t="inlineStr">
        <is>
          <t>黒石市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黒石市地域公共交通計画</t>
        </is>
      </c>
      <c r="G7" s="11" t="inlineStr">
        <is>
          <t>R7〜R11</t>
        </is>
      </c>
      <c r="H7" s="13" t="n">
        <v>11</v>
      </c>
      <c r="I7" s="13" t="inlineStr">
        <is>
          <t>確認済</t>
        </is>
      </c>
      <c r="J7" s="13" t="inlineStr">
        <is>
          <t>策定済</t>
        </is>
      </c>
      <c r="K7" s="14" t="inlineStr">
        <is>
          <t>http://www.city.kuroishi.aomori.jp/shisei/keikaku/2025-0523-1102-33.html</t>
        </is>
      </c>
      <c r="L7" s="11" t="inlineStr">
        <is>
          <t>第二次黒石市環境基本計画</t>
        </is>
      </c>
      <c r="M7" s="11" t="inlineStr">
        <is>
          <t>不明</t>
        </is>
      </c>
      <c r="N7" s="13" t="n"/>
      <c r="O7" s="13" t="inlineStr">
        <is>
          <t>不明</t>
        </is>
      </c>
      <c r="P7" s="13" t="inlineStr">
        <is>
          <t>未確認</t>
        </is>
      </c>
      <c r="Q7" s="14" t="inlineStr">
        <is>
          <t>http://www.city.kuroishi.aomori.jp/shisei/keikaku/kankyou-kihon-keikaku.html</t>
        </is>
      </c>
      <c r="R7" s="11" t="inlineStr">
        <is>
          <t>交通：R7.3策定、R7〜R11の5年間。R1.10策定の地域公共交通網形成計画を継承。策定支援業務委託はR6.5公告（NJSS https://www2.njss.info/offers/view/29276332）。環境：第二次計画のページは確認したが計画期間は検索結果で確認できず（要確認）。</t>
        </is>
      </c>
      <c r="S7" s="15" t="inlineStr">
        <is>
          <t>調査済</t>
        </is>
      </c>
    </row>
    <row r="8">
      <c r="A8" s="11" t="n">
        <v>5</v>
      </c>
      <c r="B8" s="11" t="inlineStr">
        <is>
          <t>五所川原市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五所川原市地域公共交通計画</t>
        </is>
      </c>
      <c r="G8" s="11" t="inlineStr">
        <is>
          <t>R5〜R9</t>
        </is>
      </c>
      <c r="H8" s="16" t="n">
        <v>9</v>
      </c>
      <c r="I8" s="13" t="inlineStr">
        <is>
          <t>推定</t>
        </is>
      </c>
      <c r="J8" s="13" t="inlineStr">
        <is>
          <t>未確認</t>
        </is>
      </c>
      <c r="K8" s="14" t="inlineStr">
        <is>
          <t>https://www.city.goshogawara.lg.jp/kurashi/machi/chiikikoukyokoutsukeikaku.html</t>
        </is>
      </c>
      <c r="L8" s="11" t="n"/>
      <c r="M8" s="11" t="inlineStr">
        <is>
          <t>不明</t>
        </is>
      </c>
      <c r="N8" s="13" t="n"/>
      <c r="O8" s="13" t="inlineStr">
        <is>
          <t>不明</t>
        </is>
      </c>
      <c r="P8" s="13" t="inlineStr">
        <is>
          <t>未確認</t>
        </is>
      </c>
      <c r="Q8" s="11" t="n"/>
      <c r="R8" s="11" t="inlineStr">
        <is>
          <t>交通：R5.6策定（パブコメR5.4.17〜5.16）。期間は検索結果で未確認のため5年と仮定した推定値（要確認）。R6.3に五所川原市地域公共交通推進計画（R6〜R10、確認済 https://www.city.goshogawara.lg.jp/jouhou/keikaku/files/koutuu_suisin.pdf）。H28.3網形成計画・H30.3再編実施計画あり。環境：環境基本計画は検索で見当たらず。代替として五所川原市地球温暖化対策実行計画（区域施策編）が存在する模様（https://www.city.goshogawara.lg.jp/kurashi/kurashi/files/planR2_gaiyouban.pdf の可能性）。事務事業編相当は環境保全率先行動計画（H21〜H25）。</t>
        </is>
      </c>
      <c r="S8" s="17" t="inlineStr">
        <is>
          <t>交通のみ調査</t>
        </is>
      </c>
    </row>
    <row r="9">
      <c r="A9" s="11" t="n">
        <v>6</v>
      </c>
      <c r="B9" s="11" t="inlineStr">
        <is>
          <t>十和田市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十和田市地域公共交通計画</t>
        </is>
      </c>
      <c r="G9" s="11" t="inlineStr">
        <is>
          <t>R5〜R9</t>
        </is>
      </c>
      <c r="H9" s="13" t="n">
        <v>9</v>
      </c>
      <c r="I9" s="13" t="inlineStr">
        <is>
          <t>確認済</t>
        </is>
      </c>
      <c r="J9" s="13" t="inlineStr">
        <is>
          <t>未確認</t>
        </is>
      </c>
      <c r="K9" s="14" t="inlineStr">
        <is>
          <t>https://www.city.towada.lg.jp/kurashi/koutsu/files/keikaku.pdf</t>
        </is>
      </c>
      <c r="L9" s="11" t="n"/>
      <c r="M9" s="11" t="inlineStr">
        <is>
          <t>不明</t>
        </is>
      </c>
      <c r="N9" s="13" t="n"/>
      <c r="O9" s="13" t="inlineStr">
        <is>
          <t>不明</t>
        </is>
      </c>
      <c r="P9" s="13" t="inlineStr">
        <is>
          <t>未確認</t>
        </is>
      </c>
      <c r="Q9" s="11" t="n"/>
      <c r="R9" s="11" t="inlineStr">
        <is>
          <t>交通：計画期間R5〜R9（5か年、検索結果で確認）。概要版 https://www.city.towada.lg.jp/kurashi/koutsu/files/gaiyouban.pdf 。策定支援業務仕様書 https://www.city.towada.lg.jp/kurashi/koutsu/files/shiyousyo.pdf あり（日付不明、現行計画策定時のものの可能性が高い。次期計画分かは要確認）。R9終了のため次期計画はR8〜R9に着手見込み。環境：環境基本計画は検索で見当たらず。R7.3に十和田市地球温暖化対策実行計画（区域施策編）策定（https://www.city.towada.lg.jp/shisei/gyousei/machidukuri/files/keikakugaiyouban.pdf）。</t>
        </is>
      </c>
      <c r="S9" s="17" t="inlineStr">
        <is>
          <t>交通のみ調査</t>
        </is>
      </c>
    </row>
    <row r="10">
      <c r="A10" s="11" t="n">
        <v>7</v>
      </c>
      <c r="B10" s="11" t="inlineStr">
        <is>
          <t>三沢市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三沢市地域公共交通計画</t>
        </is>
      </c>
      <c r="G10" s="11" t="inlineStr">
        <is>
          <t>不明</t>
        </is>
      </c>
      <c r="H10" s="13" t="n"/>
      <c r="I10" s="13" t="inlineStr">
        <is>
          <t>不明</t>
        </is>
      </c>
      <c r="J10" s="13" t="inlineStr">
        <is>
          <t>未確認</t>
        </is>
      </c>
      <c r="K10" s="14" t="inlineStr">
        <is>
          <t>https://www.city.misawa.lg.jp/index.cfm/12,21981,57,254,html</t>
        </is>
      </c>
      <c r="L10" s="11" t="inlineStr">
        <is>
          <t>第2次三沢市環境基本計画</t>
        </is>
      </c>
      <c r="M10" s="11" t="inlineStr">
        <is>
          <t>H31〜R10</t>
        </is>
      </c>
      <c r="N10" s="13" t="n">
        <v>10</v>
      </c>
      <c r="O10" s="13" t="inlineStr">
        <is>
          <t>確認済</t>
        </is>
      </c>
      <c r="P10" s="13" t="inlineStr">
        <is>
          <t>未確認</t>
        </is>
      </c>
      <c r="Q10" s="14" t="inlineStr">
        <is>
          <t>https://www.city.misawa.lg.jp/index.cfm/12,31881,c,html/31881/20181207-151357.pdf</t>
        </is>
      </c>
      <c r="R10" s="11" t="inlineStr">
        <is>
          <t>交通：H28.3策定の地域公共交通網形成計画を継承して地域公共交通計画を策定（策定時期・期間は検索で確認できず）。素案ページ https://www.city.misawa.lg.jp/index.cfm/12,47680,79,350,html 。環境：第2次計画（素案表紙に2019.4〜2029.3と明記）。URLは素案PDF。</t>
        </is>
      </c>
      <c r="S10" s="15" t="inlineStr">
        <is>
          <t>調査済</t>
        </is>
      </c>
    </row>
    <row r="11">
      <c r="A11" s="11" t="n">
        <v>8</v>
      </c>
      <c r="B11" s="11" t="inlineStr">
        <is>
          <t>むつ市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下北地域公共交通計画（広域）</t>
        </is>
      </c>
      <c r="G11" s="11" t="inlineStr">
        <is>
          <t>R7〜R11</t>
        </is>
      </c>
      <c r="H11" s="13" t="n">
        <v>11</v>
      </c>
      <c r="I11" s="13" t="inlineStr">
        <is>
          <t>確認済</t>
        </is>
      </c>
      <c r="J11" s="13" t="inlineStr">
        <is>
          <t>策定済</t>
        </is>
      </c>
      <c r="K11" s="14" t="inlineStr">
        <is>
          <t>https://www.city.mutsu.lg.jp/government/katsudou/kyoudou/files/simokitatiikikoukyoukoutuukeikakusoann.pdf</t>
        </is>
      </c>
      <c r="L11" s="11" t="n"/>
      <c r="M11" s="11" t="inlineStr">
        <is>
          <t>不明</t>
        </is>
      </c>
      <c r="N11" s="13" t="n"/>
      <c r="O11" s="13" t="inlineStr">
        <is>
          <t>不明</t>
        </is>
      </c>
      <c r="P11" s="13" t="inlineStr">
        <is>
          <t>未確認</t>
        </is>
      </c>
      <c r="Q11" s="11" t="n"/>
      <c r="R11" s="11" t="inlineStr">
        <is>
          <t>交通：下北地域公共交通総合連携協議会（むつ市・大間町・東通村・風間浦村・佐井村）がR7.3策定、2025〜2029。URLは素案PDF（パブコメR7.2.17〜3.3）。前計画はH30.3の下北地域公共交通網形成計画。市単独ではむつ市公共交通再編関連資料（2026）https://www.city.mutsu.lg.jp/kurashi/koutsu/koutsu_sisaku/files/mutsu_kokyokotsusaihen_2026.pdf あり（地域公共交通計画ではなく再編計画の可能性）。環境：環境基本計画は検索で見当たらず。第4期むつ市地球温暖化対策推進実行計画（事務事業編）R7.6策定（https://www.city.mutsu.lg.jp/kurashi/kankyo/kankyo/files/ondankakeikaku4.pdf）。</t>
        </is>
      </c>
      <c r="S11" s="17" t="inlineStr">
        <is>
          <t>交通のみ調査</t>
        </is>
      </c>
    </row>
    <row r="12">
      <c r="A12" s="11" t="n">
        <v>9</v>
      </c>
      <c r="B12" s="11" t="inlineStr">
        <is>
          <t>つがる市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n"/>
      <c r="G12" s="11" t="inlineStr">
        <is>
          <t>不明</t>
        </is>
      </c>
      <c r="H12" s="13" t="n"/>
      <c r="I12" s="13" t="inlineStr">
        <is>
          <t>不明</t>
        </is>
      </c>
      <c r="J12" s="13" t="inlineStr">
        <is>
          <t>未確認</t>
        </is>
      </c>
      <c r="K12" s="11" t="n"/>
      <c r="L12" s="11" t="inlineStr">
        <is>
          <t>第2次つがる市環境基本計画</t>
        </is>
      </c>
      <c r="M12" s="11" t="inlineStr">
        <is>
          <t>不明</t>
        </is>
      </c>
      <c r="N12" s="13" t="n"/>
      <c r="O12" s="13" t="inlineStr">
        <is>
          <t>不明</t>
        </is>
      </c>
      <c r="P12" s="13" t="inlineStr">
        <is>
          <t>未確認</t>
        </is>
      </c>
      <c r="Q12" s="14" t="inlineStr">
        <is>
          <t>https://www.city.tsugaru.aomori.jp/soshiki/minsei/shimin/kankyoeisei/gomi/kankyoukihonkeikaku/10184.html</t>
        </is>
      </c>
      <c r="R12" s="11" t="inlineStr">
        <is>
          <t>交通：地域公共交通計画は検索で確認できず。つがる市地域公共交通会議（H20.9設置）https://www.city.tsugaru.aomori.jp/soshiki/somu/tiikisousei/kikakusinnkou/kokyokotu/6434.html 。環境：第2次計画のページは確認、期間不明。区域施策編は西つがる3市町（つがる市・鰺ヶ沢町・深浦町）共同で策定（R6.3パブコメ https://www.town.fukaura.lg.jp/fixed_docs/2024032100017/）。</t>
        </is>
      </c>
      <c r="S12" s="17" t="inlineStr">
        <is>
          <t>環境のみ調査</t>
        </is>
      </c>
    </row>
    <row r="13">
      <c r="A13" s="11" t="n">
        <v>10</v>
      </c>
      <c r="B13" s="11" t="inlineStr">
        <is>
          <t>平川市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平川市地域公共交通計画</t>
        </is>
      </c>
      <c r="G13" s="11" t="inlineStr">
        <is>
          <t>不明</t>
        </is>
      </c>
      <c r="H13" s="13" t="n"/>
      <c r="I13" s="13" t="inlineStr">
        <is>
          <t>不明</t>
        </is>
      </c>
      <c r="J13" s="13" t="inlineStr">
        <is>
          <t>未確認</t>
        </is>
      </c>
      <c r="K13" s="14" t="inlineStr">
        <is>
          <t>https://www.city.hirakawa.lg.jp/kurashi/keikaku/2021-0514-1007-25.html</t>
        </is>
      </c>
      <c r="L13" s="11" t="inlineStr">
        <is>
          <t>平川市環境基本計画</t>
        </is>
      </c>
      <c r="M13" s="11" t="inlineStr">
        <is>
          <t>H29〜R8</t>
        </is>
      </c>
      <c r="N13" s="13" t="n">
        <v>8</v>
      </c>
      <c r="O13" s="13" t="inlineStr">
        <is>
          <t>確認済</t>
        </is>
      </c>
      <c r="P13" s="13" t="inlineStr">
        <is>
          <t>未確認</t>
        </is>
      </c>
      <c r="Q13" s="14" t="inlineStr">
        <is>
          <t>https://www.city.hirakawa.lg.jp/kurashi/keikaku/kankyokihonkeikaku.html</t>
        </is>
      </c>
      <c r="R13" s="11" t="inlineStr">
        <is>
          <t>交通：R3（素案R3.3）策定、R4新庁舎開庁に合わせた再編のマスタープラン。期間は検索で確認できず（5年ならR3〜R7で既に終期到来の可能性、要確認）。策定業務プロポーザルページ https://www.city.hirakawa.lg.jp/shigoto/keiyaku/proposal/koukyoukoutsukeikaku_proposal.html（現行計画分か次期分か不明）。弘前圏域地域公共交通計画にも参加 https://www.city.hirakawa.lg.jp/kurashi/keikaku/hirosakikenikikoutsuukeikaku.html 。環境：H29〜R8の10年間でR8年度（今年度）終了。次期計画の策定業務公募等は検索で見つからず（要注視・有望）。</t>
        </is>
      </c>
      <c r="S13" s="15" t="inlineStr">
        <is>
          <t>調査済</t>
        </is>
      </c>
    </row>
    <row r="14">
      <c r="A14" s="11" t="n">
        <v>11</v>
      </c>
      <c r="B14" s="11" t="inlineStr">
        <is>
          <t>平内町</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平内町地域公共交通計画</t>
        </is>
      </c>
      <c r="G14" s="11" t="inlineStr">
        <is>
          <t>R4〜R8</t>
        </is>
      </c>
      <c r="H14" s="16" t="n">
        <v>8</v>
      </c>
      <c r="I14" s="13" t="inlineStr">
        <is>
          <t>推定</t>
        </is>
      </c>
      <c r="J14" s="13" t="inlineStr">
        <is>
          <t>未確認</t>
        </is>
      </c>
      <c r="K14" s="14" t="inlineStr">
        <is>
          <t>https://www.town.hiranai.aomori.jp/chosei/machizukuri/3/1241.html</t>
        </is>
      </c>
      <c r="L14" s="11" t="n"/>
      <c r="M14" s="11" t="inlineStr">
        <is>
          <t>不明</t>
        </is>
      </c>
      <c r="N14" s="13" t="n"/>
      <c r="O14" s="13" t="inlineStr">
        <is>
          <t>不明</t>
        </is>
      </c>
      <c r="P14" s="13" t="inlineStr">
        <is>
          <t>未確認</t>
        </is>
      </c>
      <c r="Q14" s="11" t="n"/>
      <c r="R14" s="11" t="inlineStr">
        <is>
          <t>交通：町HPに計画掲載、令和3年度策定と検索結果に記載（期間は未確認、5年計画と仮定しR4〜R8推定）。R8終了なら次期改定の動きに注意。環境基本計画は町/村名検索・公式サイト内検索で見当たらず（計画なしの確証はないため未確認）。</t>
        </is>
      </c>
      <c r="S14" s="17" t="inlineStr">
        <is>
          <t>交通のみ調査</t>
        </is>
      </c>
    </row>
    <row r="15">
      <c r="A15" s="11" t="n">
        <v>12</v>
      </c>
      <c r="B15" s="11" t="inlineStr">
        <is>
          <t>今別町</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今別町地域公共交通計画</t>
        </is>
      </c>
      <c r="G15" s="11" t="inlineStr">
        <is>
          <t>R5〜R9</t>
        </is>
      </c>
      <c r="H15" s="16" t="n">
        <v>9</v>
      </c>
      <c r="I15" s="13" t="inlineStr">
        <is>
          <t>推定</t>
        </is>
      </c>
      <c r="J15" s="13" t="inlineStr">
        <is>
          <t>未確認</t>
        </is>
      </c>
      <c r="K15" s="14" t="inlineStr">
        <is>
          <t>https://www.town.imabetsu.lg.jp/gyousei/koukai/2023-0828-1639-1.html</t>
        </is>
      </c>
      <c r="L15" s="11" t="n"/>
      <c r="M15" s="11" t="inlineStr">
        <is>
          <t>不明</t>
        </is>
      </c>
      <c r="N15" s="13" t="n"/>
      <c r="O15" s="13" t="inlineStr">
        <is>
          <t>不明</t>
        </is>
      </c>
      <c r="P15" s="13" t="inlineStr">
        <is>
          <t>未確認</t>
        </is>
      </c>
      <c r="Q15" s="11" t="n"/>
      <c r="R15" s="11" t="inlineStr">
        <is>
          <t>交通：策定支援業務プロポーザル2022-10（https://www.town.imabetsu.lg.jp/news/gyousei/2022-1017-1745-1.html）、計画公表ページ2023-08-28。期間は検索結果で未確認（R5〜R9推定）。JR津軽線蟹田〜三厩は2027年4月廃止・バス/乗合タクシー転換予定（NPO今別外ヶ浜交通）で計画見直しの可能性あり。環境基本計画は町/村名検索・公式サイト内検索で見当たらず（計画なしの確証はないため未確認）。</t>
        </is>
      </c>
      <c r="S15" s="17" t="inlineStr">
        <is>
          <t>交通のみ調査</t>
        </is>
      </c>
    </row>
    <row r="16">
      <c r="A16" s="11" t="n">
        <v>13</v>
      </c>
      <c r="B16" s="11" t="inlineStr">
        <is>
          <t>蓬田村</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n"/>
      <c r="G16" s="11" t="inlineStr">
        <is>
          <t>不明</t>
        </is>
      </c>
      <c r="H16" s="13" t="n"/>
      <c r="I16" s="13" t="inlineStr">
        <is>
          <t>不明</t>
        </is>
      </c>
      <c r="J16" s="13" t="inlineStr">
        <is>
          <t>未確認</t>
        </is>
      </c>
      <c r="K16" s="11" t="n"/>
      <c r="L16" s="11" t="n"/>
      <c r="M16" s="11" t="inlineStr">
        <is>
          <t>不明</t>
        </is>
      </c>
      <c r="N16" s="13" t="n"/>
      <c r="O16" s="13" t="inlineStr">
        <is>
          <t>不明</t>
        </is>
      </c>
      <c r="P16" s="13" t="inlineStr">
        <is>
          <t>未確認</t>
        </is>
      </c>
      <c r="Q16" s="11" t="n"/>
      <c r="R16" s="11" t="inlineStr">
        <is>
          <t>交通：村名検索・村HP内検索で地域公共交通計画は見当たらず（公共交通ページ https://www.vill.yomogita.lg.jp/kurashi/kotsu/ のみ）。青森市計画は市単独。なお青森県地域公共交通計画（R5〜R9、県全域）は県計画として全市町村を対象。環境基本計画は町/村名検索・公式サイト内検索で見当たらず（計画なしの確証はないため未確認）。</t>
        </is>
      </c>
      <c r="S16" s="17" t="inlineStr">
        <is>
          <t>未調査</t>
        </is>
      </c>
    </row>
    <row r="17">
      <c r="A17" s="11" t="n">
        <v>14</v>
      </c>
      <c r="B17" s="11" t="inlineStr">
        <is>
          <t>外ヶ浜町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外ヶ浜町地域公共交通計画</t>
        </is>
      </c>
      <c r="G17" s="11" t="inlineStr">
        <is>
          <t>R6〜R10</t>
        </is>
      </c>
      <c r="H17" s="16" t="n">
        <v>10</v>
      </c>
      <c r="I17" s="13" t="inlineStr">
        <is>
          <t>推定</t>
        </is>
      </c>
      <c r="J17" s="13" t="inlineStr">
        <is>
          <t>未確認</t>
        </is>
      </c>
      <c r="K17" s="14" t="inlineStr">
        <is>
          <t>https://www.town.sotogahama.lg.jp/gyosei/public/2024-0227-tiikikoukyokoutukeikaku_pabukome.html</t>
        </is>
      </c>
      <c r="L17" s="11" t="n"/>
      <c r="M17" s="11" t="inlineStr">
        <is>
          <t>不明</t>
        </is>
      </c>
      <c r="N17" s="13" t="n"/>
      <c r="O17" s="13" t="inlineStr">
        <is>
          <t>不明</t>
        </is>
      </c>
      <c r="P17" s="13" t="inlineStr">
        <is>
          <t>未確認</t>
        </is>
      </c>
      <c r="Q17" s="11" t="n"/>
      <c r="R17" s="11" t="inlineStr">
        <is>
          <t>交通計画は2024年2月27日パブコメ実施（URLは同パブコメページ、期間は5年と推定）。JR津軽線蟹田〜三厩の代行・転換が絡む。環境基本計画は確認できず（今回検索でも見当たらず）、代替として地球温暖化対策実行計画（区域施策編）令和8年3月策定: https://www.town.sotogahama.lg.jp/gyosei/keikaku/files/01_soto_kuikisesaku_plan.pdf 環境基本計画は検索で確認できず（計画なしの確証なし）。</t>
        </is>
      </c>
      <c r="S17" s="17" t="inlineStr">
        <is>
          <t>交通のみ調査</t>
        </is>
      </c>
    </row>
    <row r="18">
      <c r="A18" s="11" t="n">
        <v>15</v>
      </c>
      <c r="B18" s="11" t="inlineStr">
        <is>
          <t>鰺ヶ沢町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鰺ヶ沢町地域公共交通計画</t>
        </is>
      </c>
      <c r="G18" s="11" t="inlineStr">
        <is>
          <t>R6〜R10</t>
        </is>
      </c>
      <c r="H18" s="16" t="n">
        <v>10</v>
      </c>
      <c r="I18" s="13" t="inlineStr">
        <is>
          <t>推定</t>
        </is>
      </c>
      <c r="J18" s="13" t="inlineStr">
        <is>
          <t>未確認</t>
        </is>
      </c>
      <c r="K18" s="14" t="inlineStr">
        <is>
          <t>http://www.town.ajigasawa.lg.jp/gyosei_jyoho/kotsu/kokyokotukeikaku.html</t>
        </is>
      </c>
      <c r="L18" s="11" t="n"/>
      <c r="M18" s="11" t="inlineStr">
        <is>
          <t>不明</t>
        </is>
      </c>
      <c r="N18" s="13" t="n"/>
      <c r="O18" s="13" t="inlineStr">
        <is>
          <t>不明</t>
        </is>
      </c>
      <c r="P18" s="13" t="inlineStr">
        <is>
          <t>未確認</t>
        </is>
      </c>
      <c r="Q18" s="11" t="n"/>
      <c r="R18" s="11" t="inlineStr">
        <is>
          <t>交通：旧メモ「単独計画は確認できず」は誤り。町HPで2024年3月策定を確認（パブコメ http://www.town.ajigasawa.lg.jp/gyosei_jyoho/publiccomment/kokyokotukeikaku.html）。期間は未確認で5年と仮定しR6〜R10推定。五所川原圏域定住自立圏構成町。環境基本計画は町/村名検索・公式サイト内検索で見当たらず（計画なしの確証はないため未確認）。</t>
        </is>
      </c>
      <c r="S18" s="17" t="inlineStr">
        <is>
          <t>交通のみ調査</t>
        </is>
      </c>
    </row>
    <row r="19">
      <c r="A19" s="11" t="n">
        <v>16</v>
      </c>
      <c r="B19" s="11" t="inlineStr">
        <is>
          <t>深浦町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深浦町地域公共交通計画</t>
        </is>
      </c>
      <c r="G19" s="11" t="inlineStr">
        <is>
          <t>R6〜R10</t>
        </is>
      </c>
      <c r="H19" s="16" t="n">
        <v>10</v>
      </c>
      <c r="I19" s="13" t="inlineStr">
        <is>
          <t>推定</t>
        </is>
      </c>
      <c r="J19" s="13" t="inlineStr">
        <is>
          <t>未確認</t>
        </is>
      </c>
      <c r="K19" s="14" t="inlineStr">
        <is>
          <t>https://www.town.fukaura.lg.jp/doc/2020031800019/file_contents/2020031800019_fixed_docs_2020031800019_file_contents_kotsukeikaku.pdf</t>
        </is>
      </c>
      <c r="L19" s="11" t="n"/>
      <c r="M19" s="11" t="inlineStr">
        <is>
          <t>不明</t>
        </is>
      </c>
      <c r="N19" s="13" t="n"/>
      <c r="O19" s="13" t="inlineStr">
        <is>
          <t>不明</t>
        </is>
      </c>
      <c r="P19" s="13" t="inlineStr">
        <is>
          <t>未確認</t>
        </is>
      </c>
      <c r="Q19" s="11" t="n"/>
      <c r="R19" s="11" t="inlineStr">
        <is>
          <t>交通：計画書表紙「令和6年4月」。前計画は深浦町地域公共交通網形成計画（2020年3月策定）。期間は未確認で5年と仮定しR6〜R10推定。環境基本計画は町/村名検索・公式サイト内検索で見当たらず（計画なしの確証はないため未確認）。</t>
        </is>
      </c>
      <c r="S19" s="17" t="inlineStr">
        <is>
          <t>交通のみ調査</t>
        </is>
      </c>
    </row>
    <row r="20">
      <c r="A20" s="11" t="n">
        <v>17</v>
      </c>
      <c r="B20" s="11" t="inlineStr">
        <is>
          <t>西目屋村</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n"/>
      <c r="G20" s="11" t="inlineStr">
        <is>
          <t>不明</t>
        </is>
      </c>
      <c r="H20" s="13" t="n"/>
      <c r="I20" s="13" t="inlineStr">
        <is>
          <t>不明</t>
        </is>
      </c>
      <c r="J20" s="13" t="inlineStr">
        <is>
          <t>未確認</t>
        </is>
      </c>
      <c r="K20" s="11" t="n"/>
      <c r="L20" s="11" t="n"/>
      <c r="M20" s="11" t="inlineStr">
        <is>
          <t>不明</t>
        </is>
      </c>
      <c r="N20" s="13" t="n"/>
      <c r="O20" s="13" t="inlineStr">
        <is>
          <t>不明</t>
        </is>
      </c>
      <c r="P20" s="13" t="inlineStr">
        <is>
          <t>未確認</t>
        </is>
      </c>
      <c r="Q20" s="11" t="n"/>
      <c r="R20" s="11" t="inlineStr">
        <is>
          <t>交通：村HP内検索で地域公共交通計画は見当たらず（コミュニティバスのみ https://www.nishimeya.jp/kurashi_tetsuzuki/kokyokotsu/300.html）。弘前市地域公共交通計画（R6.3）は市単独とみられる。なお青森県地域公共交通計画（R5〜R9、県全域）は県計画として全市町村を対象。環境：村HP内検索で環境基本計画は見当たらず（再生可能エネルギー振興策 https://www.nishimeya.jp/sonseijoho/seisaku_keikaku/5/7/228.html、災害廃棄物処理計画R8.1はあり）。計画なしの可能性が高いが確証なく未確認。</t>
        </is>
      </c>
      <c r="S20" s="17" t="inlineStr">
        <is>
          <t>未調査</t>
        </is>
      </c>
    </row>
    <row r="21">
      <c r="A21" s="11" t="n">
        <v>18</v>
      </c>
      <c r="B21" s="11" t="inlineStr">
        <is>
          <t>藤崎町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交通：町名検索・町HP内検索で地域公共交通計画は見当たらず（都市計画マスタープラン・総合計画のみ）。弘前圏域8市町村の弘南鉄道維持活性化基本方針（2020）あり。なお青森県地域公共交通計画（R5〜R9、県全域）は県計画として全市町村を対象。環境基本計画は町/村名検索・公式サイト内検索で見当たらず（計画なしの確証はないため未確認）。</t>
        </is>
      </c>
      <c r="S21" s="17" t="inlineStr">
        <is>
          <t>未調査</t>
        </is>
      </c>
    </row>
    <row r="22">
      <c r="A22" s="11" t="n">
        <v>19</v>
      </c>
      <c r="B22" s="11" t="inlineStr">
        <is>
          <t>大鰐町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大鰐町地域公共交通計画</t>
        </is>
      </c>
      <c r="G22" s="11" t="inlineStr">
        <is>
          <t>R5〜R9</t>
        </is>
      </c>
      <c r="H22" s="16" t="n">
        <v>9</v>
      </c>
      <c r="I22" s="13" t="inlineStr">
        <is>
          <t>推定</t>
        </is>
      </c>
      <c r="J22" s="13" t="inlineStr">
        <is>
          <t>未確認</t>
        </is>
      </c>
      <c r="K22" s="14" t="inlineStr">
        <is>
          <t>http://www.town.owani.lg.jp/aboutowani/plan/kokyo-kotsu.html</t>
        </is>
      </c>
      <c r="L22" s="11" t="n"/>
      <c r="M22" s="11" t="inlineStr">
        <is>
          <t>不明</t>
        </is>
      </c>
      <c r="N22" s="13" t="n"/>
      <c r="O22" s="13" t="inlineStr">
        <is>
          <t>不明</t>
        </is>
      </c>
      <c r="P22" s="13" t="inlineStr">
        <is>
          <t>未確認</t>
        </is>
      </c>
      <c r="Q22" s="11" t="n"/>
      <c r="R22" s="11" t="inlineStr">
        <is>
          <t>町HP「大鰐町地域公共交通計画策定について」ページに計画PDF（ファイル名R5.5.pdf）掲載→R5.5策定と見られ、5年計画ならR5〜R9（期間は未確認・推定）。過去に計画案策定支援業務の公募型プロポーザル実施: http://www.town.owani.lg.jp/news/index.cfm/detail.1.12187.html （日付未確認）。弘南鉄道大鰐線は運行休止/廃止方向で交通再編の動きあり。環境基本計画・温対計画は検索で見当たらず。</t>
        </is>
      </c>
      <c r="S22" s="17" t="inlineStr">
        <is>
          <t>交通のみ調査</t>
        </is>
      </c>
    </row>
    <row r="23">
      <c r="A23" s="11" t="n">
        <v>20</v>
      </c>
      <c r="B23" s="11" t="inlineStr">
        <is>
          <t>田舎館村</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交通：村HP内検索で地域公共交通計画は見当たらず。弘南鉄道弘南線・大鰐線 維持活性化支援計画（5市町村、2021年1月）に参加 http://www.vill.inakadate.lg.jp/docs/2021022200016/。なお青森県地域公共交通計画（R5〜R9、県全域）は県計画として全市町村を対象。環境基本計画は町/村名検索・公式サイト内検索で見当たらず（計画なしの確証はないため未確認）。</t>
        </is>
      </c>
      <c r="S23" s="17" t="inlineStr">
        <is>
          <t>未調査</t>
        </is>
      </c>
    </row>
    <row r="24">
      <c r="A24" s="11" t="n">
        <v>21</v>
      </c>
      <c r="B24" s="11" t="inlineStr">
        <is>
          <t>板柳町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交通：町名検索・町HP内検索で地域公共交通計画は見当たらず（都市計画マスタープラン案R7.2に公共交通の記述あり https://www.town.itayanagi.aomori.jp/administration/salary/files/toshimasu.pdf）。なお青森県地域公共交通計画（R5〜R9、県全域）は県計画として全市町村を対象。環境基本計画は町/村名検索・公式サイト内検索で見当たらず（計画なしの確証はないため未確認）。</t>
        </is>
      </c>
      <c r="S24" s="17" t="inlineStr">
        <is>
          <t>未調査</t>
        </is>
      </c>
    </row>
    <row r="25">
      <c r="A25" s="11" t="n">
        <v>22</v>
      </c>
      <c r="B25" s="11" t="inlineStr">
        <is>
          <t>鶴田町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交通：町名検索・町HP内検索で地域公共交通計画は見当たらず（各種計画ページ https://www.town.tsuruta.lg.jp/syoukai/syoukai-kakusyu/index.html に該当表示なし、要目視確認）。なお青森県地域公共交通計画（R5〜R9、県全域）は県計画として全市町村を対象。環境基本計画は町/村名検索・公式サイト内検索で見当たらず（計画なしの確証はないため未確認）。</t>
        </is>
      </c>
      <c r="S25" s="17" t="inlineStr">
        <is>
          <t>未調査</t>
        </is>
      </c>
    </row>
    <row r="26">
      <c r="A26" s="11" t="n">
        <v>23</v>
      </c>
      <c r="B26" s="11" t="inlineStr">
        <is>
          <t>中泊町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中泊町地域公共交通計画</t>
        </is>
      </c>
      <c r="G26" s="11" t="inlineStr">
        <is>
          <t>R5〜R9</t>
        </is>
      </c>
      <c r="H26" s="16" t="n">
        <v>9</v>
      </c>
      <c r="I26" s="13" t="inlineStr">
        <is>
          <t>推定</t>
        </is>
      </c>
      <c r="J26" s="13" t="inlineStr">
        <is>
          <t>未確認</t>
        </is>
      </c>
      <c r="K26" s="14" t="inlineStr">
        <is>
          <t>https://www.town.nakadomari.lg.jp/material/files/group/3/koutuukeikakur6.pdf</t>
        </is>
      </c>
      <c r="L26" s="11" t="n"/>
      <c r="M26" s="11" t="inlineStr">
        <is>
          <t>不明</t>
        </is>
      </c>
      <c r="N26" s="13" t="n"/>
      <c r="O26" s="13" t="inlineStr">
        <is>
          <t>不明</t>
        </is>
      </c>
      <c r="P26" s="13" t="inlineStr">
        <is>
          <t>未確認</t>
        </is>
      </c>
      <c r="Q26" s="11" t="n"/>
      <c r="R26" s="11" t="inlineStr">
        <is>
          <t>交通：計画書表紙「令和5年4月」、計画ページ https://www.town.nakadomari.lg.jp/soshikikarasagasu/sogosenryakuka/gyomuannai/5/1/1/4311.html 。ファイル名にr6とあり令和6年に改訂の可能性。期間は未確認で5年と仮定しR5〜R9推定。環境基本計画は町/村名検索・公式サイト内検索で見当たらず（計画なしの確証はないため未確認）。</t>
        </is>
      </c>
      <c r="S26" s="17" t="inlineStr">
        <is>
          <t>交通のみ調査</t>
        </is>
      </c>
    </row>
    <row r="27">
      <c r="A27" s="11" t="n">
        <v>24</v>
      </c>
      <c r="B27" s="11" t="inlineStr">
        <is>
          <t>野辺地町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未確認</t>
        </is>
      </c>
      <c r="Q27" s="11" t="n"/>
      <c r="R27" s="11" t="inlineStr">
        <is>
          <t>交通・環境とも町単独計画は検索で確認できず（町HP「まちの計画」 https://www.town.noheji.aomori.jp/life/chosei/machidukuri/machi-keikaku は存在するが内容未確認、町サイトは取得不可）。地域間幹線系統確保維持費補助金交付要綱あり https://www.town.noheji.aomori.jp/reiki_int/reiki_honbun/c041RG00000724.html 。改定作業の情報なし。</t>
        </is>
      </c>
      <c r="S27" s="17" t="inlineStr">
        <is>
          <t>未調査</t>
        </is>
      </c>
    </row>
    <row r="28">
      <c r="A28" s="11" t="n">
        <v>25</v>
      </c>
      <c r="B28" s="11" t="inlineStr">
        <is>
          <t>七戸町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七戸町地域公共交通網形成計画</t>
        </is>
      </c>
      <c r="G28" s="11" t="inlineStr">
        <is>
          <t>不明</t>
        </is>
      </c>
      <c r="H28" s="13" t="n"/>
      <c r="I28" s="13" t="inlineStr">
        <is>
          <t>不明</t>
        </is>
      </c>
      <c r="J28" s="13" t="inlineStr">
        <is>
          <t>未確認</t>
        </is>
      </c>
      <c r="K28" s="14" t="inlineStr">
        <is>
          <t>https://www.town.shichinohe.lg.jp/gyosei/keikaku/kurashi/post-197.html</t>
        </is>
      </c>
      <c r="L28" s="11" t="n"/>
      <c r="M28" s="11" t="inlineStr">
        <is>
          <t>不明</t>
        </is>
      </c>
      <c r="N28" s="13" t="n"/>
      <c r="O28" s="13" t="inlineStr">
        <is>
          <t>不明</t>
        </is>
      </c>
      <c r="P28" s="13" t="inlineStr">
        <is>
          <t>未確認</t>
        </is>
      </c>
      <c r="Q28" s="11" t="n"/>
      <c r="R28" s="11" t="inlineStr">
        <is>
          <t>網形成計画（策定支援プロポ: http://www.town.shichinohe.lg.jp/jigyo/nyuusatsu/post-65.html）。期間未確認で既に期限切れの可能性、後継の地域公共交通計画は未確認（H21に地域公共交通会議設置・総合連携計画策定の経緯あり）。環境基本計画は確認できず、関連として地域省エネルギー重点ビジョン（H22）あり（計画なしは弱い根拠）。 環境基本計画は検索で確認できず（計画なしの確証なし）。</t>
        </is>
      </c>
      <c r="S28" s="17" t="inlineStr">
        <is>
          <t>交通のみ調査</t>
        </is>
      </c>
    </row>
    <row r="29">
      <c r="A29" s="11" t="n">
        <v>26</v>
      </c>
      <c r="B29" s="11" t="inlineStr">
        <is>
          <t>六戸町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n"/>
      <c r="G29" s="11" t="inlineStr">
        <is>
          <t>不明</t>
        </is>
      </c>
      <c r="H29" s="13" t="n"/>
      <c r="I29" s="13" t="inlineStr">
        <is>
          <t>不明</t>
        </is>
      </c>
      <c r="J29" s="13" t="inlineStr">
        <is>
          <t>着手済</t>
        </is>
      </c>
      <c r="K29" s="11" t="n"/>
      <c r="L29" s="11" t="n"/>
      <c r="M29" s="11" t="inlineStr">
        <is>
          <t>不明</t>
        </is>
      </c>
      <c r="N29" s="13" t="n"/>
      <c r="O29" s="13" t="inlineStr">
        <is>
          <t>不明</t>
        </is>
      </c>
      <c r="P29" s="13" t="inlineStr">
        <is>
          <t>未確認</t>
        </is>
      </c>
      <c r="Q29" s="11" t="n"/>
      <c r="R29" s="11" t="inlineStr">
        <is>
          <t>交通計画は未確認だが、2026年8月31日に「交通まちづくりワークショップ」開催告知（町バス利用者・学生・保護者・事業者対象）: https://www.town.rokunohe.aomori.jp/docs/2026083100015 。地域公共交通計画策定に向けた作業と推定（計画名・プロポは未確認）。環境基本計画・温対計画は検索で見当たらず。</t>
        </is>
      </c>
      <c r="S29" s="17" t="inlineStr">
        <is>
          <t>未調査</t>
        </is>
      </c>
    </row>
    <row r="30">
      <c r="A30" s="11" t="n">
        <v>27</v>
      </c>
      <c r="B30" s="11" t="inlineStr">
        <is>
          <t>横浜町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未確認</t>
        </is>
      </c>
      <c r="Q30" s="11" t="n"/>
      <c r="R30" s="11" t="inlineStr">
        <is>
          <t>町単独の地域公共交通計画は確認できず。下北地域公共交通計画（2025年3月策定、下北地域公共交通総合連携協議会）の対象はむつ市・大間町・東通村・風間浦村・佐井村の5市町村で横浜町は含まれない（むつ市資料 https://www.city.mutsu.lg.jp/government/katsudou/kyoudou/files/04kotsu.pdf で確認）。下北半島都市圏広域立地適正化方針（R5.8）には含まれる。町HPに2026-04-10付PDFあり内容未確認 https://www.town.yokohama.lg.jp/index.cfm/6,9299,c,html/9299/20260410-143501.pdf 。環境基本計画・区域施策編も検索で見当たらず（横浜市との再エネ連携協定はあり）。</t>
        </is>
      </c>
      <c r="S30" s="17" t="inlineStr">
        <is>
          <t>未調査</t>
        </is>
      </c>
    </row>
    <row r="31">
      <c r="A31" s="11" t="n">
        <v>28</v>
      </c>
      <c r="B31" s="11" t="inlineStr">
        <is>
          <t>東北町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東北町地域公共交通会議あり（会議録 https://www.town.tohoku.lg.jp/chousei/info/info_yakuba_03-54.html ）。地域公共交通計画の有無は検索で確認できず（東北運輸局の計画一覧PDF https://wwwtb.mlit.go.jp/tohoku/content/000338501.pdf がヒットしたが中身未確認）。環境基本計画も見当たらず、関連は「小川原湖環境再生」計画（地域再生計画、汚水処理）程度。第2期まち・ひと・しごと創生推進計画はR8.4〜R13.3。</t>
        </is>
      </c>
      <c r="S31" s="17" t="inlineStr">
        <is>
          <t>未調査</t>
        </is>
      </c>
    </row>
    <row r="32">
      <c r="A32" s="11" t="n">
        <v>29</v>
      </c>
      <c r="B32" s="11" t="inlineStr">
        <is>
          <t>六ヶ所村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六ヶ所村地域公共交通計画</t>
        </is>
      </c>
      <c r="G32" s="11" t="inlineStr">
        <is>
          <t>R7〜（終期不明）</t>
        </is>
      </c>
      <c r="H32" s="13" t="n"/>
      <c r="I32" s="13" t="inlineStr">
        <is>
          <t>不明</t>
        </is>
      </c>
      <c r="J32" s="13" t="inlineStr">
        <is>
          <t>策定済</t>
        </is>
      </c>
      <c r="K32" s="14" t="inlineStr">
        <is>
          <t>https://www.rokkasho.jp/index.cfm/14,19918,c,html/19918/20250620-120455.pdf</t>
        </is>
      </c>
      <c r="L32" s="11" t="n"/>
      <c r="M32" s="11" t="inlineStr">
        <is>
          <t>不明</t>
        </is>
      </c>
      <c r="N32" s="13" t="n"/>
      <c r="O32" s="13" t="inlineStr">
        <is>
          <t>不明</t>
        </is>
      </c>
      <c r="P32" s="13" t="inlineStr">
        <is>
          <t>未確認</t>
        </is>
      </c>
      <c r="Q32" s="11" t="n"/>
      <c r="R32" s="11" t="inlineStr">
        <is>
          <t>R7.3策定（素案住民意見聴取後）。計画ページ https://www.rokkasho.jp/index.cfm/11,19571,31,177,html 。R7.6に計画に基づく再編・見直し検討及び実証運行支援業務の公募型プロポーザル実施 https://www.rokkasho.jp/index.cfm/14,19918,31,177,html 。環境基本計画は検索で見当たらず（関連: 水環境保全計画、地域新エネルギービジョン、バイオマスタウン構想）。</t>
        </is>
      </c>
      <c r="S32" s="17" t="inlineStr">
        <is>
          <t>交通のみ調査</t>
        </is>
      </c>
    </row>
    <row r="33">
      <c r="A33" s="11" t="n">
        <v>30</v>
      </c>
      <c r="B33" s="11" t="inlineStr">
        <is>
          <t>おいらせ町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八戸圏域地域公共交通計画（八戸圏域8市町村共同）</t>
        </is>
      </c>
      <c r="G33" s="11" t="inlineStr">
        <is>
          <t>R5〜R10</t>
        </is>
      </c>
      <c r="H33" s="13" t="n">
        <v>10</v>
      </c>
      <c r="I33" s="13" t="inlineStr">
        <is>
          <t>確認済</t>
        </is>
      </c>
      <c r="J33" s="13" t="inlineStr">
        <is>
          <t>未確認</t>
        </is>
      </c>
      <c r="K33" s="14" t="inlineStr">
        <is>
          <t>https://wwwtb.mlit.go.jp/tohoku/content/000181287.pdf</t>
        </is>
      </c>
      <c r="L33" s="11" t="n"/>
      <c r="M33" s="11" t="inlineStr">
        <is>
          <t>不明</t>
        </is>
      </c>
      <c r="N33" s="13" t="n"/>
      <c r="O33" s="13" t="inlineStr">
        <is>
          <t>不明</t>
        </is>
      </c>
      <c r="P33" s="13" t="inlineStr">
        <is>
          <t>未確認</t>
        </is>
      </c>
      <c r="Q33" s="11" t="n"/>
      <c r="R33" s="11" t="inlineStr">
        <is>
          <t>交通計画は八戸圏域8市町村の圏域共同計画（R5〜R10）。環境基本計画は町名検索・ゼロカーボン検索とも該当なし（地域再生計画等のみヒット）。区域施策編も未確認。</t>
        </is>
      </c>
      <c r="S33" s="17" t="inlineStr">
        <is>
          <t>交通のみ調査</t>
        </is>
      </c>
    </row>
    <row r="34">
      <c r="A34" s="11" t="n">
        <v>31</v>
      </c>
      <c r="B34" s="11" t="inlineStr">
        <is>
          <t>大間町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下北地域公共交通計画（下北地域公共交通総合連携協議会：むつ市・大間町・東通村・風間浦村・佐井村）</t>
        </is>
      </c>
      <c r="G34" s="11" t="inlineStr">
        <is>
          <t>R7〜R11</t>
        </is>
      </c>
      <c r="H34" s="13" t="n">
        <v>11</v>
      </c>
      <c r="I34" s="13" t="inlineStr">
        <is>
          <t>確認済</t>
        </is>
      </c>
      <c r="J34" s="13" t="inlineStr">
        <is>
          <t>策定済</t>
        </is>
      </c>
      <c r="K34" s="14" t="inlineStr">
        <is>
          <t>https://www.city.mutsu.lg.jp/government/katsudou/kyoudou/files/simokitatiikikoukyoukoutuukeikakusoann.pdf</t>
        </is>
      </c>
      <c r="L34" s="11" t="n"/>
      <c r="M34" s="11" t="inlineStr">
        <is>
          <t>不明</t>
        </is>
      </c>
      <c r="N34" s="13" t="n"/>
      <c r="O34" s="13" t="inlineStr">
        <is>
          <t>不明</t>
        </is>
      </c>
      <c r="P34" s="13" t="inlineStr">
        <is>
          <t>未確認</t>
        </is>
      </c>
      <c r="Q34" s="11" t="n"/>
      <c r="R34" s="11" t="inlineStr">
        <is>
          <t>交通計画は下北5市町村の圏域共同計画（2025〜2029＝R7〜R11、R7.3策定）。t_urlはむつ市サイト掲載の素案PDF（確定版URLは検索で見つからず）。環境基本計画・温暖化対策実行計画とも検索でヒットせず。</t>
        </is>
      </c>
      <c r="S34" s="17" t="inlineStr">
        <is>
          <t>交通のみ調査</t>
        </is>
      </c>
    </row>
    <row r="35">
      <c r="A35" s="11" t="n">
        <v>32</v>
      </c>
      <c r="B35" s="11" t="inlineStr">
        <is>
          <t>東通村</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下北地域公共交通計画（下北地域公共交通総合連携協議会：むつ市・大間町・東通村・風間浦村・佐井村）</t>
        </is>
      </c>
      <c r="G35" s="11" t="inlineStr">
        <is>
          <t>R7〜R11</t>
        </is>
      </c>
      <c r="H35" s="13" t="n">
        <v>11</v>
      </c>
      <c r="I35" s="13" t="inlineStr">
        <is>
          <t>確認済</t>
        </is>
      </c>
      <c r="J35" s="13" t="inlineStr">
        <is>
          <t>策定済</t>
        </is>
      </c>
      <c r="K35" s="14" t="inlineStr">
        <is>
          <t>https://www.city.mutsu.lg.jp/government/katsudou/kyoudou/files/simokitatiikikoukyoukoutuukeikakusoann.pdf</t>
        </is>
      </c>
      <c r="L35" s="11" t="n"/>
      <c r="M35" s="11" t="inlineStr">
        <is>
          <t>不明</t>
        </is>
      </c>
      <c r="N35" s="13" t="n"/>
      <c r="O35" s="13" t="inlineStr">
        <is>
          <t>不明</t>
        </is>
      </c>
      <c r="P35" s="13" t="inlineStr">
        <is>
          <t>未確認</t>
        </is>
      </c>
      <c r="Q35" s="11" t="n"/>
      <c r="R35" s="11" t="inlineStr">
        <is>
          <t>交通計画は下北5市町村の圏域共同計画（2025〜2029＝R7〜R11、R7.3策定）。t_urlはむつ市サイト掲載の素案PDF（確定版URLは検索で見つからず）。環境基本計画は検索でヒットせず（原発モニタリング・風力アセス関連のみ）。</t>
        </is>
      </c>
      <c r="S35" s="17" t="inlineStr">
        <is>
          <t>交通のみ調査</t>
        </is>
      </c>
    </row>
    <row r="36">
      <c r="A36" s="11" t="n">
        <v>33</v>
      </c>
      <c r="B36" s="11" t="inlineStr">
        <is>
          <t>風間浦村</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inlineStr">
        <is>
          <t>下北地域公共交通計画（下北地域公共交通総合連携協議会：むつ市・大間町・東通村・風間浦村・佐井村）</t>
        </is>
      </c>
      <c r="G36" s="11" t="inlineStr">
        <is>
          <t>R7〜R11</t>
        </is>
      </c>
      <c r="H36" s="13" t="n">
        <v>11</v>
      </c>
      <c r="I36" s="13" t="inlineStr">
        <is>
          <t>確認済</t>
        </is>
      </c>
      <c r="J36" s="13" t="inlineStr">
        <is>
          <t>策定済</t>
        </is>
      </c>
      <c r="K36" s="14" t="inlineStr">
        <is>
          <t>https://www.city.mutsu.lg.jp/government/katsudou/kyoudou/files/simokitatiikikoukyoukoutuukeikakusoann.pdf</t>
        </is>
      </c>
      <c r="L36" s="11" t="n"/>
      <c r="M36" s="11" t="inlineStr">
        <is>
          <t>不明</t>
        </is>
      </c>
      <c r="N36" s="13" t="n"/>
      <c r="O36" s="13" t="inlineStr">
        <is>
          <t>不明</t>
        </is>
      </c>
      <c r="P36" s="13" t="inlineStr">
        <is>
          <t>未確認</t>
        </is>
      </c>
      <c r="Q36" s="11" t="n"/>
      <c r="R36" s="11" t="inlineStr">
        <is>
          <t>交通計画は下北5市町村の圏域共同計画（2025〜2029＝R7〜R11、R7.3策定）。t_urlはむつ市サイト掲載の素案PDF（確定版URLは検索で見つからず）。環境基本計画・温暖化対策実行計画とも検索でヒットせず。</t>
        </is>
      </c>
      <c r="S36" s="17" t="inlineStr">
        <is>
          <t>交通のみ調査</t>
        </is>
      </c>
    </row>
    <row r="37">
      <c r="A37" s="11" t="n">
        <v>34</v>
      </c>
      <c r="B37" s="11" t="inlineStr">
        <is>
          <t>佐井村</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下北地域公共交通計画（下北地域公共交通総合連携協議会：むつ市・大間町・東通村・風間浦村・佐井村）</t>
        </is>
      </c>
      <c r="G37" s="11" t="inlineStr">
        <is>
          <t>R7〜R11</t>
        </is>
      </c>
      <c r="H37" s="13" t="n">
        <v>11</v>
      </c>
      <c r="I37" s="13" t="inlineStr">
        <is>
          <t>確認済</t>
        </is>
      </c>
      <c r="J37" s="13" t="inlineStr">
        <is>
          <t>策定済</t>
        </is>
      </c>
      <c r="K37" s="14" t="inlineStr">
        <is>
          <t>https://www.city.mutsu.lg.jp/government/katsudou/kyoudou/files/simokitatiikikoukyoukoutuukeikakusoann.pdf</t>
        </is>
      </c>
      <c r="L37" s="11" t="n"/>
      <c r="M37" s="11" t="inlineStr">
        <is>
          <t>不明</t>
        </is>
      </c>
      <c r="N37" s="13" t="n"/>
      <c r="O37" s="13" t="inlineStr">
        <is>
          <t>不明</t>
        </is>
      </c>
      <c r="P37" s="13" t="inlineStr">
        <is>
          <t>未確認</t>
        </is>
      </c>
      <c r="Q37" s="11" t="n"/>
      <c r="R37" s="11" t="inlineStr">
        <is>
          <t>交通計画は下北5市町村の圏域共同計画（2025〜2029＝R7〜R11、R7.3策定）。t_urlはむつ市サイト掲載の素案PDF（確定版URLは検索で見つからず）。環境基本計画・温暖化対策実行計画とも検索でヒットせず。</t>
        </is>
      </c>
      <c r="S37" s="17" t="inlineStr">
        <is>
          <t>交通のみ調査</t>
        </is>
      </c>
    </row>
    <row r="38">
      <c r="A38" s="11" t="n">
        <v>35</v>
      </c>
      <c r="B38" s="11" t="inlineStr">
        <is>
          <t>三戸町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八戸圏域地域公共交通計画（八戸圏域8市町村共同）</t>
        </is>
      </c>
      <c r="G38" s="11" t="inlineStr">
        <is>
          <t>R5〜R10</t>
        </is>
      </c>
      <c r="H38" s="13" t="n">
        <v>10</v>
      </c>
      <c r="I38" s="13" t="inlineStr">
        <is>
          <t>確認済</t>
        </is>
      </c>
      <c r="J38" s="13" t="inlineStr">
        <is>
          <t>未確認</t>
        </is>
      </c>
      <c r="K38" s="14" t="inlineStr">
        <is>
          <t>https://wwwtb.mlit.go.jp/tohoku/content/000181287.pdf</t>
        </is>
      </c>
      <c r="L38" s="11" t="n"/>
      <c r="M38" s="11" t="inlineStr">
        <is>
          <t>不明</t>
        </is>
      </c>
      <c r="N38" s="13" t="n"/>
      <c r="O38" s="13" t="inlineStr">
        <is>
          <t>不明</t>
        </is>
      </c>
      <c r="P38" s="13" t="inlineStr">
        <is>
          <t>未確認</t>
        </is>
      </c>
      <c r="Q38" s="11" t="n"/>
      <c r="R38" s="11" t="inlineStr">
        <is>
          <t>交通計画は八戸圏域8市町村の圏域共同計画（R5〜R10）。環境基本計画・地球温暖化対策実行計画とも検索でヒットせず（地域再生計画・風力アセスのみ）。</t>
        </is>
      </c>
      <c r="S38" s="17" t="inlineStr">
        <is>
          <t>交通のみ調査</t>
        </is>
      </c>
    </row>
    <row r="39">
      <c r="A39" s="11" t="n">
        <v>36</v>
      </c>
      <c r="B39" s="11" t="inlineStr">
        <is>
          <t>五戸町</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八戸圏域地域公共交通計画（八戸圏域8市町村共同）</t>
        </is>
      </c>
      <c r="G39" s="11" t="inlineStr">
        <is>
          <t>R5〜R10</t>
        </is>
      </c>
      <c r="H39" s="13" t="n">
        <v>10</v>
      </c>
      <c r="I39" s="13" t="inlineStr">
        <is>
          <t>確認済</t>
        </is>
      </c>
      <c r="J39" s="13" t="inlineStr">
        <is>
          <t>未確認</t>
        </is>
      </c>
      <c r="K39" s="14" t="inlineStr">
        <is>
          <t>https://wwwtb.mlit.go.jp/tohoku/content/000181287.pdf</t>
        </is>
      </c>
      <c r="L39" s="11" t="n"/>
      <c r="M39" s="11" t="inlineStr">
        <is>
          <t>不明</t>
        </is>
      </c>
      <c r="N39" s="13" t="n"/>
      <c r="O39" s="13" t="inlineStr">
        <is>
          <t>不明</t>
        </is>
      </c>
      <c r="P39" s="13" t="inlineStr">
        <is>
          <t>未確認</t>
        </is>
      </c>
      <c r="Q39" s="11" t="n"/>
      <c r="R39" s="11" t="inlineStr">
        <is>
          <t>交通計画は八戸圏域8市町村の圏域共同計画（R5〜R10）。環境基本計画は検索でヒットせず。代替として五戸町地球温暖化対策実行計画（区域施策編・地域気候変動適応計画兼ねる、R7.3策定、環境省地域脱炭素実現支援事業で作成）あり：https://www.town.gonohe.aomori.jp/chosei/tikyuondankahonpen.pdf （概要版 https://www.town.gonohe.aomori.jp/chosei/tikyuondankagaiyouban.pdf ）。期間は検索結果で確認できず。環境省策定状況 https://www.env.go.jp/policy/local_keikaku/sakutei2/02/02442.html</t>
        </is>
      </c>
      <c r="S39" s="17" t="inlineStr">
        <is>
          <t>交通のみ調査</t>
        </is>
      </c>
    </row>
    <row r="40">
      <c r="A40" s="11" t="n">
        <v>37</v>
      </c>
      <c r="B40" s="11" t="inlineStr">
        <is>
          <t>田子町</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inlineStr">
        <is>
          <t>八戸圏域地域公共交通計画（八戸圏域8市町村共同）</t>
        </is>
      </c>
      <c r="G40" s="11" t="inlineStr">
        <is>
          <t>R5〜R10</t>
        </is>
      </c>
      <c r="H40" s="13" t="n">
        <v>10</v>
      </c>
      <c r="I40" s="13" t="inlineStr">
        <is>
          <t>確認済</t>
        </is>
      </c>
      <c r="J40" s="13" t="inlineStr">
        <is>
          <t>未確認</t>
        </is>
      </c>
      <c r="K40" s="14" t="inlineStr">
        <is>
          <t>https://wwwtb.mlit.go.jp/tohoku/content/000181287.pdf</t>
        </is>
      </c>
      <c r="L40" s="11" t="n"/>
      <c r="M40" s="11" t="inlineStr">
        <is>
          <t>不明</t>
        </is>
      </c>
      <c r="N40" s="13" t="n"/>
      <c r="O40" s="13" t="inlineStr">
        <is>
          <t>不明</t>
        </is>
      </c>
      <c r="P40" s="13" t="inlineStr">
        <is>
          <t>未確認</t>
        </is>
      </c>
      <c r="Q40" s="11" t="n"/>
      <c r="R40" s="11" t="inlineStr">
        <is>
          <t>交通計画は八戸圏域8市町村の圏域共同計画（R5〜R10）。環境基本計画・温暖化対策実行計画とも検索でヒットせず。</t>
        </is>
      </c>
      <c r="S40" s="17" t="inlineStr">
        <is>
          <t>交通のみ調査</t>
        </is>
      </c>
    </row>
    <row r="41">
      <c r="A41" s="11" t="n">
        <v>38</v>
      </c>
      <c r="B41" s="11" t="inlineStr">
        <is>
          <t>南部町</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inlineStr">
        <is>
          <t>八戸圏域地域公共交通計画（八戸圏域8市町村共同）</t>
        </is>
      </c>
      <c r="G41" s="11" t="inlineStr">
        <is>
          <t>R5〜R10</t>
        </is>
      </c>
      <c r="H41" s="13" t="n">
        <v>10</v>
      </c>
      <c r="I41" s="13" t="inlineStr">
        <is>
          <t>確認済</t>
        </is>
      </c>
      <c r="J41" s="13" t="inlineStr">
        <is>
          <t>未確認</t>
        </is>
      </c>
      <c r="K41" s="14" t="inlineStr">
        <is>
          <t>https://wwwtb.mlit.go.jp/tohoku/content/000181287.pdf</t>
        </is>
      </c>
      <c r="L41" s="11" t="n"/>
      <c r="M41" s="11" t="inlineStr">
        <is>
          <t>不明</t>
        </is>
      </c>
      <c r="N41" s="13" t="n"/>
      <c r="O41" s="13" t="inlineStr">
        <is>
          <t>不明</t>
        </is>
      </c>
      <c r="P41" s="13" t="inlineStr">
        <is>
          <t>未確認</t>
        </is>
      </c>
      <c r="Q41" s="11" t="n"/>
      <c r="R41" s="11" t="inlineStr">
        <is>
          <t>交通計画は八戸圏域8市町村の圏域共同計画（R5〜R10）。青森県三戸郡南部町。環境基本計画・温暖化対策実行計画とも検索でヒットせず（地域再生計画のみ）。</t>
        </is>
      </c>
      <c r="S41" s="17" t="inlineStr">
        <is>
          <t>交通のみ調査</t>
        </is>
      </c>
    </row>
    <row r="42">
      <c r="A42" s="11" t="n">
        <v>39</v>
      </c>
      <c r="B42" s="11" t="inlineStr">
        <is>
          <t>階上町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八戸圏域地域公共交通計画（八戸圏域8市町村共同）</t>
        </is>
      </c>
      <c r="G42" s="11" t="inlineStr">
        <is>
          <t>R5〜R10</t>
        </is>
      </c>
      <c r="H42" s="13" t="n">
        <v>10</v>
      </c>
      <c r="I42" s="13" t="inlineStr">
        <is>
          <t>確認済</t>
        </is>
      </c>
      <c r="J42" s="13" t="inlineStr">
        <is>
          <t>未確認</t>
        </is>
      </c>
      <c r="K42" s="14" t="inlineStr">
        <is>
          <t>https://wwwtb.mlit.go.jp/tohoku/content/000181287.pdf</t>
        </is>
      </c>
      <c r="L42" s="11" t="n"/>
      <c r="M42" s="11" t="inlineStr">
        <is>
          <t>不明</t>
        </is>
      </c>
      <c r="N42" s="13" t="n"/>
      <c r="O42" s="13" t="inlineStr">
        <is>
          <t>不明</t>
        </is>
      </c>
      <c r="P42" s="13" t="inlineStr">
        <is>
          <t>未確認</t>
        </is>
      </c>
      <c r="Q42" s="11" t="n"/>
      <c r="R42" s="11" t="inlineStr">
        <is>
          <t>交通計画は八戸圏域8市町村の圏域共同計画（R5〜R10）。環境基本計画・温暖化対策実行計画・ゼロカーボン関連とも検索でヒットせず。</t>
        </is>
      </c>
      <c r="S42" s="17" t="inlineStr">
        <is>
          <t>交通のみ調査</t>
        </is>
      </c>
    </row>
    <row r="43">
      <c r="A43" s="11" t="n">
        <v>40</v>
      </c>
      <c r="B43" s="11" t="inlineStr">
        <is>
          <t>新郷村</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inlineStr">
        <is>
          <t>八戸圏域地域公共交通計画（八戸圏域8市町村共同）</t>
        </is>
      </c>
      <c r="G43" s="11" t="inlineStr">
        <is>
          <t>R5〜R10</t>
        </is>
      </c>
      <c r="H43" s="13" t="n">
        <v>10</v>
      </c>
      <c r="I43" s="13" t="inlineStr">
        <is>
          <t>確認済</t>
        </is>
      </c>
      <c r="J43" s="13" t="inlineStr">
        <is>
          <t>未確認</t>
        </is>
      </c>
      <c r="K43" s="14" t="inlineStr">
        <is>
          <t>https://wwwtb.mlit.go.jp/tohoku/content/000181287.pdf</t>
        </is>
      </c>
      <c r="L43" s="11" t="n"/>
      <c r="M43" s="11" t="inlineStr">
        <is>
          <t>不明</t>
        </is>
      </c>
      <c r="N43" s="13" t="n"/>
      <c r="O43" s="13" t="inlineStr">
        <is>
          <t>不明</t>
        </is>
      </c>
      <c r="P43" s="13" t="inlineStr">
        <is>
          <t>未確認</t>
        </is>
      </c>
      <c r="Q43" s="11" t="n"/>
      <c r="R43" s="11" t="inlineStr">
        <is>
          <t>交通計画は八戸圏域8市町村の圏域共同計画（R5〜R10）。環境基本計画・温暖化対策実行計画とも検索でヒットせず。</t>
        </is>
      </c>
      <c r="S43" s="17" t="inlineStr">
        <is>
          <t>交通のみ調査</t>
        </is>
      </c>
    </row>
  </sheetData>
  <autoFilter ref="A3:S43"/>
  <conditionalFormatting sqref="A4:S43">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43 P4:P43"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K15" r:id="rId18"/>
    <hyperlink xmlns:r="http://schemas.openxmlformats.org/officeDocument/2006/relationships" ref="K17" r:id="rId19"/>
    <hyperlink xmlns:r="http://schemas.openxmlformats.org/officeDocument/2006/relationships" ref="K18" r:id="rId20"/>
    <hyperlink xmlns:r="http://schemas.openxmlformats.org/officeDocument/2006/relationships" ref="K19" r:id="rId21"/>
    <hyperlink xmlns:r="http://schemas.openxmlformats.org/officeDocument/2006/relationships" ref="K22" r:id="rId22"/>
    <hyperlink xmlns:r="http://schemas.openxmlformats.org/officeDocument/2006/relationships" ref="K26" r:id="rId23"/>
    <hyperlink xmlns:r="http://schemas.openxmlformats.org/officeDocument/2006/relationships" ref="K28" r:id="rId24"/>
    <hyperlink xmlns:r="http://schemas.openxmlformats.org/officeDocument/2006/relationships" ref="K32" r:id="rId25"/>
    <hyperlink xmlns:r="http://schemas.openxmlformats.org/officeDocument/2006/relationships" ref="K33" r:id="rId26"/>
    <hyperlink xmlns:r="http://schemas.openxmlformats.org/officeDocument/2006/relationships" ref="K34" r:id="rId27"/>
    <hyperlink xmlns:r="http://schemas.openxmlformats.org/officeDocument/2006/relationships" ref="K35" r:id="rId28"/>
    <hyperlink xmlns:r="http://schemas.openxmlformats.org/officeDocument/2006/relationships" ref="K36" r:id="rId29"/>
    <hyperlink xmlns:r="http://schemas.openxmlformats.org/officeDocument/2006/relationships" ref="K37" r:id="rId30"/>
    <hyperlink xmlns:r="http://schemas.openxmlformats.org/officeDocument/2006/relationships" ref="K38" r:id="rId31"/>
    <hyperlink xmlns:r="http://schemas.openxmlformats.org/officeDocument/2006/relationships" ref="K39" r:id="rId32"/>
    <hyperlink xmlns:r="http://schemas.openxmlformats.org/officeDocument/2006/relationships" ref="K40" r:id="rId33"/>
    <hyperlink xmlns:r="http://schemas.openxmlformats.org/officeDocument/2006/relationships" ref="K41" r:id="rId34"/>
    <hyperlink xmlns:r="http://schemas.openxmlformats.org/officeDocument/2006/relationships" ref="K42" r:id="rId35"/>
    <hyperlink xmlns:r="http://schemas.openxmlformats.org/officeDocument/2006/relationships" ref="K43" r:id="rId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岩手県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盛岡市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盛岡都市圏地域公共交通計画（盛岡市・滝沢市・矢巾町共同）</t>
        </is>
      </c>
      <c r="G4" s="11" t="inlineStr">
        <is>
          <t>R8〜R12</t>
        </is>
      </c>
      <c r="H4" s="13" t="n">
        <v>12</v>
      </c>
      <c r="I4" s="13" t="inlineStr">
        <is>
          <t>確認済</t>
        </is>
      </c>
      <c r="J4" s="13" t="inlineStr">
        <is>
          <t>策定済</t>
        </is>
      </c>
      <c r="K4" s="14" t="inlineStr">
        <is>
          <t>https://www.city.morioka.iwate.jp/_res/projects/default_project/_page_/001/043/162/R7honpen.pdf</t>
        </is>
      </c>
      <c r="L4" s="11" t="inlineStr">
        <is>
          <t>盛岡市環境基本計画（第三次）</t>
        </is>
      </c>
      <c r="M4" s="11" t="inlineStr">
        <is>
          <t>R3〜R12</t>
        </is>
      </c>
      <c r="N4" s="13" t="n">
        <v>12</v>
      </c>
      <c r="O4" s="13" t="inlineStr">
        <is>
          <t>確認済</t>
        </is>
      </c>
      <c r="P4" s="13" t="inlineStr">
        <is>
          <t>未確認</t>
        </is>
      </c>
      <c r="Q4" s="14" t="inlineStr">
        <is>
          <t>https://www.city.morioka.iwate.jp/_res/projects/default_project/_page_/001/010/054/kihonntekizikou.pdf</t>
        </is>
      </c>
      <c r="R4" s="11" t="inlineStr">
        <is>
          <t>交通：3市町共同の都市圏計画をR7.9.30公表（R8〜R12）。環境：R3〜R12の10年計画、改定作業は未確認。</t>
        </is>
      </c>
      <c r="S4" s="15" t="inlineStr">
        <is>
          <t>調査済</t>
        </is>
      </c>
    </row>
    <row r="5">
      <c r="A5" s="11" t="n">
        <v>2</v>
      </c>
      <c r="B5" s="11" t="inlineStr">
        <is>
          <t>宮古市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宮古市地域公共交通計画</t>
        </is>
      </c>
      <c r="G5" s="11" t="inlineStr">
        <is>
          <t>R5〜R11</t>
        </is>
      </c>
      <c r="H5" s="13" t="n">
        <v>11</v>
      </c>
      <c r="I5" s="13" t="inlineStr">
        <is>
          <t>確認済</t>
        </is>
      </c>
      <c r="J5" s="13" t="inlineStr">
        <is>
          <t>未確認</t>
        </is>
      </c>
      <c r="K5" s="14" t="inlineStr">
        <is>
          <t>https://www.city.miyako.iwate.jp/material/files/group/8/miyakositiikikoukyoukoutuukeikaku.pdf</t>
        </is>
      </c>
      <c r="L5" s="11" t="inlineStr">
        <is>
          <t>宮古市環境基本計画（R7.3策定）</t>
        </is>
      </c>
      <c r="M5" s="11" t="inlineStr">
        <is>
          <t>R7〜R12</t>
        </is>
      </c>
      <c r="N5" s="13" t="n">
        <v>12</v>
      </c>
      <c r="O5" s="13" t="inlineStr">
        <is>
          <t>確認済</t>
        </is>
      </c>
      <c r="P5" s="13" t="inlineStr">
        <is>
          <t>策定済</t>
        </is>
      </c>
      <c r="Q5" s="14" t="inlineStr">
        <is>
          <t>https://www.city.miyako.iwate.jp/material/files/group/14/kihonkeikaku.pdf</t>
        </is>
      </c>
      <c r="R5" s="11" t="inlineStr">
        <is>
          <t>交通：2023〜2029年度の7年計画。利便増進実施計画あり https://www.city.miyako.iwate.jp/material/files/group/8/miyakosiribennzousinnjissikeikaku.pdf 。三陸鉄道沿線の広域計画 https://www.city.miyako.iwate.jp/material/files/group/8/sanntetsukoutuukeikaku2024.pdf もあり。環境：前計画R2〜R6、R7.3に新計画策定（R7〜R12）。 三陸鉄道沿線地域等公共交通計画の策定ページ https://www.city.miyako.iwate.jp/gyosei/soshiki/kokyokotsuusuishin/2/1/605.html 。</t>
        </is>
      </c>
      <c r="S5" s="15" t="inlineStr">
        <is>
          <t>調査済</t>
        </is>
      </c>
    </row>
    <row r="6">
      <c r="A6" s="11" t="n">
        <v>3</v>
      </c>
      <c r="B6" s="11" t="inlineStr">
        <is>
          <t>大船渡市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大船渡市地域公共交通計画</t>
        </is>
      </c>
      <c r="G6" s="11" t="inlineStr">
        <is>
          <t>R8〜R12</t>
        </is>
      </c>
      <c r="H6" s="13" t="n">
        <v>12</v>
      </c>
      <c r="I6" s="13" t="inlineStr">
        <is>
          <t>確認済</t>
        </is>
      </c>
      <c r="J6" s="13" t="inlineStr">
        <is>
          <t>策定済</t>
        </is>
      </c>
      <c r="K6" s="14" t="inlineStr">
        <is>
          <t>https://www.city.ofunato.iwate.jp/archive/contents-5125</t>
        </is>
      </c>
      <c r="L6" s="11" t="inlineStr">
        <is>
          <t>第3次大船渡市環境基本計画</t>
        </is>
      </c>
      <c r="M6" s="11" t="inlineStr">
        <is>
          <t>R5〜R14</t>
        </is>
      </c>
      <c r="N6" s="13" t="n">
        <v>14</v>
      </c>
      <c r="O6" s="13" t="inlineStr">
        <is>
          <t>確認済</t>
        </is>
      </c>
      <c r="P6" s="13" t="inlineStr">
        <is>
          <t>未確認</t>
        </is>
      </c>
      <c r="Q6" s="14" t="inlineStr">
        <is>
          <t>https://www.city.ofunato.iwate.jp/site/kankyokeikaku/</t>
        </is>
      </c>
      <c r="R6" s="11" t="inlineStr">
        <is>
          <t>交通：旧計画R4〜R7（R6.9第一次改定 https://www.city.ofunato.iwate.jp/uploads/contents/archive_0000000476_00/38921.pdf ）の後継として、計画ページ上の期間はR8〜R12（検索結果本文）。R8.7に持続可能な鉄道接続型地域交通モデル調査業務プロポーザル https://www.city.ofunato.iwate.jp/archive/p20260721171526 。三陸鉄道沿線地域等公共交通計画（岩手県・沿線12市町村の広域計画、2024策定） https://www.city.miyako.iwate.jp/gyosei/soshiki/kokyokotsuusuishin/2/1/605.html もカバー。環境：R5年度から10年間（パブコメR5.1）。</t>
        </is>
      </c>
      <c r="S6" s="15" t="inlineStr">
        <is>
          <t>調査済</t>
        </is>
      </c>
    </row>
    <row r="7">
      <c r="A7" s="11" t="n">
        <v>4</v>
      </c>
      <c r="B7" s="11" t="inlineStr">
        <is>
          <t>花巻市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花巻市地域公共交通計画</t>
        </is>
      </c>
      <c r="G7" s="11" t="inlineStr">
        <is>
          <t>R6〜R10</t>
        </is>
      </c>
      <c r="H7" s="13" t="n">
        <v>10</v>
      </c>
      <c r="I7" s="13" t="inlineStr">
        <is>
          <t>確認済</t>
        </is>
      </c>
      <c r="J7" s="13" t="inlineStr">
        <is>
          <t>未確認</t>
        </is>
      </c>
      <c r="K7" s="14" t="inlineStr">
        <is>
          <t>https://www.city.hanamaki.iwate.jp/_res/projects/default_project/_page_/001/021/245/keikaku.pdf</t>
        </is>
      </c>
      <c r="L7" s="11" t="inlineStr">
        <is>
          <t>第3次花巻市環境基本計画</t>
        </is>
      </c>
      <c r="M7" s="11" t="inlineStr">
        <is>
          <t>R6〜R13</t>
        </is>
      </c>
      <c r="N7" s="13" t="n">
        <v>13</v>
      </c>
      <c r="O7" s="13" t="inlineStr">
        <is>
          <t>確認済</t>
        </is>
      </c>
      <c r="P7" s="13" t="inlineStr">
        <is>
          <t>未確認</t>
        </is>
      </c>
      <c r="Q7" s="14" t="inlineStr">
        <is>
          <t>https://www.city.hanamaki.iwate.jp/shisei/shisei/keikaku/1002782.html</t>
        </is>
      </c>
      <c r="R7" s="11" t="inlineStr">
        <is>
          <t>交通：R6.3策定、R6〜R10の5年。環境：第2次（H28.3〜R6.3満了）の後継としてR6.3に第3次策定（R6〜R13の8年）、区域施策編を別冊で同時策定。</t>
        </is>
      </c>
      <c r="S7" s="15" t="inlineStr">
        <is>
          <t>調査済</t>
        </is>
      </c>
    </row>
    <row r="8">
      <c r="A8" s="11" t="n">
        <v>5</v>
      </c>
      <c r="B8" s="11" t="inlineStr">
        <is>
          <t>北上市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北上市地域公共交通計画2026-2030</t>
        </is>
      </c>
      <c r="G8" s="11" t="inlineStr">
        <is>
          <t>R8〜R12</t>
        </is>
      </c>
      <c r="H8" s="13" t="n">
        <v>12</v>
      </c>
      <c r="I8" s="13" t="inlineStr">
        <is>
          <t>確認済</t>
        </is>
      </c>
      <c r="J8" s="13" t="inlineStr">
        <is>
          <t>策定済</t>
        </is>
      </c>
      <c r="K8" s="14" t="inlineStr">
        <is>
          <t>https://www.city.kitakami.iwate.jp/life/soshikikarasagasu/toshisaiseisuishin/koutsuuseisaku/1_1/21919.html</t>
        </is>
      </c>
      <c r="L8" s="11" t="inlineStr">
        <is>
          <t>北上市環境基本計画（第三次、R8.3改定）</t>
        </is>
      </c>
      <c r="M8" s="11" t="inlineStr">
        <is>
          <t>R3〜R12</t>
        </is>
      </c>
      <c r="N8" s="13" t="n">
        <v>12</v>
      </c>
      <c r="O8" s="13" t="inlineStr">
        <is>
          <t>確認済</t>
        </is>
      </c>
      <c r="P8" s="13" t="inlineStr">
        <is>
          <t>未確認</t>
        </is>
      </c>
      <c r="Q8" s="14" t="inlineStr">
        <is>
          <t>https://www.city.kitakami.iwate.jp/material/files/group/14/kankyokeikaku_0803.pdf</t>
        </is>
      </c>
      <c r="R8" s="11" t="inlineStr">
        <is>
          <t>交通：R8〜R12の新計画を策定（案 R8.3.13会議資料 https://www.city.kitakami.iwate.jp/material/files/group/56/260313_siryou.pdf ）。環境：第三次R3〜R12、R8.3中間改定（区域施策編も改定）。</t>
        </is>
      </c>
      <c r="S8" s="15" t="inlineStr">
        <is>
          <t>調査済</t>
        </is>
      </c>
    </row>
    <row r="9">
      <c r="A9" s="11" t="n">
        <v>6</v>
      </c>
      <c r="B9" s="11" t="inlineStr">
        <is>
          <t>久慈市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久慈市地域公共交通計画（R6.3策定）</t>
        </is>
      </c>
      <c r="G9" s="11" t="inlineStr">
        <is>
          <t>H30〜R9</t>
        </is>
      </c>
      <c r="H9" s="13" t="n">
        <v>9</v>
      </c>
      <c r="I9" s="13" t="inlineStr">
        <is>
          <t>確認済</t>
        </is>
      </c>
      <c r="J9" s="13" t="inlineStr">
        <is>
          <t>未確認</t>
        </is>
      </c>
      <c r="K9" s="14" t="inlineStr">
        <is>
          <t>https://www.city.kuji.lg.jp/material/files/group/19/keikaku.pdf</t>
        </is>
      </c>
      <c r="L9" s="11" t="inlineStr">
        <is>
          <t>第2次久慈市環境基本計画</t>
        </is>
      </c>
      <c r="M9" s="11" t="inlineStr">
        <is>
          <t>10年計画（R3頃〜、終期未確認）</t>
        </is>
      </c>
      <c r="N9" s="13" t="n"/>
      <c r="O9" s="13" t="inlineStr">
        <is>
          <t>不明</t>
        </is>
      </c>
      <c r="P9" s="13" t="inlineStr">
        <is>
          <t>未確認</t>
        </is>
      </c>
      <c r="Q9" s="14" t="inlineStr">
        <is>
          <t>https://www.city.kuji.lg.jp/material/files/group/19/2021_kuji_kankyou_1.pdf</t>
        </is>
      </c>
      <c r="R9" s="11" t="inlineStr">
        <is>
          <t>交通：網形成計画（H30〜）をR6.3に地域公共交通計画として策定、計画期間は2018〜2027年度（R9終期）、2028年度以降に見直し予定。計画ページ https://www.city.kuji.lg.jp/soshiki/chiikizukurishinko/1/6/1/1835.html 。次期計画の委託等は未確認。三陸鉄道沿線地域等公共交通計画（岩手県・沿線12市町村の広域計画、2024策定） https://www.city.miyako.iwate.jp/gyosei/soshiki/kokyokotsuusuishin/2/1/605.html もカバー。環境：10年計画（R10以降に見直しとの記載あり）、正確な期間未確認。区域施策編改訂支援業務プロポーザルあり https://www.city.kuji.iwate.jp/assets/fukushi/siyousyo_ondankapropo.pdf 。</t>
        </is>
      </c>
      <c r="S9" s="15" t="inlineStr">
        <is>
          <t>調査済</t>
        </is>
      </c>
    </row>
    <row r="10">
      <c r="A10" s="11" t="n">
        <v>7</v>
      </c>
      <c r="B10" s="11" t="inlineStr">
        <is>
          <t>遠野市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遠野市地域公共交通計画</t>
        </is>
      </c>
      <c r="G10" s="11" t="inlineStr">
        <is>
          <t>R7〜R12</t>
        </is>
      </c>
      <c r="H10" s="13" t="n">
        <v>12</v>
      </c>
      <c r="I10" s="13" t="inlineStr">
        <is>
          <t>確認済</t>
        </is>
      </c>
      <c r="J10" s="13" t="inlineStr">
        <is>
          <t>策定済</t>
        </is>
      </c>
      <c r="K10" s="14" t="inlineStr">
        <is>
          <t>https://www.city.tono.iwate.jp/index.cfm/50,13281,311,html</t>
        </is>
      </c>
      <c r="L10" s="11" t="inlineStr">
        <is>
          <t>第5次遠野市環境基本計画</t>
        </is>
      </c>
      <c r="M10" s="11" t="inlineStr">
        <is>
          <t>不明</t>
        </is>
      </c>
      <c r="N10" s="13" t="n"/>
      <c r="O10" s="13" t="inlineStr">
        <is>
          <t>不明</t>
        </is>
      </c>
      <c r="P10" s="13" t="inlineStr">
        <is>
          <t>未確認</t>
        </is>
      </c>
      <c r="Q10" s="14" t="inlineStr">
        <is>
          <t>https://www.city.tono.iwate.jp/index.cfm/45,34797,247,html</t>
        </is>
      </c>
      <c r="R10" s="11" t="inlineStr">
        <is>
          <t>交通：R7〜R12（R7年度開始の新計画）。環境：第5次計画を公開、期間は検索結果で未確認。</t>
        </is>
      </c>
      <c r="S10" s="15" t="inlineStr">
        <is>
          <t>調査済</t>
        </is>
      </c>
    </row>
    <row r="11">
      <c r="A11" s="11" t="n">
        <v>8</v>
      </c>
      <c r="B11" s="11" t="inlineStr">
        <is>
          <t>一関市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一関市地域公共交通計画</t>
        </is>
      </c>
      <c r="G11" s="11" t="inlineStr">
        <is>
          <t>R6〜R10</t>
        </is>
      </c>
      <c r="H11" s="13" t="n">
        <v>10</v>
      </c>
      <c r="I11" s="13" t="inlineStr">
        <is>
          <t>確認済</t>
        </is>
      </c>
      <c r="J11" s="13" t="inlineStr">
        <is>
          <t>未確認</t>
        </is>
      </c>
      <c r="K11" s="14" t="inlineStr">
        <is>
          <t>https://www.city.ichinoseki.iwate.jp/index.cfm/7,166695,c,html/166695/20240410-160623.pdf</t>
        </is>
      </c>
      <c r="L11" s="11" t="inlineStr">
        <is>
          <t>一関市環境基本計画（R3.3改定）</t>
        </is>
      </c>
      <c r="M11" s="11" t="inlineStr">
        <is>
          <t>H29〜R8</t>
        </is>
      </c>
      <c r="N11" s="13" t="n">
        <v>8</v>
      </c>
      <c r="O11" s="13" t="inlineStr">
        <is>
          <t>確認済</t>
        </is>
      </c>
      <c r="P11" s="13" t="inlineStr">
        <is>
          <t>未確認</t>
        </is>
      </c>
      <c r="Q11" s="14" t="inlineStr">
        <is>
          <t>https://www.city.ichinoseki.iwate.jp/index.cfm/7,90284,125,html</t>
        </is>
      </c>
      <c r="R11" s="11" t="inlineStr">
        <is>
          <t>交通：R6〜R10、一部改訂あり https://www.city.ichinoseki.iwate.jp/index.cfm/7,175828,125,html 。環境：H29〜R8の10年計画でR8年度終期。次期計画の策定作業（委託・パブコメ）は検索で確認できず。要注視。</t>
        </is>
      </c>
      <c r="S11" s="15" t="inlineStr">
        <is>
          <t>調査済</t>
        </is>
      </c>
    </row>
    <row r="12">
      <c r="A12" s="11" t="n">
        <v>9</v>
      </c>
      <c r="B12" s="11" t="inlineStr">
        <is>
          <t>陸前高田市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陸前高田市地域公共交通計画</t>
        </is>
      </c>
      <c r="G12" s="11" t="inlineStr">
        <is>
          <t>R6〜R10</t>
        </is>
      </c>
      <c r="H12" s="13" t="n">
        <v>10</v>
      </c>
      <c r="I12" s="13" t="inlineStr">
        <is>
          <t>確認済</t>
        </is>
      </c>
      <c r="J12" s="13" t="inlineStr">
        <is>
          <t>未確認</t>
        </is>
      </c>
      <c r="K12" s="14" t="inlineStr">
        <is>
          <t>https://www.city.rikuzentakata.iwate.jp/material/files/group/19/20231124_4-2.pdf</t>
        </is>
      </c>
      <c r="L12" s="11" t="n"/>
      <c r="M12" s="11" t="inlineStr">
        <is>
          <t>不明</t>
        </is>
      </c>
      <c r="N12" s="13" t="n"/>
      <c r="O12" s="13" t="inlineStr">
        <is>
          <t>不明</t>
        </is>
      </c>
      <c r="P12" s="13" t="inlineStr">
        <is>
          <t>計画なし</t>
        </is>
      </c>
      <c r="Q12" s="11" t="n"/>
      <c r="R12" s="11" t="inlineStr">
        <is>
          <t>交通：2024〜2028年度の5年。計画ページ https://www.city.rikuzentakata.iwate.jp/soshiki/machizukurisuishinka/seikatsukankyokakari/3/8100.html 。環境：環境基本計画は検索で確認できず（まちづくり総合計画・SDGs未来都市計画で代替か）。</t>
        </is>
      </c>
      <c r="S12" s="15" t="inlineStr">
        <is>
          <t>調査済</t>
        </is>
      </c>
    </row>
    <row r="13">
      <c r="A13" s="11" t="n">
        <v>10</v>
      </c>
      <c r="B13" s="11" t="inlineStr">
        <is>
          <t>釜石市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釜石市地域公共交通計画（R6.1一部改訂）</t>
        </is>
      </c>
      <c r="G13" s="11" t="inlineStr">
        <is>
          <t>R3〜R7</t>
        </is>
      </c>
      <c r="H13" s="13" t="n">
        <v>7</v>
      </c>
      <c r="I13" s="13" t="inlineStr">
        <is>
          <t>確認済</t>
        </is>
      </c>
      <c r="J13" s="13" t="inlineStr">
        <is>
          <t>未確認</t>
        </is>
      </c>
      <c r="K13" s="14" t="inlineStr">
        <is>
          <t>https://www.city.kamaishi.iwate.jp/docs/2021040500020/file_contents/001.pdf</t>
        </is>
      </c>
      <c r="L13" s="11" t="inlineStr">
        <is>
          <t>第二次釜石市環境基本計画</t>
        </is>
      </c>
      <c r="M13" s="11" t="inlineStr">
        <is>
          <t>R5〜R12</t>
        </is>
      </c>
      <c r="N13" s="13" t="n">
        <v>12</v>
      </c>
      <c r="O13" s="13" t="inlineStr">
        <is>
          <t>確認済</t>
        </is>
      </c>
      <c r="P13" s="13" t="inlineStr">
        <is>
          <t>未確認</t>
        </is>
      </c>
      <c r="Q13" s="14" t="inlineStr">
        <is>
          <t>https://www.city.kamaishi.iwate.jp/docs/2023110200014/</t>
        </is>
      </c>
      <c r="R13" s="11" t="inlineStr">
        <is>
          <t>交通：R3〜R7で終期経過。R8.2施政方針でも現計画に基づく取組を記載、次期計画の策定・延長は検索で確認できず。環境：2023〜2030の8年、中間見直し予定。</t>
        </is>
      </c>
      <c r="S13" s="15" t="inlineStr">
        <is>
          <t>調査済</t>
        </is>
      </c>
    </row>
    <row r="14">
      <c r="A14" s="11" t="n">
        <v>11</v>
      </c>
      <c r="B14" s="11" t="inlineStr">
        <is>
          <t>二戸市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二戸市地域公共交通計画</t>
        </is>
      </c>
      <c r="G14" s="11" t="inlineStr">
        <is>
          <t>不明</t>
        </is>
      </c>
      <c r="H14" s="13" t="n"/>
      <c r="I14" s="13" t="inlineStr">
        <is>
          <t>不明</t>
        </is>
      </c>
      <c r="J14" s="13" t="inlineStr">
        <is>
          <t>未確認</t>
        </is>
      </c>
      <c r="K14" s="14" t="inlineStr">
        <is>
          <t>https://www.city.ninohe.lg.jp/info/2661</t>
        </is>
      </c>
      <c r="L14" s="11" t="n"/>
      <c r="M14" s="11" t="inlineStr">
        <is>
          <t>不明</t>
        </is>
      </c>
      <c r="N14" s="13" t="n"/>
      <c r="O14" s="13" t="inlineStr">
        <is>
          <t>不明</t>
        </is>
      </c>
      <c r="P14" s="13" t="inlineStr">
        <is>
          <t>計画なし</t>
        </is>
      </c>
      <c r="Q14" s="11" t="n"/>
      <c r="R14" s="11" t="inlineStr">
        <is>
          <t>交通：計画ページ（2021.6.30掲載）あり、期間は検索結果で確認できず（R3策定なら5年でR7終期の可能性）。環境：環境基本計画は検索で確認できず。</t>
        </is>
      </c>
      <c r="S14" s="15" t="inlineStr">
        <is>
          <t>調査済</t>
        </is>
      </c>
    </row>
    <row r="15">
      <c r="A15" s="11" t="n">
        <v>12</v>
      </c>
      <c r="B15" s="11" t="inlineStr">
        <is>
          <t>八幡平市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八幡平市地域公共交通計画</t>
        </is>
      </c>
      <c r="G15" s="11" t="inlineStr">
        <is>
          <t>R6〜R12</t>
        </is>
      </c>
      <c r="H15" s="13" t="n">
        <v>12</v>
      </c>
      <c r="I15" s="13" t="inlineStr">
        <is>
          <t>確認済</t>
        </is>
      </c>
      <c r="J15" s="13" t="inlineStr">
        <is>
          <t>未確認</t>
        </is>
      </c>
      <c r="K15" s="14" t="inlineStr">
        <is>
          <t>https://www.city.hachimantai.lg.jp/soshiki/machi/1517.html</t>
        </is>
      </c>
      <c r="L15" s="11" t="inlineStr">
        <is>
          <t>第2次八幡平市環境基本計画</t>
        </is>
      </c>
      <c r="M15" s="11" t="inlineStr">
        <is>
          <t>R4〜R13</t>
        </is>
      </c>
      <c r="N15" s="13" t="n">
        <v>13</v>
      </c>
      <c r="O15" s="13" t="inlineStr">
        <is>
          <t>確認済</t>
        </is>
      </c>
      <c r="P15" s="13" t="inlineStr">
        <is>
          <t>未確認</t>
        </is>
      </c>
      <c r="Q15" s="14" t="inlineStr">
        <is>
          <t>https://www.city.hachimantai.lg.jp/uploaded/attachment/13185.pdf</t>
        </is>
      </c>
      <c r="R15" s="11" t="inlineStr">
        <is>
          <t>交通：2024年3月策定、R6〜R12の7年。環境：R4.7策定、R4〜R13、区域施策編を内包。e_urlは案段階PDF。</t>
        </is>
      </c>
      <c r="S15" s="15" t="inlineStr">
        <is>
          <t>調査済</t>
        </is>
      </c>
    </row>
    <row r="16">
      <c r="A16" s="11" t="n">
        <v>13</v>
      </c>
      <c r="B16" s="11" t="inlineStr">
        <is>
          <t>奥州市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奥州市地域公共交通計画（第4次奥州市バス交通計画）</t>
        </is>
      </c>
      <c r="G16" s="11" t="inlineStr">
        <is>
          <t>R6〜R10</t>
        </is>
      </c>
      <c r="H16" s="13" t="n">
        <v>10</v>
      </c>
      <c r="I16" s="13" t="inlineStr">
        <is>
          <t>確認済</t>
        </is>
      </c>
      <c r="J16" s="13" t="inlineStr">
        <is>
          <t>未確認</t>
        </is>
      </c>
      <c r="K16" s="14" t="inlineStr">
        <is>
          <t>https://www.city.oshu.iwate.jp/soshiki/2/1004/12523.html</t>
        </is>
      </c>
      <c r="L16" s="11" t="inlineStr">
        <is>
          <t>第2次奥州市環境基本計画（R4.3改定）</t>
        </is>
      </c>
      <c r="M16" s="11" t="inlineStr">
        <is>
          <t>H29〜R8</t>
        </is>
      </c>
      <c r="N16" s="13" t="n">
        <v>8</v>
      </c>
      <c r="O16" s="13" t="inlineStr">
        <is>
          <t>確認済</t>
        </is>
      </c>
      <c r="P16" s="13" t="inlineStr">
        <is>
          <t>着手済</t>
        </is>
      </c>
      <c r="Q16" s="14" t="inlineStr">
        <is>
          <t>https://www.city.oshu.iwate.jp/material/files/group/183/dai2jikankyoukihonnkeikaku_GX.pdf</t>
        </is>
      </c>
      <c r="R16" s="11" t="inlineStr">
        <is>
          <t>交通：R6.3策定、変更あり https://www.city.oshu.iwate.jp/soshiki/2/1004/17684.html 。R6〜R10（県計画との整合）。県利便増進実施計画（奥州市版）R8.2 https://www.city.oshu.iwate.jp/soshiki/2/1004/17721.html 。環境：R8年度終期。R7年度に基礎調査委託、R8年度素案策定、R9.4から第3次計画（区域施策編含む）開始予定（市議会建設環境常任委員会R6.10.8会議録 https://www.city.oshu.iwate.jp/material/files/group/76/202410080000001.pdf ）。</t>
        </is>
      </c>
      <c r="S16" s="15" t="inlineStr">
        <is>
          <t>調査済</t>
        </is>
      </c>
    </row>
    <row r="17">
      <c r="A17" s="11" t="n">
        <v>14</v>
      </c>
      <c r="B17" s="11" t="inlineStr">
        <is>
          <t>滝沢市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盛岡都市圏地域公共交通計画（盛岡市・滝沢市・矢巾町共同）</t>
        </is>
      </c>
      <c r="G17" s="11" t="inlineStr">
        <is>
          <t>R8〜R12</t>
        </is>
      </c>
      <c r="H17" s="13" t="n">
        <v>12</v>
      </c>
      <c r="I17" s="13" t="inlineStr">
        <is>
          <t>確認済</t>
        </is>
      </c>
      <c r="J17" s="13" t="inlineStr">
        <is>
          <t>策定済</t>
        </is>
      </c>
      <c r="K17" s="14" t="inlineStr">
        <is>
          <t>https://www.city.morioka.iwate.jp/_res/projects/default_project/_page_/001/043/162/R7honpen.pdf</t>
        </is>
      </c>
      <c r="L17" s="11" t="inlineStr">
        <is>
          <t>第1次滝沢市環境基本計画</t>
        </is>
      </c>
      <c r="M17" s="11" t="inlineStr">
        <is>
          <t>R5〜R12</t>
        </is>
      </c>
      <c r="N17" s="13" t="n">
        <v>12</v>
      </c>
      <c r="O17" s="13" t="inlineStr">
        <is>
          <t>確認済</t>
        </is>
      </c>
      <c r="P17" s="13" t="inlineStr">
        <is>
          <t>未確認</t>
        </is>
      </c>
      <c r="Q17" s="14" t="inlineStr">
        <is>
          <t>https://www.city.takizawa.iwate.jp/kurashi/kankyo/contents-12768/p20241204162009</t>
        </is>
      </c>
      <c r="R17" s="11" t="inlineStr">
        <is>
          <t>交通：3市町共同の都市圏計画（R7.9公表）。滝沢市側資料 https://www.city.takizawa.iwate.jp/uploads/contents/pages_0000002369_00/【資料3】次期地域公共交通計画の検討状況及び現行計画の変更等について.pdf 。環境：R5.3策定、R5〜R12の8年。</t>
        </is>
      </c>
      <c r="S17" s="15" t="inlineStr">
        <is>
          <t>調査済</t>
        </is>
      </c>
    </row>
    <row r="18">
      <c r="A18" s="11" t="n">
        <v>15</v>
      </c>
      <c r="B18" s="11" t="inlineStr">
        <is>
          <t>雫石町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第2次雫石町地域公共交通計画</t>
        </is>
      </c>
      <c r="G18" s="11" t="inlineStr">
        <is>
          <t>R7〜R11</t>
        </is>
      </c>
      <c r="H18" s="13" t="n">
        <v>11</v>
      </c>
      <c r="I18" s="13" t="inlineStr">
        <is>
          <t>確認済</t>
        </is>
      </c>
      <c r="J18" s="13" t="inlineStr">
        <is>
          <t>策定済</t>
        </is>
      </c>
      <c r="K18" s="14" t="inlineStr">
        <is>
          <t>https://www.town.shizukuishi.iwate.jp/docs/2021101200012/file_contents/honpen.pdf</t>
        </is>
      </c>
      <c r="L18" s="11" t="inlineStr">
        <is>
          <t>第二期雫石町環境基本計画</t>
        </is>
      </c>
      <c r="M18" s="11" t="inlineStr">
        <is>
          <t>R3〜（終期不明）</t>
        </is>
      </c>
      <c r="N18" s="13" t="n"/>
      <c r="O18" s="13" t="inlineStr">
        <is>
          <t>不明</t>
        </is>
      </c>
      <c r="P18" s="13" t="inlineStr">
        <is>
          <t>未確認</t>
        </is>
      </c>
      <c r="Q18" s="14" t="inlineStr">
        <is>
          <t>https://www.town.shizukuishi.iwate.jp/docs/2016050600013/file_contents/kankyoukihonkeikaku.pdf</t>
        </is>
      </c>
      <c r="R18" s="11" t="inlineStr">
        <is>
          <t>交通：第1次R3.5〜R6.3、第2次（R7〜R11）はパブコメR7.3.17締切で策定 https://www.town.shizukuishi.iwate.jp/docs/2025021300036/ 。環境：R3.5策定、終期は検索で未確認（10年ならR12）。</t>
        </is>
      </c>
      <c r="S18" s="15" t="inlineStr">
        <is>
          <t>調査済</t>
        </is>
      </c>
    </row>
    <row r="19">
      <c r="A19" s="11" t="n">
        <v>16</v>
      </c>
      <c r="B19" s="11" t="inlineStr">
        <is>
          <t>葛巻町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計画なし</t>
        </is>
      </c>
      <c r="K19" s="11" t="n"/>
      <c r="L19" s="11" t="n"/>
      <c r="M19" s="11" t="inlineStr">
        <is>
          <t>不明</t>
        </is>
      </c>
      <c r="N19" s="13" t="n"/>
      <c r="O19" s="13" t="inlineStr">
        <is>
          <t>不明</t>
        </is>
      </c>
      <c r="P19" s="13" t="inlineStr">
        <is>
          <t>計画なし</t>
        </is>
      </c>
      <c r="Q19" s="11" t="n"/>
      <c r="R19" s="11" t="inlineStr">
        <is>
          <t>交通・環境とも町サイト検索で計画を確認できず（公共交通マップのみ https://www.town.kuzumaki.iwate.jp/docs/2015102200249/ ）。県の地域公共交通計画でカバーされる可能性。</t>
        </is>
      </c>
      <c r="S19" s="17" t="inlineStr">
        <is>
          <t>環境のみ調査</t>
        </is>
      </c>
    </row>
    <row r="20">
      <c r="A20" s="11" t="n">
        <v>17</v>
      </c>
      <c r="B20" s="11" t="inlineStr">
        <is>
          <t>岩手町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岩手町地域公共交通計画</t>
        </is>
      </c>
      <c r="G20" s="11" t="inlineStr">
        <is>
          <t>R4〜R8</t>
        </is>
      </c>
      <c r="H20" s="13" t="n">
        <v>8</v>
      </c>
      <c r="I20" s="13" t="inlineStr">
        <is>
          <t>確認済</t>
        </is>
      </c>
      <c r="J20" s="13" t="inlineStr">
        <is>
          <t>未確認</t>
        </is>
      </c>
      <c r="K20" s="14" t="inlineStr">
        <is>
          <t>https://town.iwate.iwate.jp/town/gyosei/koutsuumoukeisei2017-2021/</t>
        </is>
      </c>
      <c r="L20" s="11" t="n"/>
      <c r="M20" s="11" t="inlineStr">
        <is>
          <t>不明</t>
        </is>
      </c>
      <c r="N20" s="13" t="n"/>
      <c r="O20" s="13" t="inlineStr">
        <is>
          <t>不明</t>
        </is>
      </c>
      <c r="P20" s="13" t="inlineStr">
        <is>
          <t>計画なし</t>
        </is>
      </c>
      <c r="Q20" s="11" t="n"/>
      <c r="R20" s="11" t="inlineStr">
        <is>
          <t>交通：R4.4策定、2022〜2026年度でR8終期。県協議会資料に「令和8年度から令和12年度」との記載があり https://www.pref.iwate.jp/_res/projects/default_project/_page_/001/032/597/1127siryou5.pdf 、次期計画との関係は要確認。環境：環境基本計画は確認できず（SDGs未来都市計画あり）。</t>
        </is>
      </c>
      <c r="S20" s="15" t="inlineStr">
        <is>
          <t>調査済</t>
        </is>
      </c>
    </row>
    <row r="21">
      <c r="A21" s="11" t="n">
        <v>18</v>
      </c>
      <c r="B21" s="11" t="inlineStr">
        <is>
          <t>紫波町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紫波町地域公共交通計画</t>
        </is>
      </c>
      <c r="G21" s="11" t="inlineStr">
        <is>
          <t>R6〜R10</t>
        </is>
      </c>
      <c r="H21" s="13" t="n">
        <v>10</v>
      </c>
      <c r="I21" s="13" t="inlineStr">
        <is>
          <t>確認済</t>
        </is>
      </c>
      <c r="J21" s="13" t="inlineStr">
        <is>
          <t>未確認</t>
        </is>
      </c>
      <c r="K21" s="14" t="inlineStr">
        <is>
          <t>https://www.town.shiwa.iwate.jp/shiwatown/cms/soshiki/4/2_99/koukyoukoutsukeikaku.pdf</t>
        </is>
      </c>
      <c r="L21" s="11" t="inlineStr">
        <is>
          <t>紫波町環境・循環基本計画</t>
        </is>
      </c>
      <c r="M21" s="11" t="inlineStr">
        <is>
          <t>不明</t>
        </is>
      </c>
      <c r="N21" s="13" t="n"/>
      <c r="O21" s="13" t="inlineStr">
        <is>
          <t>不明</t>
        </is>
      </c>
      <c r="P21" s="13" t="inlineStr">
        <is>
          <t>未確認</t>
        </is>
      </c>
      <c r="Q21" s="11" t="n"/>
      <c r="R21" s="11" t="inlineStr">
        <is>
          <t>交通：R6.3策定、R6〜R10。環境：環境・循環基本計画（2021年関連）の存在は示唆されるが期間・URLは確認できず。</t>
        </is>
      </c>
      <c r="S21" s="15" t="inlineStr">
        <is>
          <t>調査済</t>
        </is>
      </c>
    </row>
    <row r="22">
      <c r="A22" s="11" t="n">
        <v>19</v>
      </c>
      <c r="B22" s="11" t="inlineStr">
        <is>
          <t>矢巾町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盛岡都市圏地域公共交通計画（盛岡市・滝沢市・矢巾町共同）</t>
        </is>
      </c>
      <c r="G22" s="11" t="inlineStr">
        <is>
          <t>R8〜R12</t>
        </is>
      </c>
      <c r="H22" s="13" t="n">
        <v>12</v>
      </c>
      <c r="I22" s="13" t="inlineStr">
        <is>
          <t>確認済</t>
        </is>
      </c>
      <c r="J22" s="13" t="inlineStr">
        <is>
          <t>策定済</t>
        </is>
      </c>
      <c r="K22" s="14" t="inlineStr">
        <is>
          <t>https://www.city.morioka.iwate.jp/_res/projects/default_project/_page_/001/043/162/R7honpen.pdf</t>
        </is>
      </c>
      <c r="L22" s="11" t="n"/>
      <c r="M22" s="11" t="inlineStr">
        <is>
          <t>不明</t>
        </is>
      </c>
      <c r="N22" s="13" t="n"/>
      <c r="O22" s="13" t="inlineStr">
        <is>
          <t>不明</t>
        </is>
      </c>
      <c r="P22" s="13" t="inlineStr">
        <is>
          <t>計画なし</t>
        </is>
      </c>
      <c r="Q22" s="11" t="n"/>
      <c r="R22" s="11" t="inlineStr">
        <is>
          <t>交通：3市町共同の都市圏計画（R7.9公表）。環境：環境基本計画は確認できず（人と自然にやさしい環境基本条例、新エネルギービジョンR3改訂版 https://www.town.yahaba.iwate.jp/yahabatown/switch/2022/2022060800015/yahaba_newenergyvision.pdf ）。</t>
        </is>
      </c>
      <c r="S22" s="15" t="inlineStr">
        <is>
          <t>調査済</t>
        </is>
      </c>
    </row>
    <row r="23">
      <c r="A23" s="11" t="n">
        <v>20</v>
      </c>
      <c r="B23" s="11" t="inlineStr">
        <is>
          <t>西和賀町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西和賀町地域公共交通計画</t>
        </is>
      </c>
      <c r="G23" s="11" t="inlineStr">
        <is>
          <t>R5〜（終期不明）</t>
        </is>
      </c>
      <c r="H23" s="13" t="n"/>
      <c r="I23" s="13" t="inlineStr">
        <is>
          <t>不明</t>
        </is>
      </c>
      <c r="J23" s="13" t="inlineStr">
        <is>
          <t>未確認</t>
        </is>
      </c>
      <c r="K23" s="14" t="inlineStr">
        <is>
          <t>https://www.town.nishiwaga.lg.jp/material/files/group/1/2306nishiwagakotsukeikaku.pdf</t>
        </is>
      </c>
      <c r="L23" s="11" t="n"/>
      <c r="M23" s="11" t="inlineStr">
        <is>
          <t>不明</t>
        </is>
      </c>
      <c r="N23" s="13" t="n"/>
      <c r="O23" s="13" t="inlineStr">
        <is>
          <t>不明</t>
        </is>
      </c>
      <c r="P23" s="13" t="inlineStr">
        <is>
          <t>計画なし</t>
        </is>
      </c>
      <c r="Q23" s="11" t="n"/>
      <c r="R23" s="11" t="inlineStr">
        <is>
          <t>交通：R5.6策定、R7.1.24協議会で一部改正。期間は検索結果で未確認（5年ならR5〜R9の可能性、要確認）。環境：環境基本計画は確認できず。</t>
        </is>
      </c>
      <c r="S23" s="15" t="inlineStr">
        <is>
          <t>調査済</t>
        </is>
      </c>
    </row>
    <row r="24">
      <c r="A24" s="11" t="n">
        <v>21</v>
      </c>
      <c r="B24" s="11" t="inlineStr">
        <is>
          <t>金ケ崎町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金ケ崎町地域公共交通網形成計画</t>
        </is>
      </c>
      <c r="G24" s="11" t="inlineStr">
        <is>
          <t>R2〜R8</t>
        </is>
      </c>
      <c r="H24" s="13" t="n">
        <v>8</v>
      </c>
      <c r="I24" s="13" t="inlineStr">
        <is>
          <t>確認済</t>
        </is>
      </c>
      <c r="J24" s="13" t="inlineStr">
        <is>
          <t>未確認</t>
        </is>
      </c>
      <c r="K24" s="14" t="inlineStr">
        <is>
          <t>https://www.town.kanegasaki.iwate.jp/articles/2020032900015/file_contents/keikaku.pdf</t>
        </is>
      </c>
      <c r="L24" s="11" t="n"/>
      <c r="M24" s="11" t="inlineStr">
        <is>
          <t>不明</t>
        </is>
      </c>
      <c r="N24" s="13" t="n"/>
      <c r="O24" s="13" t="inlineStr">
        <is>
          <t>不明</t>
        </is>
      </c>
      <c r="P24" s="13" t="inlineStr">
        <is>
          <t>計画なし</t>
        </is>
      </c>
      <c r="Q24" s="11" t="n"/>
      <c r="R24" s="11" t="inlineStr">
        <is>
          <t>交通：網形成計画R2〜R8の7年でR8終期、次期計画の委託等は検索で確認できず。環境：環境基本計画は確認できず。代替として地球温暖化対策実行計画（区域施策編）R7〜R12（R6.12策定） https://www.town.kanegasaki.iwate.jp/articles/2025012900047/file_contents/kuikisisakuhen.pdf 。</t>
        </is>
      </c>
      <c r="S24" s="15" t="inlineStr">
        <is>
          <t>調査済</t>
        </is>
      </c>
    </row>
    <row r="25">
      <c r="A25" s="11" t="n">
        <v>22</v>
      </c>
      <c r="B25" s="11" t="inlineStr">
        <is>
          <t>平泉町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平泉町地域公共交通計画</t>
        </is>
      </c>
      <c r="G25" s="11" t="inlineStr">
        <is>
          <t>R7〜R11</t>
        </is>
      </c>
      <c r="H25" s="13" t="n">
        <v>11</v>
      </c>
      <c r="I25" s="13" t="inlineStr">
        <is>
          <t>確認済</t>
        </is>
      </c>
      <c r="J25" s="13" t="inlineStr">
        <is>
          <t>策定済</t>
        </is>
      </c>
      <c r="K25" s="14" t="inlineStr">
        <is>
          <t>https://www.town.hiraizumi.iwate.jp/%E5%B9%B3%E6%B3%89%E7%94%BA%E5%9C%B0%E5%9F%9F%E5%85%AC%E5%85%B1%E4%BA%A4%E9%80%9A%E8%A8%88%E7%94%BB%E3%82%92%E7%AD%96%E5%AE%9A%E3%81%97%E3%81%BE%E3%81%97%E3%81%9F-25574/</t>
        </is>
      </c>
      <c r="L25" s="11" t="n"/>
      <c r="M25" s="11" t="inlineStr">
        <is>
          <t>不明</t>
        </is>
      </c>
      <c r="N25" s="13" t="n"/>
      <c r="O25" s="13" t="inlineStr">
        <is>
          <t>不明</t>
        </is>
      </c>
      <c r="P25" s="13" t="inlineStr">
        <is>
          <t>計画なし</t>
        </is>
      </c>
      <c r="Q25" s="11" t="n"/>
      <c r="R25" s="11" t="inlineStr">
        <is>
          <t>交通：R6年度策定支援業務プロポーザルを経てR7年度から5年の計画を策定。環境：環境基本計画は確認できず。</t>
        </is>
      </c>
      <c r="S25" s="15" t="inlineStr">
        <is>
          <t>調査済</t>
        </is>
      </c>
    </row>
    <row r="26">
      <c r="A26" s="11" t="n">
        <v>23</v>
      </c>
      <c r="B26" s="11" t="inlineStr">
        <is>
          <t>住田町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住田町地域公共交通計画</t>
        </is>
      </c>
      <c r="G26" s="11" t="inlineStr">
        <is>
          <t>R7〜R11</t>
        </is>
      </c>
      <c r="H26" s="13" t="n">
        <v>11</v>
      </c>
      <c r="I26" s="13" t="inlineStr">
        <is>
          <t>確認済</t>
        </is>
      </c>
      <c r="J26" s="13" t="inlineStr">
        <is>
          <t>策定済</t>
        </is>
      </c>
      <c r="K26" s="14" t="inlineStr">
        <is>
          <t>https://www.town.sumita.iwate.jp/docs/2025040400014/files/tiikikoukyoukoutuukeikaku2025.pdf</t>
        </is>
      </c>
      <c r="L26" s="11" t="inlineStr">
        <is>
          <t>第5次住田町環境基本計画</t>
        </is>
      </c>
      <c r="M26" s="11" t="inlineStr">
        <is>
          <t>R5〜（終期不明）</t>
        </is>
      </c>
      <c r="N26" s="13" t="n"/>
      <c r="O26" s="13" t="inlineStr">
        <is>
          <t>不明</t>
        </is>
      </c>
      <c r="P26" s="13" t="inlineStr">
        <is>
          <t>未確認</t>
        </is>
      </c>
      <c r="Q26" s="14" t="inlineStr">
        <is>
          <t>https://www.town.sumita.iwate.jp/docs/2023061500010/files/04_dai4syou.pdf</t>
        </is>
      </c>
      <c r="R26" s="11" t="inlineStr">
        <is>
          <t>交通：2025〜2029年度。環境：R5.6策定、期間は未確認。区域施策編策定支援業務（R7.5）あり https://www.town.sumita.iwate.jp/docs/2025052000011/files/shinsakijun.pdf 。</t>
        </is>
      </c>
      <c r="S26" s="15" t="inlineStr">
        <is>
          <t>調査済</t>
        </is>
      </c>
    </row>
    <row r="27">
      <c r="A27" s="11" t="n">
        <v>24</v>
      </c>
      <c r="B27" s="11" t="inlineStr">
        <is>
          <t>大槌町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大槌町地域公共交通計画</t>
        </is>
      </c>
      <c r="G27" s="11" t="inlineStr">
        <is>
          <t>R4〜R8</t>
        </is>
      </c>
      <c r="H27" s="13" t="n">
        <v>8</v>
      </c>
      <c r="I27" s="13" t="inlineStr">
        <is>
          <t>確認済</t>
        </is>
      </c>
      <c r="J27" s="13" t="inlineStr">
        <is>
          <t>着手済</t>
        </is>
      </c>
      <c r="K27" s="14" t="inlineStr">
        <is>
          <t>https://www.town.otsuchi.iwate.jp/fs/2/3/0/5/0/9/_/___________.pdf</t>
        </is>
      </c>
      <c r="L27" s="11" t="n"/>
      <c r="M27" s="11" t="inlineStr">
        <is>
          <t>不明</t>
        </is>
      </c>
      <c r="N27" s="13" t="n"/>
      <c r="O27" s="13" t="inlineStr">
        <is>
          <t>不明</t>
        </is>
      </c>
      <c r="P27" s="13" t="inlineStr">
        <is>
          <t>計画なし</t>
        </is>
      </c>
      <c r="Q27" s="11" t="n"/>
      <c r="R27" s="11" t="inlineStr">
        <is>
          <t>交通：R4〜R8でR8終期、R7.3変更 https://www.town.otsuchi.iwate.jp/gyosei/docs/453169.html 。次期計画の策定支援業務委託の見積合わせを実施（提出期限R8.6.5） https://www.town.otsuchi.iwate.jp/gyosei/docs/462503.html 。三陸鉄道沿線地域等公共交通計画（岩手県・沿線12市町村の広域計画、2024策定） https://www.city.miyako.iwate.jp/gyosei/soshiki/kokyokotsuusuishin/2/1/605.html もカバー。環境：環境基本計画は確認できず。</t>
        </is>
      </c>
      <c r="S27" s="15" t="inlineStr">
        <is>
          <t>調査済</t>
        </is>
      </c>
    </row>
    <row r="28">
      <c r="A28" s="11" t="n">
        <v>25</v>
      </c>
      <c r="B28" s="11" t="inlineStr">
        <is>
          <t>山田町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山田町地域公共交通計画</t>
        </is>
      </c>
      <c r="G28" s="11" t="inlineStr">
        <is>
          <t>不明</t>
        </is>
      </c>
      <c r="H28" s="13" t="n"/>
      <c r="I28" s="13" t="inlineStr">
        <is>
          <t>不明</t>
        </is>
      </c>
      <c r="J28" s="13" t="inlineStr">
        <is>
          <t>未確認</t>
        </is>
      </c>
      <c r="K28" s="14" t="inlineStr">
        <is>
          <t>https://www.town.yamada.iwate.jp/fs/1/2/1/7/4/5/_/___________.pdf</t>
        </is>
      </c>
      <c r="L28" s="11" t="n"/>
      <c r="M28" s="11" t="inlineStr">
        <is>
          <t>不明</t>
        </is>
      </c>
      <c r="N28" s="13" t="n"/>
      <c r="O28" s="13" t="inlineStr">
        <is>
          <t>不明</t>
        </is>
      </c>
      <c r="P28" s="13" t="inlineStr">
        <is>
          <t>計画なし</t>
        </is>
      </c>
      <c r="Q28" s="11" t="n"/>
      <c r="R28" s="11" t="inlineStr">
        <is>
          <t>交通：網形成計画（2019.3）の後継として策定、期間未確認。県利便増進実施計画（宮古市・山田町版）あり https://www.town.yamada.iwate.jp/docs/10513.html 。三陸鉄道沿線地域等公共交通計画（岩手県・沿線12市町村の広域計画、2024策定） https://www.city.miyako.iwate.jp/gyosei/soshiki/kokyokotsuusuishin/2/1/605.html もカバー。環境：確認できず。</t>
        </is>
      </c>
      <c r="S28" s="15" t="inlineStr">
        <is>
          <t>調査済</t>
        </is>
      </c>
    </row>
    <row r="29">
      <c r="A29" s="11" t="n">
        <v>26</v>
      </c>
      <c r="B29" s="11" t="inlineStr">
        <is>
          <t>岩泉町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岩泉町地域公共交通計画</t>
        </is>
      </c>
      <c r="G29" s="11" t="inlineStr">
        <is>
          <t>R6〜R8</t>
        </is>
      </c>
      <c r="H29" s="13" t="n">
        <v>8</v>
      </c>
      <c r="I29" s="13" t="inlineStr">
        <is>
          <t>確認済</t>
        </is>
      </c>
      <c r="J29" s="13" t="inlineStr">
        <is>
          <t>未確認</t>
        </is>
      </c>
      <c r="K29" s="14" t="inlineStr">
        <is>
          <t>https://www.town.iwaizumi.lg.jp/docs/2024032500015/</t>
        </is>
      </c>
      <c r="L29" s="11" t="n"/>
      <c r="M29" s="11" t="inlineStr">
        <is>
          <t>不明</t>
        </is>
      </c>
      <c r="N29" s="13" t="n"/>
      <c r="O29" s="13" t="inlineStr">
        <is>
          <t>不明</t>
        </is>
      </c>
      <c r="P29" s="13" t="inlineStr">
        <is>
          <t>計画なし</t>
        </is>
      </c>
      <c r="Q29" s="11" t="n"/>
      <c r="R29" s="11" t="inlineStr">
        <is>
          <t>交通：R6〜R8の3年計画でR8終期、次期計画の委託等は検索で未確認。三陸鉄道沿線地域等公共交通計画（岩手県・沿線12市町村の広域計画、2024策定） https://www.city.miyako.iwate.jp/gyosei/soshiki/kokyokotsuusuishin/2/1/605.html もカバー。環境：環境基本計画は確認できず（R4.2ゼロカーボンシティ宣言）。</t>
        </is>
      </c>
      <c r="S29" s="15" t="inlineStr">
        <is>
          <t>調査済</t>
        </is>
      </c>
    </row>
    <row r="30">
      <c r="A30" s="11" t="n">
        <v>27</v>
      </c>
      <c r="B30" s="11" t="inlineStr">
        <is>
          <t>田野畑村</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田野畑村地域公共交通計画</t>
        </is>
      </c>
      <c r="G30" s="11" t="inlineStr">
        <is>
          <t>不明</t>
        </is>
      </c>
      <c r="H30" s="13" t="n"/>
      <c r="I30" s="13" t="inlineStr">
        <is>
          <t>不明</t>
        </is>
      </c>
      <c r="J30" s="13" t="inlineStr">
        <is>
          <t>未確認</t>
        </is>
      </c>
      <c r="K30" s="14" t="inlineStr">
        <is>
          <t>https://www.vill.tanohata.iwate.jp/bunya/keikaku/tanohata/</t>
        </is>
      </c>
      <c r="L30" s="11" t="inlineStr">
        <is>
          <t>田野畑村環境基本計画（H16.11策定）</t>
        </is>
      </c>
      <c r="M30" s="11" t="inlineStr">
        <is>
          <t>不明</t>
        </is>
      </c>
      <c r="N30" s="13" t="n"/>
      <c r="O30" s="13" t="inlineStr">
        <is>
          <t>不明</t>
        </is>
      </c>
      <c r="P30" s="13" t="inlineStr">
        <is>
          <t>未確認</t>
        </is>
      </c>
      <c r="Q30" s="14" t="inlineStr">
        <is>
          <t>https://www.vill.tanohata.iwate.jp/docs/2015081800027/</t>
        </is>
      </c>
      <c r="R30" s="11" t="inlineStr">
        <is>
          <t>交通：R5.9.15公開、期間は検索で確認できず（5年ならR5〜R9の可能性）。三陸鉄道沿線地域等公共交通計画（岩手県・沿線12市町村の広域計画、2024策定） https://www.city.miyako.iwate.jp/gyosei/soshiki/kokyokotsuusuishin/2/1/605.html もカバー。環境：H16策定の計画ページあり、期間・改定状況不明。</t>
        </is>
      </c>
      <c r="S30" s="15" t="inlineStr">
        <is>
          <t>調査済</t>
        </is>
      </c>
    </row>
    <row r="31">
      <c r="A31" s="11" t="n">
        <v>28</v>
      </c>
      <c r="B31" s="11" t="inlineStr">
        <is>
          <t>普代村</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計画なし</t>
        </is>
      </c>
      <c r="K31" s="11" t="n"/>
      <c r="L31" s="11" t="n"/>
      <c r="M31" s="11" t="inlineStr">
        <is>
          <t>不明</t>
        </is>
      </c>
      <c r="N31" s="13" t="n"/>
      <c r="O31" s="13" t="inlineStr">
        <is>
          <t>不明</t>
        </is>
      </c>
      <c r="P31" s="13" t="inlineStr">
        <is>
          <t>計画なし</t>
        </is>
      </c>
      <c r="Q31" s="11" t="n"/>
      <c r="R31" s="11" t="inlineStr">
        <is>
          <t>交通：村独自の地域公共交通計画は確認できず（村営バス無料運行 https://www.vill.fudai.iwate.jp/lifescene/koutsu.html ）。三陸鉄道沿線地域等公共交通計画（岩手県・沿線12市町村の広域計画、2024策定） https://www.city.miyako.iwate.jp/gyosei/soshiki/kokyokotsuusuishin/2/1/605.html もカバー。環境：確認できず。</t>
        </is>
      </c>
      <c r="S31" s="17" t="inlineStr">
        <is>
          <t>環境のみ調査</t>
        </is>
      </c>
    </row>
    <row r="32">
      <c r="A32" s="11" t="n">
        <v>29</v>
      </c>
      <c r="B32" s="11" t="inlineStr">
        <is>
          <t>軽米町</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n"/>
      <c r="G32" s="11" t="inlineStr">
        <is>
          <t>不明</t>
        </is>
      </c>
      <c r="H32" s="13" t="n"/>
      <c r="I32" s="13" t="inlineStr">
        <is>
          <t>不明</t>
        </is>
      </c>
      <c r="J32" s="13" t="inlineStr">
        <is>
          <t>計画なし</t>
        </is>
      </c>
      <c r="K32" s="11" t="n"/>
      <c r="L32" s="11" t="n"/>
      <c r="M32" s="11" t="inlineStr">
        <is>
          <t>不明</t>
        </is>
      </c>
      <c r="N32" s="13" t="n"/>
      <c r="O32" s="13" t="inlineStr">
        <is>
          <t>不明</t>
        </is>
      </c>
      <c r="P32" s="13" t="inlineStr">
        <is>
          <t>計画なし</t>
        </is>
      </c>
      <c r="Q32" s="11" t="n"/>
      <c r="R32" s="11" t="inlineStr">
        <is>
          <t>交通：地域公共交通計画は確認できず。R8.4からコミュニティバス（円子線・大野線）運行、デマンド交通導入を検討中（R7.3議会一般質問）。環境：確認できず。</t>
        </is>
      </c>
      <c r="S32" s="17" t="inlineStr">
        <is>
          <t>環境のみ調査</t>
        </is>
      </c>
    </row>
    <row r="33">
      <c r="A33" s="11" t="n">
        <v>30</v>
      </c>
      <c r="B33" s="11" t="inlineStr">
        <is>
          <t>野田村</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n"/>
      <c r="G33" s="11" t="inlineStr">
        <is>
          <t>不明</t>
        </is>
      </c>
      <c r="H33" s="13" t="n"/>
      <c r="I33" s="13" t="inlineStr">
        <is>
          <t>不明</t>
        </is>
      </c>
      <c r="J33" s="13" t="inlineStr">
        <is>
          <t>計画なし</t>
        </is>
      </c>
      <c r="K33" s="11" t="n"/>
      <c r="L33" s="11" t="n"/>
      <c r="M33" s="11" t="inlineStr">
        <is>
          <t>不明</t>
        </is>
      </c>
      <c r="N33" s="13" t="n"/>
      <c r="O33" s="13" t="inlineStr">
        <is>
          <t>不明</t>
        </is>
      </c>
      <c r="P33" s="13" t="inlineStr">
        <is>
          <t>計画なし</t>
        </is>
      </c>
      <c r="Q33" s="11" t="n"/>
      <c r="R33" s="11" t="inlineStr">
        <is>
          <t>交通：村独自の計画は確認できず（村営バス https://www.vill.noda.iwate.jp/soshiki/miraizukurisuishinka/miraizukurisuishinhan/doro_kotsu/642.html ）。三陸鉄道沿線地域等公共交通計画（岩手県・沿線12市町村の広域計画、2024策定） https://www.city.miyako.iwate.jp/gyosei/soshiki/kokyokotsuusuishin/2/1/605.html もカバー。環境：確認できず。</t>
        </is>
      </c>
      <c r="S33" s="17" t="inlineStr">
        <is>
          <t>環境のみ調査</t>
        </is>
      </c>
    </row>
    <row r="34">
      <c r="A34" s="11" t="n">
        <v>31</v>
      </c>
      <c r="B34" s="11" t="inlineStr">
        <is>
          <t>九戸村</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九戸村地域公共交通計画</t>
        </is>
      </c>
      <c r="G34" s="11" t="inlineStr">
        <is>
          <t>不明</t>
        </is>
      </c>
      <c r="H34" s="13" t="n"/>
      <c r="I34" s="13" t="inlineStr">
        <is>
          <t>不明</t>
        </is>
      </c>
      <c r="J34" s="13" t="inlineStr">
        <is>
          <t>未確認</t>
        </is>
      </c>
      <c r="K34" s="14" t="inlineStr">
        <is>
          <t>https://vill.kunohe.iwate.jp/fs/9/5/9/5/_/%E4%B9%9D%E6%88%B8%E6%9D%91%E5%9C%B0%E5%9F%9F%E5%85%AC%E5%85%B1%E4%BA%A4%E9%80%9A%E8%A8%88%E7%94%BB.pdf</t>
        </is>
      </c>
      <c r="L34" s="11" t="n"/>
      <c r="M34" s="11" t="inlineStr">
        <is>
          <t>不明</t>
        </is>
      </c>
      <c r="N34" s="13" t="n"/>
      <c r="O34" s="13" t="inlineStr">
        <is>
          <t>不明</t>
        </is>
      </c>
      <c r="P34" s="13" t="inlineStr">
        <is>
          <t>計画なし</t>
        </is>
      </c>
      <c r="Q34" s="11" t="n"/>
      <c r="R34" s="11" t="inlineStr">
        <is>
          <t>交通：計画書PDFの存在を確認、期間は検索で確認できず。環境：確認できず。</t>
        </is>
      </c>
      <c r="S34" s="15" t="inlineStr">
        <is>
          <t>調査済</t>
        </is>
      </c>
    </row>
    <row r="35">
      <c r="A35" s="11" t="n">
        <v>32</v>
      </c>
      <c r="B35" s="11" t="inlineStr">
        <is>
          <t>洋野町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洋野町地域公共交通計画（策定中）</t>
        </is>
      </c>
      <c r="G35" s="11" t="inlineStr">
        <is>
          <t>R9〜R13</t>
        </is>
      </c>
      <c r="H35" s="13" t="n">
        <v>13</v>
      </c>
      <c r="I35" s="13" t="inlineStr">
        <is>
          <t>確認済</t>
        </is>
      </c>
      <c r="J35" s="13" t="inlineStr">
        <is>
          <t>着手済</t>
        </is>
      </c>
      <c r="K35" s="14" t="inlineStr">
        <is>
          <t>https://www.town.hirono.iwate.jp/doc/2026070700013</t>
        </is>
      </c>
      <c r="L35" s="11" t="n"/>
      <c r="M35" s="11" t="inlineStr">
        <is>
          <t>不明</t>
        </is>
      </c>
      <c r="N35" s="13" t="n"/>
      <c r="O35" s="13" t="inlineStr">
        <is>
          <t>不明</t>
        </is>
      </c>
      <c r="P35" s="13" t="inlineStr">
        <is>
          <t>計画なし</t>
        </is>
      </c>
      <c r="Q35" s="11" t="n"/>
      <c r="R35" s="11" t="inlineStr">
        <is>
          <t>交通：R9〜R13を期間とする初の地域公共交通計画の策定業務を公募型プロポーザルで募集（R8.7.7公告、8月契約予定）。現行計画は確認できず。三陸鉄道沿線地域等公共交通計画（岩手県・沿線12市町村の広域計画、2024策定） https://www.city.miyako.iwate.jp/gyosei/soshiki/kokyokotsuusuishin/2/1/605.html もカバー。環境：環境基本計画は確認できず（第5次地球温暖化対策実行計画を策定中）。</t>
        </is>
      </c>
      <c r="S35" s="15" t="inlineStr">
        <is>
          <t>調査済</t>
        </is>
      </c>
    </row>
    <row r="36">
      <c r="A36" s="11" t="n">
        <v>33</v>
      </c>
      <c r="B36" s="11" t="inlineStr">
        <is>
          <t>一戸町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計画なし</t>
        </is>
      </c>
      <c r="K36" s="11" t="n"/>
      <c r="L36" s="11" t="n"/>
      <c r="M36" s="11" t="inlineStr">
        <is>
          <t>不明</t>
        </is>
      </c>
      <c r="N36" s="13" t="n"/>
      <c r="O36" s="13" t="inlineStr">
        <is>
          <t>不明</t>
        </is>
      </c>
      <c r="P36" s="13" t="inlineStr">
        <is>
          <t>計画なし</t>
        </is>
      </c>
      <c r="Q36" s="11" t="n"/>
      <c r="R36" s="11" t="inlineStr">
        <is>
          <t>交通：地域公共交通計画は確認できず（デマンド交通いくべ号、R8.4運賃改定案パブコメ https://www.town.ichinohe.iwate.jp/soshikikarasagasu/seisakukikakuka/kokyokotsu/6744.html ）。環境：確認できず。</t>
        </is>
      </c>
      <c r="S36" s="17" t="inlineStr">
        <is>
          <t>環境のみ調査</t>
        </is>
      </c>
    </row>
  </sheetData>
  <autoFilter ref="A3:S36"/>
  <conditionalFormatting sqref="A4:S36">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36 P4:P36"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K13" r:id="rId18"/>
    <hyperlink xmlns:r="http://schemas.openxmlformats.org/officeDocument/2006/relationships" ref="Q13" r:id="rId19"/>
    <hyperlink xmlns:r="http://schemas.openxmlformats.org/officeDocument/2006/relationships" ref="K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Q16" r:id="rId24"/>
    <hyperlink xmlns:r="http://schemas.openxmlformats.org/officeDocument/2006/relationships" ref="K17" r:id="rId25"/>
    <hyperlink xmlns:r="http://schemas.openxmlformats.org/officeDocument/2006/relationships" ref="Q17" r:id="rId26"/>
    <hyperlink xmlns:r="http://schemas.openxmlformats.org/officeDocument/2006/relationships" ref="K18" r:id="rId27"/>
    <hyperlink xmlns:r="http://schemas.openxmlformats.org/officeDocument/2006/relationships" ref="Q18" r:id="rId28"/>
    <hyperlink xmlns:r="http://schemas.openxmlformats.org/officeDocument/2006/relationships" ref="K20" r:id="rId29"/>
    <hyperlink xmlns:r="http://schemas.openxmlformats.org/officeDocument/2006/relationships" ref="K21" r:id="rId30"/>
    <hyperlink xmlns:r="http://schemas.openxmlformats.org/officeDocument/2006/relationships" ref="K22" r:id="rId31"/>
    <hyperlink xmlns:r="http://schemas.openxmlformats.org/officeDocument/2006/relationships" ref="K23" r:id="rId32"/>
    <hyperlink xmlns:r="http://schemas.openxmlformats.org/officeDocument/2006/relationships" ref="K24" r:id="rId33"/>
    <hyperlink xmlns:r="http://schemas.openxmlformats.org/officeDocument/2006/relationships" ref="K25" r:id="rId34"/>
    <hyperlink xmlns:r="http://schemas.openxmlformats.org/officeDocument/2006/relationships" ref="K26" r:id="rId35"/>
    <hyperlink xmlns:r="http://schemas.openxmlformats.org/officeDocument/2006/relationships" ref="Q26" r:id="rId36"/>
    <hyperlink xmlns:r="http://schemas.openxmlformats.org/officeDocument/2006/relationships" ref="K27" r:id="rId37"/>
    <hyperlink xmlns:r="http://schemas.openxmlformats.org/officeDocument/2006/relationships" ref="K28" r:id="rId38"/>
    <hyperlink xmlns:r="http://schemas.openxmlformats.org/officeDocument/2006/relationships" ref="K29" r:id="rId39"/>
    <hyperlink xmlns:r="http://schemas.openxmlformats.org/officeDocument/2006/relationships" ref="K30" r:id="rId40"/>
    <hyperlink xmlns:r="http://schemas.openxmlformats.org/officeDocument/2006/relationships" ref="Q30" r:id="rId41"/>
    <hyperlink xmlns:r="http://schemas.openxmlformats.org/officeDocument/2006/relationships" ref="K34" r:id="rId42"/>
    <hyperlink xmlns:r="http://schemas.openxmlformats.org/officeDocument/2006/relationships" ref="K35" r:id="rId4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宮城県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仙台市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仙台市地域公共交通計画</t>
        </is>
      </c>
      <c r="G4" s="11" t="inlineStr">
        <is>
          <t>R4〜R8</t>
        </is>
      </c>
      <c r="H4" s="13" t="n">
        <v>8</v>
      </c>
      <c r="I4" s="13" t="inlineStr">
        <is>
          <t>確認済</t>
        </is>
      </c>
      <c r="J4" s="13" t="inlineStr">
        <is>
          <t>着手済</t>
        </is>
      </c>
      <c r="K4" s="14" t="inlineStr">
        <is>
          <t>https://www.city.sendai.jp/kokyo/kurashi/machi/kotsu/kekakunado/chikoukei.html</t>
        </is>
      </c>
      <c r="L4" s="11" t="inlineStr">
        <is>
          <t>杜の都環境プラン（仙台市環境基本計画）</t>
        </is>
      </c>
      <c r="M4" s="11" t="inlineStr">
        <is>
          <t>R3〜R12</t>
        </is>
      </c>
      <c r="N4" s="13" t="n">
        <v>12</v>
      </c>
      <c r="O4" s="13" t="inlineStr">
        <is>
          <t>確認済</t>
        </is>
      </c>
      <c r="P4" s="13" t="inlineStr">
        <is>
          <t>策定済</t>
        </is>
      </c>
      <c r="Q4" s="14" t="inlineStr">
        <is>
          <t>https://www.city.sendai.jp/kankyo-chose/kurashi/machi/kankyohozen/chosa/morinomiyako/documents/01_moripura_honpen.pdf</t>
        </is>
      </c>
      <c r="R4" s="11" t="inlineStr">
        <is>
          <t>交通：R8終期、次期計画（R9〜R13）策定中。R7策定調査業務は日本工営系（契約R7.4.21〜R8.3.31、12,749千円）、R8策定委託はCTI(建設技術研究所)東北支社にR8.5.13契約（4,950千円、〜R9.3.31）。R8.11中間案→12月頃パブコメ→R9.3策定予定（推進協議会資料 https://www.city.sendai.jp/kotsu-kekaku/suishinkyogikai/documents/siryou2_r8_1.pdf ）。利便増進実施計画もR8末終了。環境：R7中間評価を経てR8.3に中間改定版公表（策定済は中間改定の意）。</t>
        </is>
      </c>
      <c r="S4" s="15" t="inlineStr">
        <is>
          <t>調査済</t>
        </is>
      </c>
    </row>
    <row r="5">
      <c r="A5" s="11" t="n">
        <v>2</v>
      </c>
      <c r="B5" s="11" t="inlineStr">
        <is>
          <t>石巻市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石巻市総合交通計画（地域公共交通計画）</t>
        </is>
      </c>
      <c r="G5" s="11" t="inlineStr">
        <is>
          <t>R4〜R8</t>
        </is>
      </c>
      <c r="H5" s="13" t="n">
        <v>8</v>
      </c>
      <c r="I5" s="13" t="inlineStr">
        <is>
          <t>確認済</t>
        </is>
      </c>
      <c r="J5" s="13" t="inlineStr">
        <is>
          <t>着手済</t>
        </is>
      </c>
      <c r="K5" s="14" t="inlineStr">
        <is>
          <t>https://www.city.ishinomaki.lg.jp:443/cont/10053500/issks/dai1shou.pdf</t>
        </is>
      </c>
      <c r="L5" s="11" t="inlineStr">
        <is>
          <t>第2次石巻市環境基本計画</t>
        </is>
      </c>
      <c r="M5" s="11" t="inlineStr">
        <is>
          <t>R8〜R17</t>
        </is>
      </c>
      <c r="N5" s="13" t="n">
        <v>17</v>
      </c>
      <c r="O5" s="13" t="inlineStr">
        <is>
          <t>確認済</t>
        </is>
      </c>
      <c r="P5" s="13" t="inlineStr">
        <is>
          <t>策定済</t>
        </is>
      </c>
      <c r="Q5" s="14" t="inlineStr">
        <is>
          <t>https://www.city.ishinomaki.lg.jp/cont/10301000/3253/1.pdf</t>
        </is>
      </c>
      <c r="R5" s="11" t="inlineStr">
        <is>
          <t>交通：R8終期。改定作業中：R8.5〜R9.1にWG・地域公共交通活性化協議会で検討、R9.1パブコメ予定（庁議資料 https://www.city.ishinomaki.lg.jp/cont/10181000/0070/reiwahatinendotyougikannkei/daisannkaityougi/sougoukoutuukeikaku.pdf ）。改定支援業務仕様書あり https://www.city.ishinomaki.lg.jp/cont/10053500/siyousyokoutuusennryakukaiteisienn.pdf 。環境：第2次計画R8〜R17（R7庁議資料 https://www.city.ishinomaki.lg.jp/cont/10181000/0070/R7tyougi/17/17-siryou1-1.pdf ）。e_urlは検索結果中の候補で内容未精査。</t>
        </is>
      </c>
      <c r="S5" s="15" t="inlineStr">
        <is>
          <t>調査済</t>
        </is>
      </c>
    </row>
    <row r="6">
      <c r="A6" s="11" t="n">
        <v>3</v>
      </c>
      <c r="B6" s="11" t="inlineStr">
        <is>
          <t>塩竈市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n"/>
      <c r="G6" s="11" t="inlineStr">
        <is>
          <t>不明</t>
        </is>
      </c>
      <c r="H6" s="13" t="n"/>
      <c r="I6" s="13" t="inlineStr">
        <is>
          <t>不明</t>
        </is>
      </c>
      <c r="J6" s="13" t="inlineStr">
        <is>
          <t>未確認</t>
        </is>
      </c>
      <c r="K6" s="11" t="n"/>
      <c r="L6" s="11" t="inlineStr">
        <is>
          <t>第3次塩竈市環境基本計画</t>
        </is>
      </c>
      <c r="M6" s="11" t="inlineStr">
        <is>
          <t>R7〜R16</t>
        </is>
      </c>
      <c r="N6" s="13" t="n">
        <v>16</v>
      </c>
      <c r="O6" s="13" t="inlineStr">
        <is>
          <t>確認済</t>
        </is>
      </c>
      <c r="P6" s="13" t="inlineStr">
        <is>
          <t>策定済</t>
        </is>
      </c>
      <c r="Q6" s="14" t="inlineStr">
        <is>
          <t>https://www.city.shiogama.miyagi.jp/soshiki/18/50557.html</t>
        </is>
      </c>
      <c r="R6" s="11" t="inlineStr">
        <is>
          <t>交通：市の地域公共交通計画は検索（市サイト内含む）で見つからず（計画なしの可能性、要確認）。環境：第3次計画R7〜R16、素案パブコメ https://www.city.shiogama.miyagi.jp/soshiki/18/49050.html を経て策定（ページ更新R7.4.18）。参考：循環型社会形成推進地域計画 R5.4〜R10.3。</t>
        </is>
      </c>
      <c r="S6" s="17" t="inlineStr">
        <is>
          <t>環境のみ調査</t>
        </is>
      </c>
    </row>
    <row r="7">
      <c r="A7" s="11" t="n">
        <v>4</v>
      </c>
      <c r="B7" s="11" t="inlineStr">
        <is>
          <t>気仙沼市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第2次気仙沼市総合交通計画（2次改定版）</t>
        </is>
      </c>
      <c r="G7" s="11" t="inlineStr">
        <is>
          <t>H30〜R8（目標年次R8）</t>
        </is>
      </c>
      <c r="H7" s="16" t="n">
        <v>8</v>
      </c>
      <c r="I7" s="13" t="inlineStr">
        <is>
          <t>推定</t>
        </is>
      </c>
      <c r="J7" s="13" t="inlineStr">
        <is>
          <t>着手済</t>
        </is>
      </c>
      <c r="K7" s="14" t="inlineStr">
        <is>
          <t>https://www.kesennuma.miyagi.jp/li/shisei/150/020/index.html</t>
        </is>
      </c>
      <c r="L7" s="11" t="n"/>
      <c r="M7" s="11" t="inlineStr">
        <is>
          <t>不明</t>
        </is>
      </c>
      <c r="N7" s="13" t="n"/>
      <c r="O7" s="13" t="inlineStr">
        <is>
          <t>不明</t>
        </is>
      </c>
      <c r="P7" s="13" t="inlineStr">
        <is>
          <t>未確認</t>
        </is>
      </c>
      <c r="Q7" s="11" t="n"/>
      <c r="R7" s="11" t="inlineStr">
        <is>
          <t>交通：第2次はH30.2策定・R3.6.28二次改定、目標年次R8（県の市町村計画一覧 https://www.pref.miyagi.jp/documents/7752/02_r8_sityousonkeikaku.pdf の検索要約より）。同資料で第3次気仙沼市総合交通計画を策定中と記載あり→着手済と判断（要確認）。法定地域公共交通計画としての位置付けは未確認。R8.7にAIデマンド交通導入業務プロポーザル https://www.kesennuma.miyagi.jp/sec/s023/020/010/010/20260706170359.html 。環境：市公式サイト内検索で環境基本計画ヒットせず（計画なしの可能性、要確認）。WebFetchは市サイトblocked。 地球温暖化対策実行計画（区域施策編）のパブコメ実績・気仙沼市持続可能なまち推進計画（R7.7）あり https://www.kesennuma.miyagi.jp/li/life/020/080/070/index.html 。</t>
        </is>
      </c>
      <c r="S7" s="17" t="inlineStr">
        <is>
          <t>交通のみ調査</t>
        </is>
      </c>
    </row>
    <row r="8">
      <c r="A8" s="11" t="n">
        <v>5</v>
      </c>
      <c r="B8" s="11" t="inlineStr">
        <is>
          <t>白石市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白石市地域公共交通計画</t>
        </is>
      </c>
      <c r="G8" s="11" t="inlineStr">
        <is>
          <t>R5〜R9（推定）</t>
        </is>
      </c>
      <c r="H8" s="16" t="n">
        <v>9</v>
      </c>
      <c r="I8" s="13" t="inlineStr">
        <is>
          <t>推定</t>
        </is>
      </c>
      <c r="J8" s="13" t="inlineStr">
        <is>
          <t>未確認</t>
        </is>
      </c>
      <c r="K8" s="14" t="inlineStr">
        <is>
          <t>https://www.city.shiroishi.miyagi.jp/uploaded/attachment/22013.pdf</t>
        </is>
      </c>
      <c r="L8" s="11" t="inlineStr">
        <is>
          <t>第3次白石市環境基本計画</t>
        </is>
      </c>
      <c r="M8" s="11" t="inlineStr">
        <is>
          <t>不明（H31.4公表）</t>
        </is>
      </c>
      <c r="N8" s="13" t="n"/>
      <c r="O8" s="13" t="inlineStr">
        <is>
          <t>不明</t>
        </is>
      </c>
      <c r="P8" s="13" t="inlineStr">
        <is>
          <t>未確認</t>
        </is>
      </c>
      <c r="Q8" s="14" t="inlineStr">
        <is>
          <t>https://www.city.shiroishi.miyagi.jp/soshiki/18/</t>
        </is>
      </c>
      <c r="R8" s="11" t="inlineStr">
        <is>
          <t>交通：R5.3策定（前身の網形成計画はH29.6）、計画ページ https://www.city.shiroishi.miyagi.jp/soshiki/17/27078.html 。期間は検索で確認できず5年と仮定しR9終期を推定→R9終期なら次期策定はR8〜R9着手見込み（有望・要確認）。環境：第3次計画と第3次温暖化対策実行計画をH31.4.23掲載、期間不明（10年ならR10頃終期）。広域：宮城県地域公共交通計画R8〜R14あり（県計画、検索要約より）。佐賀県白石町・千葉県白井市とは別。</t>
        </is>
      </c>
      <c r="S8" s="15" t="inlineStr">
        <is>
          <t>調査済</t>
        </is>
      </c>
    </row>
    <row r="9">
      <c r="A9" s="11" t="n">
        <v>6</v>
      </c>
      <c r="B9" s="11" t="inlineStr">
        <is>
          <t>名取市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名取市地域公共交通計画</t>
        </is>
      </c>
      <c r="G9" s="11" t="inlineStr">
        <is>
          <t>R5〜R9</t>
        </is>
      </c>
      <c r="H9" s="13" t="n">
        <v>9</v>
      </c>
      <c r="I9" s="13" t="inlineStr">
        <is>
          <t>確認済</t>
        </is>
      </c>
      <c r="J9" s="13" t="inlineStr">
        <is>
          <t>未確認</t>
        </is>
      </c>
      <c r="K9" s="14" t="inlineStr">
        <is>
          <t>https://www.city.natori.miyagi.jp/uploaded/attachment/9510.pdf</t>
        </is>
      </c>
      <c r="L9" s="11" t="inlineStr">
        <is>
          <t>第二次名取市環境基本計画</t>
        </is>
      </c>
      <c r="M9" s="11" t="inlineStr">
        <is>
          <t>不明（H30〜R1の2か年で策定）</t>
        </is>
      </c>
      <c r="N9" s="13" t="n"/>
      <c r="O9" s="13" t="inlineStr">
        <is>
          <t>不明</t>
        </is>
      </c>
      <c r="P9" s="13" t="inlineStr">
        <is>
          <t>未確認</t>
        </is>
      </c>
      <c r="Q9" s="14" t="inlineStr">
        <is>
          <t>https://www.city.natori.miyagi.jp/uploaded/attachment/10172.pdf</t>
        </is>
      </c>
      <c r="R9" s="11" t="inlineStr">
        <is>
          <t>交通：R5.3.28策定、R9終期。次期計画の策定業務・プロポーザルは検索で未確認。R8.8.25にR8年度名取市地域公共交通活性化推進協議会開催 https://www.city.natori.miyagi.jp/page/45227.html （次期計画の議題か要確認・有望）。計画ページ https://www.city.natori.miyagi.jp/page/4327.html 。環境：第二次計画の期間は検索で確認できず（R2開始10年ならR11終期と推定）。</t>
        </is>
      </c>
      <c r="S9" s="15" t="inlineStr">
        <is>
          <t>調査済</t>
        </is>
      </c>
    </row>
    <row r="10">
      <c r="A10" s="11" t="n">
        <v>7</v>
      </c>
      <c r="B10" s="11" t="inlineStr">
        <is>
          <t>角田市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角田市地域公共交通計画</t>
        </is>
      </c>
      <c r="G10" s="11" t="inlineStr">
        <is>
          <t>不明</t>
        </is>
      </c>
      <c r="H10" s="13" t="n"/>
      <c r="I10" s="13" t="inlineStr">
        <is>
          <t>不明</t>
        </is>
      </c>
      <c r="J10" s="13" t="inlineStr">
        <is>
          <t>着手済</t>
        </is>
      </c>
      <c r="K10" s="14" t="inlineStr">
        <is>
          <t>https://www.city.kakuda.lg.jp/soshiki/4/25038.html</t>
        </is>
      </c>
      <c r="L10" s="11" t="inlineStr">
        <is>
          <t>角田市第3次環境基本計画</t>
        </is>
      </c>
      <c r="M10" s="11" t="inlineStr">
        <is>
          <t>不明（R5策定）</t>
        </is>
      </c>
      <c r="N10" s="13" t="n"/>
      <c r="O10" s="13" t="inlineStr">
        <is>
          <t>不明</t>
        </is>
      </c>
      <c r="P10" s="13" t="inlineStr">
        <is>
          <t>未確認</t>
        </is>
      </c>
      <c r="Q10" s="11" t="n"/>
      <c r="R10" s="11" t="inlineStr">
        <is>
          <t>交通：市単独の地域公共交通計画（初策定）を策定中、案のパブコメ実施 https://www.city.kakuda.lg.jp/soshiki/4/25038.html 、R8.1.23に第3回活性化協議会 https://www.city.kakuda.lg.jp/uploaded/life/24126_87553_misc.pdf 。R8.3頃策定の可能性（策定完了・期間は未確認）。広域：阿武隈急行線地域公共交通計画（案）パブコメ https://www.city.kakuda.lg.jp/soshiki/4/24148.html 。環境：第3次環境基本計画R5策定（期間不明）、角田市地球温暖化対策総合計画 R6.3策定・R8.3修正 https://www.city.kakuda.lg.jp/uploaded/life/17642_48417_misc.pdf 。</t>
        </is>
      </c>
      <c r="S10" s="15" t="inlineStr">
        <is>
          <t>調査済</t>
        </is>
      </c>
    </row>
    <row r="11">
      <c r="A11" s="11" t="n">
        <v>8</v>
      </c>
      <c r="B11" s="11" t="inlineStr">
        <is>
          <t>多賀城市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多賀城市地域公共交通計画</t>
        </is>
      </c>
      <c r="G11" s="11" t="inlineStr">
        <is>
          <t>R8〜R12</t>
        </is>
      </c>
      <c r="H11" s="13" t="n">
        <v>12</v>
      </c>
      <c r="I11" s="13" t="inlineStr">
        <is>
          <t>確認済</t>
        </is>
      </c>
      <c r="J11" s="13" t="inlineStr">
        <is>
          <t>着手済</t>
        </is>
      </c>
      <c r="K11" s="14" t="inlineStr">
        <is>
          <t>https://www.city.tagajo.miyagi.jp/toshike/kurashi/kotsu/documents/keikaku.pdf</t>
        </is>
      </c>
      <c r="L11" s="11" t="inlineStr">
        <is>
          <t>第三次多賀城市環境基本計画（R8.3改定）</t>
        </is>
      </c>
      <c r="M11" s="11" t="inlineStr">
        <is>
          <t>不明</t>
        </is>
      </c>
      <c r="N11" s="13" t="n"/>
      <c r="O11" s="13" t="inlineStr">
        <is>
          <t>不明</t>
        </is>
      </c>
      <c r="P11" s="13" t="inlineStr">
        <is>
          <t>策定済</t>
        </is>
      </c>
      <c r="Q11" s="11" t="n"/>
      <c r="R11" s="11" t="inlineStr">
        <is>
          <t>交通：新計画（R8〜R12）の案「令和8年 月 閲覧用」を確認（旧：多賀城市生活交通ネットワーク計画）。策定完了（R8.3頃か）は未確認のため着手済扱い、実質策定済の可能性大。協議会 https://www.city.tagajo.miyagi.jp/toshike/kurashi/kotsu/kokyo.html 。環境：第三次環境基本計画がR8.3改定と検索要約で確認、計画本体URL・期間は未取得。温暖化対策実行計画（区域施策編）https://www.city.tagajo.miyagi.jp/kankyo/shise/shisaku/kekaku/ondanka.html 。</t>
        </is>
      </c>
      <c r="S11" s="15" t="inlineStr">
        <is>
          <t>調査済</t>
        </is>
      </c>
    </row>
    <row r="12">
      <c r="A12" s="11" t="n">
        <v>9</v>
      </c>
      <c r="B12" s="11" t="inlineStr">
        <is>
          <t>岩沼市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岩沼市民バス運行計画</t>
        </is>
      </c>
      <c r="G12" s="11" t="inlineStr">
        <is>
          <t>R6〜R12</t>
        </is>
      </c>
      <c r="H12" s="13" t="n">
        <v>12</v>
      </c>
      <c r="I12" s="13" t="inlineStr">
        <is>
          <t>確認済</t>
        </is>
      </c>
      <c r="J12" s="13" t="inlineStr">
        <is>
          <t>未確認</t>
        </is>
      </c>
      <c r="K12" s="14" t="inlineStr">
        <is>
          <t>https://www.city.iwanuma.miyagi.jp/kurashi/kotsu/shimin-bus/documents/shinbuskeikaku.pdf</t>
        </is>
      </c>
      <c r="L12" s="11" t="inlineStr">
        <is>
          <t>岩沼市環境基本計画</t>
        </is>
      </c>
      <c r="M12" s="11" t="inlineStr">
        <is>
          <t>H28〜R7</t>
        </is>
      </c>
      <c r="N12" s="13" t="n">
        <v>7</v>
      </c>
      <c r="O12" s="13" t="inlineStr">
        <is>
          <t>確認済</t>
        </is>
      </c>
      <c r="P12" s="13" t="inlineStr">
        <is>
          <t>未確認</t>
        </is>
      </c>
      <c r="Q12" s="14" t="inlineStr">
        <is>
          <t>https://www.city.iwanuma.miyagi.jp/kurashi/kankyo-eisei/kankyo-eisei/kankyo-keikaku.html</t>
        </is>
      </c>
      <c r="R12" s="11" t="inlineStr">
        <is>
          <t>交通：法定の地域公共交通計画は検索で確認できず、市民バス運行計画（R4.11策定、R6〜R12）が実質的な交通計画。環境：R7(2025)で期間満了だが次期（第2次）計画の策定・パブコメ・審議会情報は検索で見つからず（要確認・有望）。宮城県岩沼市（他県の類似名に注意）。</t>
        </is>
      </c>
      <c r="S12" s="15" t="inlineStr">
        <is>
          <t>調査済</t>
        </is>
      </c>
    </row>
    <row r="13">
      <c r="A13" s="11" t="n">
        <v>10</v>
      </c>
      <c r="B13" s="11" t="inlineStr">
        <is>
          <t>登米市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登米市地域公共交通計画</t>
        </is>
      </c>
      <c r="G13" s="11" t="inlineStr">
        <is>
          <t>R7〜R11</t>
        </is>
      </c>
      <c r="H13" s="13" t="n">
        <v>11</v>
      </c>
      <c r="I13" s="13" t="inlineStr">
        <is>
          <t>確認済</t>
        </is>
      </c>
      <c r="J13" s="13" t="inlineStr">
        <is>
          <t>策定済</t>
        </is>
      </c>
      <c r="K13" s="14" t="inlineStr">
        <is>
          <t>https://www.city.tome.miyagi.jp/shiminkyodo/koukyoukoutsuu/documents/tomechikikoukyokotsukeikakuan.pdf</t>
        </is>
      </c>
      <c r="L13" s="11" t="inlineStr">
        <is>
          <t>第3次登米市環境基本計画</t>
        </is>
      </c>
      <c r="M13" s="11" t="inlineStr">
        <is>
          <t>R8〜R17</t>
        </is>
      </c>
      <c r="N13" s="13" t="n">
        <v>17</v>
      </c>
      <c r="O13" s="13" t="inlineStr">
        <is>
          <t>確認済</t>
        </is>
      </c>
      <c r="P13" s="13" t="inlineStr">
        <is>
          <t>策定済</t>
        </is>
      </c>
      <c r="Q13" s="14" t="inlineStr">
        <is>
          <t>https://www.city.tome.miyagi.jp/kankyo/shisejoho/gyose/sogokekaku/documents/3rdenviplan.pdf</t>
        </is>
      </c>
      <c r="R13" s="11" t="inlineStr">
        <is>
          <t>交通：R7〜R11の新計画（前身は第二次公共交通再編計画）。概要 https://www.city.tome.miyagi.jp/shiminkyodo/documents/tomeptp-gaiyou.pdf 。環境：第2次(H28〜R7)の後継として第3次(R8〜R17、前期/後期5年)を策定、パブコメ意見公表 https://www.city.tome.miyagi.jp/koshitu/shisejoho/kohokocho/publiccomment/ikenkobo/documents/080130_iken.pdf 。両計画とも更新済みで直近の改定需要は低い。</t>
        </is>
      </c>
      <c r="S13" s="15" t="inlineStr">
        <is>
          <t>調査済</t>
        </is>
      </c>
    </row>
    <row r="14">
      <c r="A14" s="11" t="n">
        <v>11</v>
      </c>
      <c r="B14" s="11" t="inlineStr">
        <is>
          <t>栗原市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栗原市地域公共交通計画（前身：栗原市地域公共交通網形成計画）</t>
        </is>
      </c>
      <c r="G14" s="11" t="inlineStr">
        <is>
          <t>不明</t>
        </is>
      </c>
      <c r="H14" s="13" t="n"/>
      <c r="I14" s="13" t="inlineStr">
        <is>
          <t>不明</t>
        </is>
      </c>
      <c r="J14" s="13" t="inlineStr">
        <is>
          <t>未確認</t>
        </is>
      </c>
      <c r="K14" s="14" t="inlineStr">
        <is>
          <t>https://www.kuriharacity.jp/li/010/020/120/index.html</t>
        </is>
      </c>
      <c r="L14" s="11" t="inlineStr">
        <is>
          <t>第2次栗原市環境基本計画</t>
        </is>
      </c>
      <c r="M14" s="11" t="inlineStr">
        <is>
          <t>不明</t>
        </is>
      </c>
      <c r="N14" s="13" t="n"/>
      <c r="O14" s="13" t="inlineStr">
        <is>
          <t>不明</t>
        </is>
      </c>
      <c r="P14" s="13" t="inlineStr">
        <is>
          <t>未確認</t>
        </is>
      </c>
      <c r="Q14" s="14" t="inlineStr">
        <is>
          <t>https://www.kuriharacity.jp/li/010/020/080/index.html</t>
        </is>
      </c>
      <c r="R14" s="11" t="inlineStr">
        <is>
          <t>交通：市企画部所管の地域公共交通計画の存在は市サイトで確認、期間は検索で確認できず。広報くりはら2024『特集 生まれ変わる地域公共交通』 https://www.kuriharacity.jp/w009/030/010/2024/379/kurihara379_02.pdf 。環境：第2次計画の存在のみ確認、期間不明（第2次総合計画がH29〜R8のため連動していればR8終期の可能性、要確認）。</t>
        </is>
      </c>
      <c r="S14" s="15" t="inlineStr">
        <is>
          <t>調査済</t>
        </is>
      </c>
    </row>
    <row r="15">
      <c r="A15" s="11" t="n">
        <v>12</v>
      </c>
      <c r="B15" s="11" t="inlineStr">
        <is>
          <t>東松島市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東松島市地域公共交通網形成計画（+再編実施計画 H30.12）</t>
        </is>
      </c>
      <c r="G15" s="11" t="inlineStr">
        <is>
          <t>H29〜R3</t>
        </is>
      </c>
      <c r="H15" s="13" t="n">
        <v>3</v>
      </c>
      <c r="I15" s="13" t="inlineStr">
        <is>
          <t>確認済</t>
        </is>
      </c>
      <c r="J15" s="13" t="inlineStr">
        <is>
          <t>未確認</t>
        </is>
      </c>
      <c r="K15" s="14" t="inlineStr">
        <is>
          <t>https://www.city.higashimatsushima.miyagi.jp/shisei/shisaku-keikaku/kihonkeikaku/kokyokotsumo-keisei.html</t>
        </is>
      </c>
      <c r="L15" s="11" t="inlineStr">
        <is>
          <t>東松島市第2次環境基本計画</t>
        </is>
      </c>
      <c r="M15" s="11" t="inlineStr">
        <is>
          <t>H29〜R8</t>
        </is>
      </c>
      <c r="N15" s="13" t="n">
        <v>8</v>
      </c>
      <c r="O15" s="13" t="inlineStr">
        <is>
          <t>確認済</t>
        </is>
      </c>
      <c r="P15" s="13" t="inlineStr">
        <is>
          <t>未確認</t>
        </is>
      </c>
      <c r="Q15" s="14" t="inlineStr">
        <is>
          <t>https://www.city.higashimatsushima.miyagi.jp/shisei/shisaku-keikaku/kihonkeikaku/index.html</t>
        </is>
      </c>
      <c r="R15" s="11" t="inlineStr">
        <is>
          <t>交通：網形成計画はH29.11策定・H29〜R3。後継の地域公共交通計画は検索で確認できず（期間満了後の更新状況要確認、有望）。環境：第2次はFY2017〜2026(R8)で本年度終期、第3次策定作業はR8中に進行しているはずだが検索では未確認（有望）。関連：地球温暖化対策総合計画 https://www.city.higashimatsushima.miyagi.jp/shisei/shisaku-keikaku/kihonkeikaku/chikyuuonndannka.html 、第3次総合計画も策定中。</t>
        </is>
      </c>
      <c r="S15" s="15" t="inlineStr">
        <is>
          <t>調査済</t>
        </is>
      </c>
    </row>
    <row r="16">
      <c r="A16" s="11" t="n">
        <v>13</v>
      </c>
      <c r="B16" s="11" t="inlineStr">
        <is>
          <t>大崎市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大崎市地域公共交通計画（都市・地域総合交通戦略と一体）</t>
        </is>
      </c>
      <c r="G16" s="11" t="inlineStr">
        <is>
          <t>R3〜R12</t>
        </is>
      </c>
      <c r="H16" s="13" t="n">
        <v>12</v>
      </c>
      <c r="I16" s="13" t="inlineStr">
        <is>
          <t>確認済</t>
        </is>
      </c>
      <c r="J16" s="13" t="inlineStr">
        <is>
          <t>未確認</t>
        </is>
      </c>
      <c r="K16" s="14" t="inlineStr">
        <is>
          <t>https://www.city.osaki.miyagi.jp/shisei/soshikikarasagasu/shiminkyodousuishimbu/machizukurisuishinka/3/2/1/3214.html</t>
        </is>
      </c>
      <c r="L16" s="11" t="inlineStr">
        <is>
          <t>第2次大崎市環境基本計画</t>
        </is>
      </c>
      <c r="M16" s="11" t="inlineStr">
        <is>
          <t>R2〜R11</t>
        </is>
      </c>
      <c r="N16" s="13" t="n">
        <v>11</v>
      </c>
      <c r="O16" s="13" t="inlineStr">
        <is>
          <t>確認済</t>
        </is>
      </c>
      <c r="P16" s="13" t="inlineStr">
        <is>
          <t>未確認</t>
        </is>
      </c>
      <c r="Q16" s="14" t="inlineStr">
        <is>
          <t>https://www.city.osaki.miyagi.jp/material/files/group/12/20200421-200432.pdf</t>
        </is>
      </c>
      <c r="R16" s="11" t="inlineStr">
        <is>
          <t>交通：前身は網形成計画。中間案パブコメR4.1.7〜1.26（https://www.city.osaki.miyagi.jp/shisei/soshikikarasagasu/shiminkyodousuishimbu/machizukurisuishinka/3/1/1/3215.html）、期間は中間案記載の10年(R3〜R12)。広域：大崎定住自立圏（大崎市・色麻・加美・涌谷・美里）第3次共生ビジョン https://www.city.osaki.miyagi.jp/material/files/group/10/3rd_vision_20220331.pdf （交通専用の広域計画は未確認）。第3次大崎市総合計画策定支援プロポ実施 https://www.city.osaki.miyagi.jp/shisei/soshikikarasagasu/shiminkyodousuishimbu/seisakuka/2_1/20665.html 。環境：R2〜R11、次期作業なし。</t>
        </is>
      </c>
      <c r="S16" s="15" t="inlineStr">
        <is>
          <t>調査済</t>
        </is>
      </c>
    </row>
    <row r="17">
      <c r="A17" s="11" t="n">
        <v>14</v>
      </c>
      <c r="B17" s="11" t="inlineStr">
        <is>
          <t>富谷市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富谷市地域公共交通計画</t>
        </is>
      </c>
      <c r="G17" s="11" t="inlineStr">
        <is>
          <t>R7〜R11</t>
        </is>
      </c>
      <c r="H17" s="13" t="n">
        <v>11</v>
      </c>
      <c r="I17" s="13" t="inlineStr">
        <is>
          <t>確認済</t>
        </is>
      </c>
      <c r="J17" s="13" t="inlineStr">
        <is>
          <t>策定済</t>
        </is>
      </c>
      <c r="K17" s="14" t="inlineStr">
        <is>
          <t>https://www.tomiya-city.miyagi.jp/uploads/pdf/b4883b320d97c8ac81041749b47dad0a9397ae5e.pdf</t>
        </is>
      </c>
      <c r="L17" s="11" t="n"/>
      <c r="M17" s="11" t="inlineStr">
        <is>
          <t>不明</t>
        </is>
      </c>
      <c r="N17" s="13" t="n"/>
      <c r="O17" s="13" t="inlineStr">
        <is>
          <t>不明</t>
        </is>
      </c>
      <c r="P17" s="13" t="inlineStr">
        <is>
          <t>未確認</t>
        </is>
      </c>
      <c r="Q17" s="11" t="n"/>
      <c r="R17" s="11" t="inlineStr">
        <is>
          <t>交通：R7.3策定（R6年度）、t_urlはR7.3協議会資料の計画（案）。都市・地域総合交通戦略 https://www.tomiya-city.miyagi.jp/shisei/keikaku/keikaku/nek5ga2.html 。環境：単独の環境基本計画は検索で確認できず（計画なしの可能性、市HP計画一覧 https://www.tomiya-city.miyagi.jp/shisei/keikaku/ 要確認）。温暖化対策実行計画は存在。第2次富谷市総合計画をR8年度開始で策定。</t>
        </is>
      </c>
      <c r="S17" s="17" t="inlineStr">
        <is>
          <t>交通のみ調査</t>
        </is>
      </c>
    </row>
    <row r="18">
      <c r="A18" s="11" t="n">
        <v>15</v>
      </c>
      <c r="B18" s="11" t="inlineStr">
        <is>
          <t>蔵王町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蔵王町地域公共交通計画</t>
        </is>
      </c>
      <c r="G18" s="11" t="inlineStr">
        <is>
          <t>R4〜R8</t>
        </is>
      </c>
      <c r="H18" s="13" t="n">
        <v>8</v>
      </c>
      <c r="I18" s="13" t="inlineStr">
        <is>
          <t>確認済</t>
        </is>
      </c>
      <c r="J18" s="13" t="inlineStr">
        <is>
          <t>未確認</t>
        </is>
      </c>
      <c r="K18" s="14" t="inlineStr">
        <is>
          <t>https://www.town.zao.miyagi.jp/kurashi_guide/seikatsu_kankyo/koutuu/koukyoukoutsuu.html</t>
        </is>
      </c>
      <c r="L18" s="11" t="inlineStr">
        <is>
          <t>第2次蔵王町環境基本計画</t>
        </is>
      </c>
      <c r="M18" s="11" t="inlineStr">
        <is>
          <t>R5〜R14</t>
        </is>
      </c>
      <c r="N18" s="13" t="n">
        <v>14</v>
      </c>
      <c r="O18" s="13" t="inlineStr">
        <is>
          <t>確認済</t>
        </is>
      </c>
      <c r="P18" s="13" t="inlineStr">
        <is>
          <t>未確認</t>
        </is>
      </c>
      <c r="Q18" s="14" t="inlineStr">
        <is>
          <t>https://town.zao.miyagi.jp/section/kankyo/kankyou/kihonkeikaku.files/kankyoukeikaku2.pdf</t>
        </is>
      </c>
      <c r="R18" s="11" t="inlineStr">
        <is>
          <t>交通：R8(2026)年度終期。R8施政方針（R8.3.2）で次期計画策定に向けた準備に言及との検索要約あり https://www.town.zao.miyagi.jp/section/oshirase/hiroba/message.files/R8shisei.pdf 。交通計画策定支援業務の公告は未確認（町HP公募型プロポ一覧 https://town.zao.miyagi.jp/kurashi_guide/sangyo_kensetsu/nyuusatu/puropo.html 要確認・最有望）。概要版 https://www.town.zao.miyagi.jp/kurashi_guide/seikatsu_kankyo/koutuu/koukyoukoutsuu.files/koukyoukoutsuu_gaiyou0330.pdf 。関連：第六次長期総合計画策定支援プロポ（R8.6.5）https://www.town.zao.miyagi.jp/kurashi_guide/sangyo_kensetsu/nyuusatu/koukoku/soumu20260605.html 。広域の仙南地域公共交通計画は検索で確認できず。</t>
        </is>
      </c>
      <c r="S18" s="15" t="inlineStr">
        <is>
          <t>調査済</t>
        </is>
      </c>
    </row>
    <row r="19">
      <c r="A19" s="11" t="n">
        <v>16</v>
      </c>
      <c r="B19" s="11" t="inlineStr">
        <is>
          <t>七ヶ宿町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計画なし</t>
        </is>
      </c>
      <c r="Q19" s="11" t="n"/>
      <c r="R19" s="11" t="inlineStr">
        <is>
          <t>交通：町営バス3路線を運行（https://town.shichikashuku.miyagi.jp/life/bus.html）が、地域公共交通計画は町の計画一覧（https://town.shichikashuku.miyagi.jp/town/plan/）の検索結果に見当たらず。環境：環境基本計画は確認できず（計画なしと推定）、代替として再生可能エネルギー発電基本計画あり。広域の仙南地域計画も未確認。</t>
        </is>
      </c>
      <c r="S19" s="17" t="inlineStr">
        <is>
          <t>環境のみ調査</t>
        </is>
      </c>
    </row>
    <row r="20">
      <c r="A20" s="11" t="n">
        <v>17</v>
      </c>
      <c r="B20" s="11" t="inlineStr">
        <is>
          <t>大河原町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n"/>
      <c r="G20" s="11" t="inlineStr">
        <is>
          <t>不明</t>
        </is>
      </c>
      <c r="H20" s="13" t="n"/>
      <c r="I20" s="13" t="inlineStr">
        <is>
          <t>不明</t>
        </is>
      </c>
      <c r="J20" s="13" t="inlineStr">
        <is>
          <t>未確認</t>
        </is>
      </c>
      <c r="K20" s="14" t="inlineStr">
        <is>
          <t>https://www.town.ogawara.miyagi.jp/1292.htm</t>
        </is>
      </c>
      <c r="L20" s="11" t="inlineStr">
        <is>
          <t>第2次大河原町環境基本計画</t>
        </is>
      </c>
      <c r="M20" s="11" t="inlineStr">
        <is>
          <t>R7〜（終期不明）</t>
        </is>
      </c>
      <c r="N20" s="16" t="n"/>
      <c r="O20" s="13" t="inlineStr">
        <is>
          <t>推定</t>
        </is>
      </c>
      <c r="P20" s="13" t="inlineStr">
        <is>
          <t>策定済</t>
        </is>
      </c>
      <c r="Q20" s="14" t="inlineStr">
        <is>
          <t>https://www.town.ogawara.miyagi.jp/7882.htm</t>
        </is>
      </c>
      <c r="R20" s="11" t="inlineStr">
        <is>
          <t>交通：大河原町地域公共交通協議会（https://www.town.ogawara.miyagi.jp/1292.htm）とデマンド型乗合タクシー（H24〜）は確認、法定の地域公共交通計画の名称・期間は検索で確認できず。広域の仙南地域公共交通計画も未確認。環境：第1次はH23〜R6、後継の第2次の策定ページあり（期間は検索結果に記載なし、R7開始と推定・採択時期要確認）。</t>
        </is>
      </c>
      <c r="S20" s="15" t="inlineStr">
        <is>
          <t>調査済</t>
        </is>
      </c>
    </row>
    <row r="21">
      <c r="A21" s="11" t="n">
        <v>18</v>
      </c>
      <c r="B21" s="11" t="inlineStr">
        <is>
          <t>村田町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交通：村田町地域公共交通会議（道路運送法）設置要綱 https://www.town.murata.miyagi.jp/cyosei/on-line/reiki_int/reiki_honbun/c215RG00000781.html 、町民バス等運行 https://www.town.murata.miyagi.jp/kurashi/kostu/bus/index.html 。法定の地域公共交通計画は検索で確認できず（未策定の可能性）。環境：環境基本計画は町HP検索で見当たらず（計画なしと推定）。広域の仙南地域計画も未確認。</t>
        </is>
      </c>
      <c r="S21" s="17" t="inlineStr">
        <is>
          <t>環境のみ調査</t>
        </is>
      </c>
    </row>
    <row r="22">
      <c r="A22" s="11" t="n">
        <v>19</v>
      </c>
      <c r="B22" s="11" t="inlineStr">
        <is>
          <t>柴田町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阿武隈急行線地域公共交通計画（福島市・伊達市・角田市・柴田町・丸森町・両県共同）</t>
        </is>
      </c>
      <c r="G22" s="11" t="inlineStr">
        <is>
          <t>R7〜（詳細不明）</t>
        </is>
      </c>
      <c r="H22" s="13" t="n"/>
      <c r="I22" s="13" t="inlineStr">
        <is>
          <t>不明</t>
        </is>
      </c>
      <c r="J22" s="13" t="inlineStr">
        <is>
          <t>策定済</t>
        </is>
      </c>
      <c r="K22" s="14" t="inlineStr">
        <is>
          <t>https://www.pref.miyagi.jp/soshiki/soukou/abukumakyougikai-keikaku2.html</t>
        </is>
      </c>
      <c r="L22" s="11" t="inlineStr">
        <is>
          <t>第3次柴田町環境基本計画</t>
        </is>
      </c>
      <c r="M22" s="11" t="inlineStr">
        <is>
          <t>R5〜R14（推定）</t>
        </is>
      </c>
      <c r="N22" s="16" t="n">
        <v>14</v>
      </c>
      <c r="O22" s="13" t="inlineStr">
        <is>
          <t>推定</t>
        </is>
      </c>
      <c r="P22" s="13" t="inlineStr">
        <is>
          <t>未確認</t>
        </is>
      </c>
      <c r="Q22" s="14" t="inlineStr">
        <is>
          <t>https://www.town.shibata.miyagi.jp/index.cfm/82,54128,c,html/54128/20230329-105154.pdf</t>
        </is>
      </c>
      <c r="R22" s="11" t="inlineStr">
        <is>
          <t>交通：町単独の地域公共交通計画は検索で見当たらず（デマンド型乗合タクシー「はなみちゃんGO」運行）。阿武隈急行線沿線協議会が旧網形成計画（2019〜2028）の後継として新計画を策定、パブコメR7.11.7〜11.27、結果公表R7.12.22。宮城県地域公共交通計画（R8〜R14）も町域を含む https://www.pref.miyagi.jp/soshiki/soukou/20240520.html 。環境：R5.3策定の第3次計画、R5〜R14の10年間（検索要約で言及、本文未検証のため推定）。</t>
        </is>
      </c>
      <c r="S22" s="15" t="inlineStr">
        <is>
          <t>調査済</t>
        </is>
      </c>
    </row>
    <row r="23">
      <c r="A23" s="11" t="n">
        <v>20</v>
      </c>
      <c r="B23" s="11" t="inlineStr">
        <is>
          <t>川崎町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川崎町地域公共交通総合連携計画（旧制度計画）</t>
        </is>
      </c>
      <c r="G23" s="11" t="inlineStr">
        <is>
          <t>不明</t>
        </is>
      </c>
      <c r="H23" s="13" t="n"/>
      <c r="I23" s="13" t="inlineStr">
        <is>
          <t>不明</t>
        </is>
      </c>
      <c r="J23" s="13" t="inlineStr">
        <is>
          <t>未確認</t>
        </is>
      </c>
      <c r="K23" s="14" t="inlineStr">
        <is>
          <t>https://www.town.kawasaki.miyagi.jp/soshiki/chishin/484.html</t>
        </is>
      </c>
      <c r="L23" s="11" t="n"/>
      <c r="M23" s="11" t="inlineStr">
        <is>
          <t>不明</t>
        </is>
      </c>
      <c r="N23" s="13" t="n"/>
      <c r="O23" s="13" t="inlineStr">
        <is>
          <t>不明</t>
        </is>
      </c>
      <c r="P23" s="13" t="inlineStr">
        <is>
          <t>計画なし</t>
        </is>
      </c>
      <c r="Q23" s="11" t="n"/>
      <c r="R23" s="11" t="inlineStr">
        <is>
          <t>交通：町の計画は旧法の総合連携計画のみ確認（期間不明、失効の可能性大）。地域公共交通計画（活性化再生法改正後）は未確認。ミヤコーバス川崎線（村田〜川崎）がR8.10.1廃止予定との県資料あり https://www.pref.miyagi.jp/documents/66328/09_siryou09_.pdf ―公共交通再編・計画策定ニーズあり。宮城県地域公共交通計画（R8〜R14）が町域を含む。環境：環境基本計画は検索で見当たらず。代替として川崎町地球温暖化対策実行計画（各種計画ページ、R7.4.1更新） https://www.town.kawasaki.miyagi.jp/life/6/30/124/ 。</t>
        </is>
      </c>
      <c r="S23" s="15" t="inlineStr">
        <is>
          <t>調査済</t>
        </is>
      </c>
    </row>
    <row r="24">
      <c r="A24" s="11" t="n">
        <v>21</v>
      </c>
      <c r="B24" s="11" t="inlineStr">
        <is>
          <t>丸森町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丸森町地域公共交通計画</t>
        </is>
      </c>
      <c r="G24" s="11" t="inlineStr">
        <is>
          <t>R6〜R10（推定）</t>
        </is>
      </c>
      <c r="H24" s="16" t="n">
        <v>10</v>
      </c>
      <c r="I24" s="13" t="inlineStr">
        <is>
          <t>推定</t>
        </is>
      </c>
      <c r="J24" s="13" t="inlineStr">
        <is>
          <t>未確認</t>
        </is>
      </c>
      <c r="K24" s="14" t="inlineStr">
        <is>
          <t>http://www.town.marumori.miyagi.jp/common/img/content/content_20240411_180249.pdf</t>
        </is>
      </c>
      <c r="L24" s="11" t="n"/>
      <c r="M24" s="11" t="inlineStr">
        <is>
          <t>不明</t>
        </is>
      </c>
      <c r="N24" s="13" t="n"/>
      <c r="O24" s="13" t="inlineStr">
        <is>
          <t>不明</t>
        </is>
      </c>
      <c r="P24" s="13" t="inlineStr">
        <is>
          <t>計画なし</t>
        </is>
      </c>
      <c r="Q24" s="11" t="n"/>
      <c r="R24" s="11" t="inlineStr">
        <is>
          <t>交通：R5年度第4回地域公共交通会議でパブコメ結果報告、R6.4公表（計画ページ https://www.town.marumori.miyagi.jp/life/detail.php?content=1312 ）。期間は5年と推定。阿武隈急行線地域公共交通計画（共同、R7年度策定、パブコメR7.11）も町域を含む https://www.pref.miyagi.jp/soshiki/soukou/abukumakyougikai-keikaku2.html 。環境：環境基本計画は町サイト検索で見当たらず（第六次総合計画2025-2034等のみ）。</t>
        </is>
      </c>
      <c r="S24" s="15" t="inlineStr">
        <is>
          <t>調査済</t>
        </is>
      </c>
    </row>
    <row r="25">
      <c r="A25" s="11" t="n">
        <v>22</v>
      </c>
      <c r="B25" s="11" t="inlineStr">
        <is>
          <t>亘理町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亘理町地域公共交通計画</t>
        </is>
      </c>
      <c r="G25" s="11" t="inlineStr">
        <is>
          <t>R6〜R10</t>
        </is>
      </c>
      <c r="H25" s="13" t="n">
        <v>10</v>
      </c>
      <c r="I25" s="13" t="inlineStr">
        <is>
          <t>確認済</t>
        </is>
      </c>
      <c r="J25" s="13" t="inlineStr">
        <is>
          <t>未確認</t>
        </is>
      </c>
      <c r="K25" s="14" t="inlineStr">
        <is>
          <t>https://www.town.watari.miyagi.jp/town/detail.php?content=1730</t>
        </is>
      </c>
      <c r="L25" s="11" t="inlineStr">
        <is>
          <t>第2次亘理町環境基本計画</t>
        </is>
      </c>
      <c r="M25" s="11" t="inlineStr">
        <is>
          <t>不明（R4.1頃公表）</t>
        </is>
      </c>
      <c r="N25" s="13" t="n"/>
      <c r="O25" s="13" t="inlineStr">
        <is>
          <t>不明</t>
        </is>
      </c>
      <c r="P25" s="13" t="inlineStr">
        <is>
          <t>未確認</t>
        </is>
      </c>
      <c r="Q25" s="14" t="inlineStr">
        <is>
          <t>https://www.town.watari.miyagi.jp/common/img/content/content_20220126_163920.pdf</t>
        </is>
      </c>
      <c r="R25" s="11" t="inlineStr">
        <is>
          <t>交通：パブコメR6.2.2〜2.16（https://www.town.watari.miyagi.jp/town/detail.php?content=1686 ）、R6.3策定、R6〜R10（5年）。本編PDF https://www.town.watari.miyagi.jp/common/img/content/content_20240405_084913.pdf 。環境：第2次計画の存在は検索で確認、期間は未確認（e_urlは環境基本計画関連と思われるPDF、町サイトはWebFetch遮断で未検証）。地球温暖化対策実行計画（区域施策編）も策定済 https://www.town.watari.miyagi.jp/town/detail.php?content=1811 。亘理・山元の共同交通計画は見当たらず（各町単独）。</t>
        </is>
      </c>
      <c r="S25" s="15" t="inlineStr">
        <is>
          <t>調査済</t>
        </is>
      </c>
    </row>
    <row r="26">
      <c r="A26" s="11" t="n">
        <v>23</v>
      </c>
      <c r="B26" s="11" t="inlineStr">
        <is>
          <t>山元町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山元町地域公共交通計画（R7.7変更）</t>
        </is>
      </c>
      <c r="G26" s="11" t="inlineStr">
        <is>
          <t>R6〜R10</t>
        </is>
      </c>
      <c r="H26" s="13" t="n">
        <v>10</v>
      </c>
      <c r="I26" s="13" t="inlineStr">
        <is>
          <t>確認済</t>
        </is>
      </c>
      <c r="J26" s="13" t="inlineStr">
        <is>
          <t>未確認</t>
        </is>
      </c>
      <c r="K26" s="14" t="inlineStr">
        <is>
          <t>https://www.town.yamamoto.miyagi.jp/uploaded/attachment/19314.pdf</t>
        </is>
      </c>
      <c r="L26" s="11" t="n"/>
      <c r="M26" s="11" t="inlineStr">
        <is>
          <t>不明</t>
        </is>
      </c>
      <c r="N26" s="13" t="n"/>
      <c r="O26" s="13" t="inlineStr">
        <is>
          <t>不明</t>
        </is>
      </c>
      <c r="P26" s="13" t="inlineStr">
        <is>
          <t>計画なし</t>
        </is>
      </c>
      <c r="Q26" s="11" t="n"/>
      <c r="R26" s="11" t="inlineStr">
        <is>
          <t>交通：H30.3網形成計画の後継としてR6.3策定、R7.7一部変更、計画ページ https://www.town.yamamoto.miyagi.jp/soshiki/9/24881.html 。パブコメR6.2.27〜3.11。町民バス「ぐるりん号」R7.1運行改正。環境：町サイト検索で環境基本計画は見当たらず。</t>
        </is>
      </c>
      <c r="S26" s="15" t="inlineStr">
        <is>
          <t>調査済</t>
        </is>
      </c>
    </row>
    <row r="27">
      <c r="A27" s="11" t="n">
        <v>24</v>
      </c>
      <c r="B27" s="11" t="inlineStr">
        <is>
          <t>松島町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計画なし</t>
        </is>
      </c>
      <c r="K27" s="11" t="n"/>
      <c r="L27" s="11" t="n"/>
      <c r="M27" s="11" t="inlineStr">
        <is>
          <t>不明</t>
        </is>
      </c>
      <c r="N27" s="13" t="n"/>
      <c r="O27" s="13" t="inlineStr">
        <is>
          <t>不明</t>
        </is>
      </c>
      <c r="P27" s="13" t="inlineStr">
        <is>
          <t>計画なし</t>
        </is>
      </c>
      <c r="Q27" s="11" t="n"/>
      <c r="R27" s="11" t="inlineStr">
        <is>
          <t>交通・環境とも町独自計画は検索で確認できず（町サイトの検索インデックスが薄く、存在しない確証はない＝要確認）。宮城県地域公共交通計画（R8〜R14）が町域を含む https://www.pref.miyagi.jp/soshiki/soukou/20240520.html 。</t>
        </is>
      </c>
      <c r="S27" s="17" t="inlineStr">
        <is>
          <t>環境のみ調査</t>
        </is>
      </c>
    </row>
    <row r="28">
      <c r="A28" s="11" t="n">
        <v>25</v>
      </c>
      <c r="B28" s="11" t="inlineStr">
        <is>
          <t>七ヶ浜町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n"/>
      <c r="G28" s="11" t="inlineStr">
        <is>
          <t>不明</t>
        </is>
      </c>
      <c r="H28" s="13" t="n"/>
      <c r="I28" s="13" t="inlineStr">
        <is>
          <t>不明</t>
        </is>
      </c>
      <c r="J28" s="13" t="inlineStr">
        <is>
          <t>計画なし</t>
        </is>
      </c>
      <c r="K28" s="11" t="n"/>
      <c r="L28" s="11" t="n"/>
      <c r="M28" s="11" t="inlineStr">
        <is>
          <t>不明</t>
        </is>
      </c>
      <c r="N28" s="13" t="n"/>
      <c r="O28" s="13" t="inlineStr">
        <is>
          <t>不明</t>
        </is>
      </c>
      <c r="P28" s="13" t="inlineStr">
        <is>
          <t>計画なし</t>
        </is>
      </c>
      <c r="Q28" s="11" t="n"/>
      <c r="R28" s="11" t="inlineStr">
        <is>
          <t>交通：町独自の地域公共交通計画は検索で確認できず。町民バス「ぐるりんこ」についてR7.7にアンケート調査を実施し、運行計画見直しに活用予定 https://www.shichigahama.com/benricho/oshirase/sanka3-100-12175.html 。R8.4.1ダイヤ改正。計画策定に発展する可能性あり（要確認・有望）。宮城県地域公共交通計画（R8〜R14）が町域を含む。環境：環境基本計画は町サイト検索で見当たらず。</t>
        </is>
      </c>
      <c r="S28" s="17" t="inlineStr">
        <is>
          <t>環境のみ調査</t>
        </is>
      </c>
    </row>
    <row r="29">
      <c r="A29" s="11" t="n">
        <v>26</v>
      </c>
      <c r="B29" s="11" t="inlineStr">
        <is>
          <t>利府町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利府町地域公共交通計画（改定版）</t>
        </is>
      </c>
      <c r="G29" s="11" t="inlineStr">
        <is>
          <t>R5〜（期間不明）</t>
        </is>
      </c>
      <c r="H29" s="13" t="n"/>
      <c r="I29" s="13" t="inlineStr">
        <is>
          <t>不明</t>
        </is>
      </c>
      <c r="J29" s="13" t="inlineStr">
        <is>
          <t>未確認</t>
        </is>
      </c>
      <c r="K29" s="14" t="inlineStr">
        <is>
          <t>https://www.town.rifu.miyagi.jp/gyosei/soshikikarasagasu/seikatu/koukyoukoutu/1/1162.html</t>
        </is>
      </c>
      <c r="L29" s="11" t="n"/>
      <c r="M29" s="11" t="inlineStr">
        <is>
          <t>不明</t>
        </is>
      </c>
      <c r="N29" s="13" t="n"/>
      <c r="O29" s="13" t="inlineStr">
        <is>
          <t>不明</t>
        </is>
      </c>
      <c r="P29" s="13" t="inlineStr">
        <is>
          <t>計画なし</t>
        </is>
      </c>
      <c r="Q29" s="11" t="n"/>
      <c r="R29" s="11" t="inlineStr">
        <is>
          <t>交通：2023年策定、AIデマンド「利府町版mobi」（R5.11.27実証開始→本格運行）を受けて改定。期間は検索で確認できず（2023年策定・5年なら R9終期の可能性あり＝要確認）。協議会 https://www.town.rifu.miyagi.jp/gyosei/soshikikarasagasu/seikatu/koukyoukoutu/1/779.html 。環境：環境基本計画は見当たらず。代替として地球温暖化対策実行計画（事務事業編）第3期（2018〜2030） https://www.town.rifu.miyagi.jp/gyosei/soshikikarasagasu/seikatu/kankyou/4/669.html 。</t>
        </is>
      </c>
      <c r="S29" s="15" t="inlineStr">
        <is>
          <t>調査済</t>
        </is>
      </c>
    </row>
    <row r="30">
      <c r="A30" s="11" t="n">
        <v>27</v>
      </c>
      <c r="B30" s="11" t="inlineStr">
        <is>
          <t>大和町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大和町地域公共交通計画</t>
        </is>
      </c>
      <c r="G30" s="11" t="inlineStr">
        <is>
          <t>R6〜R10</t>
        </is>
      </c>
      <c r="H30" s="13" t="n">
        <v>10</v>
      </c>
      <c r="I30" s="13" t="inlineStr">
        <is>
          <t>確認済</t>
        </is>
      </c>
      <c r="J30" s="13" t="inlineStr">
        <is>
          <t>未確認</t>
        </is>
      </c>
      <c r="K30" s="14" t="inlineStr">
        <is>
          <t>https://www.town.taiwa.miyagi.jp/soshiki/machizukuriseisaku/machizukuri_suishin/bustaxi/3547.html</t>
        </is>
      </c>
      <c r="L30" s="11" t="inlineStr">
        <is>
          <t>大和町第三次環境基本計画</t>
        </is>
      </c>
      <c r="M30" s="11" t="inlineStr">
        <is>
          <t>R6〜R15</t>
        </is>
      </c>
      <c r="N30" s="13" t="n">
        <v>15</v>
      </c>
      <c r="O30" s="13" t="inlineStr">
        <is>
          <t>確認済</t>
        </is>
      </c>
      <c r="P30" s="13" t="inlineStr">
        <is>
          <t>未確認</t>
        </is>
      </c>
      <c r="Q30" s="14" t="inlineStr">
        <is>
          <t>https://www.town.taiwa.miyagi.jp/soshiki/chominseikatsu/seikatsukankyo/3718.html</t>
        </is>
      </c>
      <c r="R30" s="11" t="inlineStr">
        <is>
          <t>交通：R6〜R10の5年計画。協議会 https://www.town.taiwa.miyagi.jp/soshiki/machizukuriseisaku/machizukuri_suishin/taiwatownkaigi/4244.html 。環境：第五次総合計画の分野計画、R6〜R15。改定作業は両計画とも未確認（時期的に未着手が自然）。</t>
        </is>
      </c>
      <c r="S30" s="15" t="inlineStr">
        <is>
          <t>調査済</t>
        </is>
      </c>
    </row>
    <row r="31">
      <c r="A31" s="11" t="n">
        <v>28</v>
      </c>
      <c r="B31" s="11" t="inlineStr">
        <is>
          <t>大郷町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交通：町単独・黒川地域共同の地域公共交通計画は検索で確認できず（町民バス運行のみの可能性）。宮城県地域公共交通計画（次期R8〜R14、7年間）が県全域を対象 https://www.pref.miyagi.jp/documents/59495/07thedraftplanoflptp.pdf。環境：町独自の環境基本計画は検索で確認できず。</t>
        </is>
      </c>
      <c r="S31" s="17" t="inlineStr">
        <is>
          <t>未調査</t>
        </is>
      </c>
    </row>
    <row r="32">
      <c r="A32" s="11" t="n">
        <v>29</v>
      </c>
      <c r="B32" s="11" t="inlineStr">
        <is>
          <t>大衡村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n"/>
      <c r="G32" s="11" t="inlineStr">
        <is>
          <t>不明</t>
        </is>
      </c>
      <c r="H32" s="13" t="n"/>
      <c r="I32" s="13" t="inlineStr">
        <is>
          <t>不明</t>
        </is>
      </c>
      <c r="J32" s="13" t="inlineStr">
        <is>
          <t>未確認</t>
        </is>
      </c>
      <c r="K32" s="11" t="n"/>
      <c r="L32" s="11" t="n"/>
      <c r="M32" s="11" t="inlineStr">
        <is>
          <t>不明</t>
        </is>
      </c>
      <c r="N32" s="13" t="n"/>
      <c r="O32" s="13" t="inlineStr">
        <is>
          <t>不明</t>
        </is>
      </c>
      <c r="P32" s="13" t="inlineStr">
        <is>
          <t>計画なし</t>
        </is>
      </c>
      <c r="Q32" s="11" t="n"/>
      <c r="R32" s="11" t="inlineStr">
        <is>
          <t>交通：村単独・黒川地域共同の地域公共交通計画は検索で確認できず。宮城県地域公共交通計画（次期R8〜R14、7年間）が県全域を対象 https://www.pref.miyagi.jp/documents/59495/07thedraftplanoflptp.pdf。環境：環境基本計画は確認できず。代替として第5次大衡村地球温暖化対策実行計画（事務事業編、R5〜R12）あり。</t>
        </is>
      </c>
      <c r="S32" s="17" t="inlineStr">
        <is>
          <t>環境のみ調査</t>
        </is>
      </c>
    </row>
    <row r="33">
      <c r="A33" s="11" t="n">
        <v>30</v>
      </c>
      <c r="B33" s="11" t="inlineStr">
        <is>
          <t>色麻町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n"/>
      <c r="G33" s="11" t="inlineStr">
        <is>
          <t>不明</t>
        </is>
      </c>
      <c r="H33" s="13" t="n"/>
      <c r="I33" s="13" t="inlineStr">
        <is>
          <t>不明</t>
        </is>
      </c>
      <c r="J33" s="13" t="inlineStr">
        <is>
          <t>未確認</t>
        </is>
      </c>
      <c r="K33" s="11" t="n"/>
      <c r="L33" s="11" t="n"/>
      <c r="M33" s="11" t="inlineStr">
        <is>
          <t>不明</t>
        </is>
      </c>
      <c r="N33" s="13" t="n"/>
      <c r="O33" s="13" t="inlineStr">
        <is>
          <t>不明</t>
        </is>
      </c>
      <c r="P33" s="13" t="inlineStr">
        <is>
          <t>未確認</t>
        </is>
      </c>
      <c r="Q33" s="11" t="n"/>
      <c r="R33" s="11" t="inlineStr">
        <is>
          <t>交通：町単独計画は確認できず。大崎定住自立圏（大崎市・色麻・加美・涌谷・美里）で大崎圏域公共交通検討研究会を開催し圏域交通を検討 https://www.pref.miyagi.jp/site/tiikisinnkou/teizyu.html 。宮城県地域公共交通計画（次期R8〜R14、7年間）が県全域を対象 https://www.pref.miyagi.jp/documents/59495/07thedraftplanoflptp.pdf。環境：環境基本計画は検索で確認できず。</t>
        </is>
      </c>
      <c r="S33" s="17" t="inlineStr">
        <is>
          <t>未調査</t>
        </is>
      </c>
    </row>
    <row r="34">
      <c r="A34" s="11" t="n">
        <v>31</v>
      </c>
      <c r="B34" s="11" t="inlineStr">
        <is>
          <t>加美町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着手済</t>
        </is>
      </c>
      <c r="K34" s="11" t="n"/>
      <c r="L34" s="11" t="inlineStr">
        <is>
          <t>加美町環境基本計画（改定版）</t>
        </is>
      </c>
      <c r="M34" s="11" t="inlineStr">
        <is>
          <t>R5〜R14</t>
        </is>
      </c>
      <c r="N34" s="13" t="n">
        <v>14</v>
      </c>
      <c r="O34" s="13" t="inlineStr">
        <is>
          <t>確認済</t>
        </is>
      </c>
      <c r="P34" s="13" t="inlineStr">
        <is>
          <t>未確認</t>
        </is>
      </c>
      <c r="Q34" s="14" t="inlineStr">
        <is>
          <t>https://www.town.kami.miyagi.jp/soshikikarasagasu/chominka/kankyoeisei/3689.html</t>
        </is>
      </c>
      <c r="R34" s="11" t="inlineStr">
        <is>
          <t>交通：町の地域公共交通計画は未策定とみられ、第三次加美町総合計画策定の経緯資料に「地域公共交通計画」の策定が言及されている（策定作業中の可能性、要確認）https://www.town.kami.miyagi.jp/material/files/group/6/2-keii.pdf 。住民バスはR7.4.1から新体系で運行。大崎定住自立圏で圏域公共交通検討研究会あり。環境：H19.3初版、R5.3改定版策定（10年間）。地球温暖化対策実行計画（区域施策編・事務事業編）R7.1策定 https://www.town.kami.miyagi.jp/material/files/group/60/gaiyou2.pdf</t>
        </is>
      </c>
      <c r="S34" s="17" t="inlineStr">
        <is>
          <t>環境のみ調査</t>
        </is>
      </c>
    </row>
    <row r="35">
      <c r="A35" s="11" t="n">
        <v>32</v>
      </c>
      <c r="B35" s="11" t="inlineStr">
        <is>
          <t>涌谷町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涌谷町地域公共交通計画</t>
        </is>
      </c>
      <c r="G35" s="11" t="inlineStr">
        <is>
          <t>R7〜R12</t>
        </is>
      </c>
      <c r="H35" s="13" t="n">
        <v>12</v>
      </c>
      <c r="I35" s="13" t="inlineStr">
        <is>
          <t>確認済</t>
        </is>
      </c>
      <c r="J35" s="13" t="inlineStr">
        <is>
          <t>策定済</t>
        </is>
      </c>
      <c r="K35" s="14" t="inlineStr">
        <is>
          <t>https://www.town.wakuya.miyagi.jp/documents/honpen.pdf</t>
        </is>
      </c>
      <c r="L35" s="11" t="n"/>
      <c r="M35" s="11" t="inlineStr">
        <is>
          <t>不明</t>
        </is>
      </c>
      <c r="N35" s="13" t="n"/>
      <c r="O35" s="13" t="inlineStr">
        <is>
          <t>不明</t>
        </is>
      </c>
      <c r="P35" s="13" t="inlineStr">
        <is>
          <t>計画なし</t>
        </is>
      </c>
      <c r="Q35" s="11" t="n"/>
      <c r="R35" s="11" t="inlineStr">
        <is>
          <t>交通：R7(2025)年度開始の新計画（策定ページ https://www.town.wakuya.miyagi.jp/koutukeikaku1.html ）。地域公共交通会議R7.5.28、R8.1開催。環境：環境基本計画は町サイト検索で確認できず（計画なしとみられる）。第六次涌谷町総合計画（R8〜）策定済。</t>
        </is>
      </c>
      <c r="S35" s="15" t="inlineStr">
        <is>
          <t>調査済</t>
        </is>
      </c>
    </row>
    <row r="36">
      <c r="A36" s="11" t="n">
        <v>33</v>
      </c>
      <c r="B36" s="11" t="inlineStr">
        <is>
          <t>美里町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計画なし</t>
        </is>
      </c>
      <c r="Q36" s="11" t="n"/>
      <c r="R36" s="11" t="inlineStr">
        <is>
          <t>交通：地域公共交通計画は町サイト検索で確認できず。美里町地域公共交通会議は活動中（R8.2.13会議録あり）https://www.town.misato.miyagi.jp/16bus/ 。大崎定住自立圏の圏域公共交通検討研究会に参加。環境：環境基本計画は確認できず、代替として美里町再生可能エネルギー導入推進計画（R4.4）https://www.town.misato.miyagi.jp/08kankyo/pdf/saiseikanou.pdf 。</t>
        </is>
      </c>
      <c r="S36" s="17" t="inlineStr">
        <is>
          <t>環境のみ調査</t>
        </is>
      </c>
    </row>
    <row r="37">
      <c r="A37" s="11" t="n">
        <v>34</v>
      </c>
      <c r="B37" s="11" t="inlineStr">
        <is>
          <t>女川町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女川町地域公共交通計画</t>
        </is>
      </c>
      <c r="G37" s="11" t="inlineStr">
        <is>
          <t>R6〜R10</t>
        </is>
      </c>
      <c r="H37" s="13" t="n">
        <v>10</v>
      </c>
      <c r="I37" s="13" t="inlineStr">
        <is>
          <t>確認済</t>
        </is>
      </c>
      <c r="J37" s="13" t="inlineStr">
        <is>
          <t>未確認</t>
        </is>
      </c>
      <c r="K37" s="14" t="inlineStr">
        <is>
          <t>https://www.town.onagawa.miyagi.jp/pdf/koutsuu/koutsu_keikaku_gaiyou.pdf</t>
        </is>
      </c>
      <c r="L37" s="11" t="n"/>
      <c r="M37" s="11" t="inlineStr">
        <is>
          <t>不明</t>
        </is>
      </c>
      <c r="N37" s="13" t="n"/>
      <c r="O37" s="13" t="inlineStr">
        <is>
          <t>不明</t>
        </is>
      </c>
      <c r="P37" s="13" t="inlineStr">
        <is>
          <t>計画なし</t>
        </is>
      </c>
      <c r="Q37" s="11" t="n"/>
      <c r="R37" s="11" t="inlineStr">
        <is>
          <t>交通：R6.3策定（5年間）。本編 https://town.onagawa.miyagi.jp/pdf/koutsuu/kokyo_koutsu_keikaku.pdf 。R8年度第1回地域公共交通会議資料あり https://www.town.onagawa.miyagi.jp/pdf/koutsuu/r08koutsuukaigi01_siryo1.pdf 。次期計画作業は未確認（R10終期）。環境：環境基本計画は確認できず。代替として女川町地球温暖化対策実行計画（事務事業編、R6.3）https://town.onagawa.miyagi.jp/pdf/kankyo/2024_ondanka_taisaku.pdf</t>
        </is>
      </c>
      <c r="S37" s="15" t="inlineStr">
        <is>
          <t>調査済</t>
        </is>
      </c>
    </row>
    <row r="38">
      <c r="A38" s="11" t="n">
        <v>35</v>
      </c>
      <c r="B38" s="11" t="inlineStr">
        <is>
          <t>南三陸町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南三陸町地域公共交通計画</t>
        </is>
      </c>
      <c r="G38" s="11" t="inlineStr">
        <is>
          <t>R8〜（終期不明）</t>
        </is>
      </c>
      <c r="H38" s="16" t="n"/>
      <c r="I38" s="13" t="inlineStr">
        <is>
          <t>推定</t>
        </is>
      </c>
      <c r="J38" s="13" t="inlineStr">
        <is>
          <t>策定済</t>
        </is>
      </c>
      <c r="K38" s="14" t="inlineStr">
        <is>
          <t>https://www.town.minamisanriku.miyagi.jp/material/files/group/3/202602042.pdf</t>
        </is>
      </c>
      <c r="L38" s="11" t="inlineStr">
        <is>
          <t>第2次南三陸町環境基本計画</t>
        </is>
      </c>
      <c r="M38" s="11" t="inlineStr">
        <is>
          <t>R8〜R17</t>
        </is>
      </c>
      <c r="N38" s="13" t="n">
        <v>17</v>
      </c>
      <c r="O38" s="13" t="inlineStr">
        <is>
          <t>確認済</t>
        </is>
      </c>
      <c r="P38" s="13" t="inlineStr">
        <is>
          <t>策定済</t>
        </is>
      </c>
      <c r="Q38" s="14" t="inlineStr">
        <is>
          <t>https://www.town.minamisanriku.miyagi.jp/material/files/group/7/keikakusyo.pdf</t>
        </is>
      </c>
      <c r="R38" s="11" t="inlineStr">
        <is>
          <t>交通：前計画は南三陸町地域公共交通網形成計画（H31.3策定）。後継の地域公共交通計画（案）令和8年3月版の資料がR8.2.4頃公開（t_urlは案の資料編）。R8.3策定とみられるが最終版・期間は未確認。環境：第2次計画R8〜R17（R7年度中に策定）。</t>
        </is>
      </c>
      <c r="S38" s="15" t="inlineStr">
        <is>
          <t>調査済</t>
        </is>
      </c>
    </row>
  </sheetData>
  <autoFilter ref="A3:S38"/>
  <conditionalFormatting sqref="A4:S3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Q6" r:id="rId5"/>
    <hyperlink xmlns:r="http://schemas.openxmlformats.org/officeDocument/2006/relationships" ref="K7" r:id="rId6"/>
    <hyperlink xmlns:r="http://schemas.openxmlformats.org/officeDocument/2006/relationships" ref="K8" r:id="rId7"/>
    <hyperlink xmlns:r="http://schemas.openxmlformats.org/officeDocument/2006/relationships" ref="Q8" r:id="rId8"/>
    <hyperlink xmlns:r="http://schemas.openxmlformats.org/officeDocument/2006/relationships" ref="K9" r:id="rId9"/>
    <hyperlink xmlns:r="http://schemas.openxmlformats.org/officeDocument/2006/relationships" ref="Q9" r:id="rId10"/>
    <hyperlink xmlns:r="http://schemas.openxmlformats.org/officeDocument/2006/relationships" ref="K10" r:id="rId11"/>
    <hyperlink xmlns:r="http://schemas.openxmlformats.org/officeDocument/2006/relationships" ref="K11" r:id="rId12"/>
    <hyperlink xmlns:r="http://schemas.openxmlformats.org/officeDocument/2006/relationships" ref="K12"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K18" r:id="rId24"/>
    <hyperlink xmlns:r="http://schemas.openxmlformats.org/officeDocument/2006/relationships" ref="Q18" r:id="rId25"/>
    <hyperlink xmlns:r="http://schemas.openxmlformats.org/officeDocument/2006/relationships" ref="K20" r:id="rId26"/>
    <hyperlink xmlns:r="http://schemas.openxmlformats.org/officeDocument/2006/relationships" ref="Q20" r:id="rId27"/>
    <hyperlink xmlns:r="http://schemas.openxmlformats.org/officeDocument/2006/relationships" ref="K22" r:id="rId28"/>
    <hyperlink xmlns:r="http://schemas.openxmlformats.org/officeDocument/2006/relationships" ref="Q22" r:id="rId29"/>
    <hyperlink xmlns:r="http://schemas.openxmlformats.org/officeDocument/2006/relationships" ref="K23" r:id="rId30"/>
    <hyperlink xmlns:r="http://schemas.openxmlformats.org/officeDocument/2006/relationships" ref="K24" r:id="rId31"/>
    <hyperlink xmlns:r="http://schemas.openxmlformats.org/officeDocument/2006/relationships" ref="K25" r:id="rId32"/>
    <hyperlink xmlns:r="http://schemas.openxmlformats.org/officeDocument/2006/relationships" ref="Q25" r:id="rId33"/>
    <hyperlink xmlns:r="http://schemas.openxmlformats.org/officeDocument/2006/relationships" ref="K26" r:id="rId34"/>
    <hyperlink xmlns:r="http://schemas.openxmlformats.org/officeDocument/2006/relationships" ref="K29" r:id="rId35"/>
    <hyperlink xmlns:r="http://schemas.openxmlformats.org/officeDocument/2006/relationships" ref="K30" r:id="rId36"/>
    <hyperlink xmlns:r="http://schemas.openxmlformats.org/officeDocument/2006/relationships" ref="Q30" r:id="rId37"/>
    <hyperlink xmlns:r="http://schemas.openxmlformats.org/officeDocument/2006/relationships" ref="Q34" r:id="rId38"/>
    <hyperlink xmlns:r="http://schemas.openxmlformats.org/officeDocument/2006/relationships" ref="K35" r:id="rId39"/>
    <hyperlink xmlns:r="http://schemas.openxmlformats.org/officeDocument/2006/relationships" ref="K37" r:id="rId40"/>
    <hyperlink xmlns:r="http://schemas.openxmlformats.org/officeDocument/2006/relationships" ref="K38" r:id="rId41"/>
    <hyperlink xmlns:r="http://schemas.openxmlformats.org/officeDocument/2006/relationships" ref="Q38" r:id="rId4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秋田県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秋田市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第4次秋田市公共交通政策ビジョン（秋田市地域公共交通計画）</t>
        </is>
      </c>
      <c r="G4" s="11" t="inlineStr">
        <is>
          <t>R8〜R12</t>
        </is>
      </c>
      <c r="H4" s="13" t="n">
        <v>12</v>
      </c>
      <c r="I4" s="13" t="inlineStr">
        <is>
          <t>確認済</t>
        </is>
      </c>
      <c r="J4" s="13" t="inlineStr">
        <is>
          <t>策定済</t>
        </is>
      </c>
      <c r="K4" s="14" t="inlineStr">
        <is>
          <t>https://www.city.akita.lg.jp/_res/projects/default_project/_page_/001/049/732/koukyoukoutuuseisakubijonn080306.pdf</t>
        </is>
      </c>
      <c r="L4" s="11" t="inlineStr">
        <is>
          <t>秋田市環境基本計画（R5.3中間見直し版）</t>
        </is>
      </c>
      <c r="M4" s="11" t="inlineStr">
        <is>
          <t>H30〜R9</t>
        </is>
      </c>
      <c r="N4" s="13" t="n">
        <v>9</v>
      </c>
      <c r="O4" s="13" t="inlineStr">
        <is>
          <t>確認済</t>
        </is>
      </c>
      <c r="P4" s="13" t="inlineStr">
        <is>
          <t>未確認</t>
        </is>
      </c>
      <c r="Q4" s="14" t="inlineStr">
        <is>
          <t>https://www.city.akita.lg.jp/_res/projects/default_project/_page_/001/006/108/keikaku23.pdf</t>
        </is>
      </c>
      <c r="R4" s="11" t="inlineStr">
        <is>
          <t>交通：前計画（第3次公共交通政策ビジョン R3〜R7）の後継として第4次ビジョン（地域公共交通計画）R8.3策定。関連ページ https://www.city.akita.lg.jp/kurashi/kotsu/1007422/1028662.html 。環境：H30〜R9の10年計画、R4〜R5に中間見直し（パブコメR4.12〜R5.1）。R9終期のため次期計画はR8〜R9に策定見込みだが、着手（審議会・委託等）は検索で未確認（有望）。計画ページ https://www.city.akita.lg.jp/shisei/hoshin-keikaku/1009930/1006108.html</t>
        </is>
      </c>
      <c r="S4" s="15" t="inlineStr">
        <is>
          <t>調査済</t>
        </is>
      </c>
    </row>
    <row r="5">
      <c r="A5" s="11" t="n">
        <v>2</v>
      </c>
      <c r="B5" s="11" t="inlineStr">
        <is>
          <t>能代市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能代市地域公共交通計画</t>
        </is>
      </c>
      <c r="G5" s="11" t="inlineStr">
        <is>
          <t>R6〜（終期不明）</t>
        </is>
      </c>
      <c r="H5" s="13" t="n"/>
      <c r="I5" s="13" t="inlineStr">
        <is>
          <t>不明</t>
        </is>
      </c>
      <c r="J5" s="13" t="inlineStr">
        <is>
          <t>未確認</t>
        </is>
      </c>
      <c r="K5" s="14" t="inlineStr">
        <is>
          <t>https://www.city.noshiro.lg.jp/sangyo/kokyo-kotsu/kokyokoutsu-keikaku/24040</t>
        </is>
      </c>
      <c r="L5" s="11" t="inlineStr">
        <is>
          <t>第2次能代市環境基本計画（R5.3見直し）</t>
        </is>
      </c>
      <c r="M5" s="11" t="inlineStr">
        <is>
          <t>H30〜R9</t>
        </is>
      </c>
      <c r="N5" s="13" t="n">
        <v>9</v>
      </c>
      <c r="O5" s="13" t="inlineStr">
        <is>
          <t>確認済</t>
        </is>
      </c>
      <c r="P5" s="13" t="inlineStr">
        <is>
          <t>未確認</t>
        </is>
      </c>
      <c r="Q5" s="14" t="inlineStr">
        <is>
          <t>https://www.city.noshiro.lg.jp/sangyo/kankyo/keikaku/22091</t>
        </is>
      </c>
      <c r="R5" s="11" t="inlineStr">
        <is>
          <t>交通：R6.3策定（前計画は能代市地域公共交通網形成計画 H31.3策定）。市単独計画で能代山本広域の共同計画は確認できず。終期は検索で確認できず。環境：H30〜R9の10年計画、R5.3中間見直し（PDF https://www.city.noshiro.lg.jp/up/files/www/sangyo/kankyo/keikaku/keikaku_minaoshi_2nd.pdf ）。R9終期のため第3次計画はR8〜R9策定見込み、着手は未確認（有望）。環境基本計画懇談会の資料あり https://www.city.noshiro.lg.jp/up/files/www/sangyo/kankyo/keikaku/kondankai/1st/shiryo2_jokyo-kongo.pdf （開催時期未確認）。 R8.6に市民意識調査実施（https://www.city.noshiro.lg.jp/city/koho/ishiki-chosa/27883 、総合計画向けで環境計画専用ではない）。</t>
        </is>
      </c>
      <c r="S5" s="15" t="inlineStr">
        <is>
          <t>調査済</t>
        </is>
      </c>
    </row>
    <row r="6">
      <c r="A6" s="11" t="n">
        <v>3</v>
      </c>
      <c r="B6" s="11" t="inlineStr">
        <is>
          <t>横手市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横手市地域公共交通計画</t>
        </is>
      </c>
      <c r="G6" s="11" t="inlineStr">
        <is>
          <t>R6〜R10</t>
        </is>
      </c>
      <c r="H6" s="13" t="n">
        <v>10</v>
      </c>
      <c r="I6" s="13" t="inlineStr">
        <is>
          <t>確認済</t>
        </is>
      </c>
      <c r="J6" s="13" t="inlineStr">
        <is>
          <t>未確認</t>
        </is>
      </c>
      <c r="K6" s="14" t="inlineStr">
        <is>
          <t>https://www.city.yokote.lg.jp/shisei/1001179/1001469/1001472/1003840.html</t>
        </is>
      </c>
      <c r="L6" s="11" t="inlineStr">
        <is>
          <t>第3次横手市環境基本計画</t>
        </is>
      </c>
      <c r="M6" s="11" t="inlineStr">
        <is>
          <t>R8〜R17</t>
        </is>
      </c>
      <c r="N6" s="13" t="n">
        <v>17</v>
      </c>
      <c r="O6" s="13" t="inlineStr">
        <is>
          <t>確認済</t>
        </is>
      </c>
      <c r="P6" s="13" t="inlineStr">
        <is>
          <t>策定済</t>
        </is>
      </c>
      <c r="Q6" s="14" t="inlineStr">
        <is>
          <t>https://www.city.yokote.lg.jp/shisei/1001179/1001469/1001471/1003346.html</t>
        </is>
      </c>
      <c r="R6" s="11" t="inlineStr">
        <is>
          <t>交通：R6.3策定（概要版 https://www.city.yokote.lg.jp/_res/projects/default_project/_page_/001/003/596/20240219_1-2.pdf ）。R10終期で次期作業は未確認。環境：第2次（H28〜）の後継として第3次（R8〜R17）を策定済（概要 https://www.city.yokote.lg.jp/_res/projects/default_project/_page_/001/003/346/dai3jigaiyou.pdf ）。</t>
        </is>
      </c>
      <c r="S6" s="15" t="inlineStr">
        <is>
          <t>調査済</t>
        </is>
      </c>
    </row>
    <row r="7">
      <c r="A7" s="11" t="n">
        <v>4</v>
      </c>
      <c r="B7" s="11" t="inlineStr">
        <is>
          <t>大館市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大館市地域公共交通計画（旧・地域公共交通網形成計画、R7.8改定）</t>
        </is>
      </c>
      <c r="G7" s="11" t="inlineStr">
        <is>
          <t>H30〜R9</t>
        </is>
      </c>
      <c r="H7" s="13" t="n">
        <v>9</v>
      </c>
      <c r="I7" s="13" t="inlineStr">
        <is>
          <t>確認済</t>
        </is>
      </c>
      <c r="J7" s="13" t="inlineStr">
        <is>
          <t>未確認</t>
        </is>
      </c>
      <c r="K7" s="14" t="inlineStr">
        <is>
          <t>https://www.city.odate.lg.jp/city/soshiki/koutsu/p11901</t>
        </is>
      </c>
      <c r="L7" s="11" t="inlineStr">
        <is>
          <t>第3次大館市環境基本計画</t>
        </is>
      </c>
      <c r="M7" s="11" t="inlineStr">
        <is>
          <t>R3〜R12</t>
        </is>
      </c>
      <c r="N7" s="16" t="n">
        <v>12</v>
      </c>
      <c r="O7" s="13" t="inlineStr">
        <is>
          <t>推定</t>
        </is>
      </c>
      <c r="P7" s="13" t="inlineStr">
        <is>
          <t>未確認</t>
        </is>
      </c>
      <c r="Q7" s="14" t="inlineStr">
        <is>
          <t>https://www.city.odate.lg.jp/city/soshiki/kankyokikaku/p7909</t>
        </is>
      </c>
      <c r="R7" s="11" t="inlineStr">
        <is>
          <t>交通：H30.3策定の網形成計画（H30〜R9）をR6年度に地域公共交通計画へ名称変更・改定（R6.5『大館市地域公共交通網形成計画見直し業務』入札 https://nsearch.jp/nyusatsu_ankens/664c662d6a90d97d72380dee ）、R7.3/R7.8改定版PDFあり。R9(2027)終期のため次期計画策定はR8〜R9に着手見込みだが、策定業務プロポーザル等は検索で未確認（有望）。環境：第3次はR3.3パブコメを経て策定、期間は第2次(H23〜R2)の10年サイクルから推定。 R7.8改定版には『概ね10年後に見直し』との記載あり（計画期間はH30〜R9）。関連：大館市地域公共交通利便増進実施計画 https://www.mlit.go.jp/sogoseisaku/transport/content/001911965.pdf</t>
        </is>
      </c>
      <c r="S7" s="15" t="inlineStr">
        <is>
          <t>調査済</t>
        </is>
      </c>
    </row>
    <row r="8">
      <c r="A8" s="11" t="n">
        <v>5</v>
      </c>
      <c r="B8" s="11" t="inlineStr">
        <is>
          <t>男鹿市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男鹿市地域公共交通計画</t>
        </is>
      </c>
      <c r="G8" s="11" t="inlineStr">
        <is>
          <t>R6〜R10</t>
        </is>
      </c>
      <c r="H8" s="13" t="n">
        <v>10</v>
      </c>
      <c r="I8" s="13" t="inlineStr">
        <is>
          <t>確認済</t>
        </is>
      </c>
      <c r="J8" s="13" t="inlineStr">
        <is>
          <t>未確認</t>
        </is>
      </c>
      <c r="K8" s="14" t="inlineStr">
        <is>
          <t>https://www.city.oga.akita.jp/soshik/kikakuseisakuka/kakushukeikaku/6608.html</t>
        </is>
      </c>
      <c r="L8" s="11" t="n"/>
      <c r="M8" s="11" t="inlineStr">
        <is>
          <t>不明</t>
        </is>
      </c>
      <c r="N8" s="13" t="n"/>
      <c r="O8" s="13" t="inlineStr">
        <is>
          <t>不明</t>
        </is>
      </c>
      <c r="P8" s="13" t="inlineStr">
        <is>
          <t>計画なし</t>
        </is>
      </c>
      <c r="Q8" s="11" t="n"/>
      <c r="R8" s="11" t="inlineStr">
        <is>
          <t>交通：前計画は男鹿市地域公共交通網形成計画（https://www.city.oga.akita.jp/soshik/kikakuseisakuka/kakushukeikaku/1012.html ）。R10終期で次期作業は未確認。環境：環境基本計画は検索で見つからず（計画なしと推定、要確認）。環境省策定状況ページ https://www.env.go.jp/policy/local_keikaku/sakutei2/05/05206.html 。次期男鹿市総合計画を策定中（https://www.city.oga.akita.jp/soshik/kikakuseisakuka/1/8055.html ）。</t>
        </is>
      </c>
      <c r="S8" s="15" t="inlineStr">
        <is>
          <t>調査済</t>
        </is>
      </c>
    </row>
    <row r="9">
      <c r="A9" s="11" t="n">
        <v>6</v>
      </c>
      <c r="B9" s="11" t="inlineStr">
        <is>
          <t>湯沢市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湯沢市地域公共交通計画</t>
        </is>
      </c>
      <c r="G9" s="11" t="inlineStr">
        <is>
          <t>R6〜R10</t>
        </is>
      </c>
      <c r="H9" s="13" t="n">
        <v>10</v>
      </c>
      <c r="I9" s="13" t="inlineStr">
        <is>
          <t>確認済</t>
        </is>
      </c>
      <c r="J9" s="13" t="inlineStr">
        <is>
          <t>未確認</t>
        </is>
      </c>
      <c r="K9" s="14" t="inlineStr">
        <is>
          <t>https://www.city-yuzawa.jp/soshiki/31/5581.html</t>
        </is>
      </c>
      <c r="L9" s="11" t="n"/>
      <c r="M9" s="11" t="inlineStr">
        <is>
          <t>不明</t>
        </is>
      </c>
      <c r="N9" s="13" t="n"/>
      <c r="O9" s="13" t="inlineStr">
        <is>
          <t>不明</t>
        </is>
      </c>
      <c r="P9" s="13" t="inlineStr">
        <is>
          <t>計画なし</t>
        </is>
      </c>
      <c r="Q9" s="11" t="n"/>
      <c r="R9" s="11" t="inlineStr">
        <is>
          <t>交通：市単独計画（前計画は第2次湯沢市地域公共交通網形成計画 R2.2 https://www.city-yuzawa.jp/uploaded/attachment/13134.pdf ）。湯沢雄勝広域の共同計画は確認できず。R10終期で次期作業は未確認。新潟県湯沢町と混同注意。環境：環境基本計画は検索で見つからず（計画なしと推定、要確認）。第2次地球温暖化対策実行計画（事務事業編）R3策定、R4.6ゼロカーボンシティ宣言。環境省策定状況 https://www.env.go.jp/policy/local_keikaku/sakutei2/05/05207.html 。</t>
        </is>
      </c>
      <c r="S9" s="15" t="inlineStr">
        <is>
          <t>調査済</t>
        </is>
      </c>
    </row>
    <row r="10">
      <c r="A10" s="11" t="n">
        <v>7</v>
      </c>
      <c r="B10" s="11" t="inlineStr">
        <is>
          <t>鹿角市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鹿角市地域公共交通計画（令和7年6月改訂版）</t>
        </is>
      </c>
      <c r="G10" s="11" t="inlineStr">
        <is>
          <t>R5〜R9</t>
        </is>
      </c>
      <c r="H10" s="16" t="n">
        <v>9</v>
      </c>
      <c r="I10" s="13" t="inlineStr">
        <is>
          <t>推定</t>
        </is>
      </c>
      <c r="J10" s="13" t="inlineStr">
        <is>
          <t>未確認</t>
        </is>
      </c>
      <c r="K10" s="14" t="inlineStr">
        <is>
          <t>https://www.city.kazuno.lg.jp/soshiki/shiminkyodo/kankyoseikatsu/gyomu/2/3/10092.html</t>
        </is>
      </c>
      <c r="L10" s="11" t="inlineStr">
        <is>
          <t>第3次鹿角市環境基本計画</t>
        </is>
      </c>
      <c r="M10" s="11" t="inlineStr">
        <is>
          <t>R3〜R12</t>
        </is>
      </c>
      <c r="N10" s="16" t="n">
        <v>12</v>
      </c>
      <c r="O10" s="13" t="inlineStr">
        <is>
          <t>推定</t>
        </is>
      </c>
      <c r="P10" s="13" t="inlineStr">
        <is>
          <t>未確認</t>
        </is>
      </c>
      <c r="Q10" s="14" t="inlineStr">
        <is>
          <t>https://www.city.kazuno.lg.jp/soshiki/shiminkyodo/kankyoseikatsu/gyomu/1/3/index.html</t>
        </is>
      </c>
      <c r="R10" s="11" t="inlineStr">
        <is>
          <t>交通：R7.6改訂版（秋北バス一部路線廃止・八幡平地区再編 R7.10.1対応）。計画期間は検索結果で未確認だが、R4年度協議会で策定審議（資料 https://www.city.kazuno.lg.jp/material/files/group/8/shiryou3_R4_3.pdf ）→R5年度始期の5年計画（R5〜R9）と推定、要確認。協議会 https://www.city.kazuno.lg.jp/soshiki/shiminkyodo/kankyoseikatsu/gyomu/2/3/9297.html 。環境：エネルギービジョン（R4.2）が第3次環境基本計画と終期を整合、R13年3月まで（=R12年度末）https://www.city.kazuno.lg.jp/material/files/group/14/energyvision.pdf 。e_urlは市の環境ページ（計画直リンク未取得）。</t>
        </is>
      </c>
      <c r="S10" s="15" t="inlineStr">
        <is>
          <t>調査済</t>
        </is>
      </c>
    </row>
    <row r="11">
      <c r="A11" s="11" t="n">
        <v>8</v>
      </c>
      <c r="B11" s="11" t="inlineStr">
        <is>
          <t>由利本荘市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由利本荘市地域公共交通計画</t>
        </is>
      </c>
      <c r="G11" s="11" t="inlineStr">
        <is>
          <t>R6〜R10</t>
        </is>
      </c>
      <c r="H11" s="13" t="n">
        <v>10</v>
      </c>
      <c r="I11" s="13" t="inlineStr">
        <is>
          <t>確認済</t>
        </is>
      </c>
      <c r="J11" s="13" t="inlineStr">
        <is>
          <t>未確認</t>
        </is>
      </c>
      <c r="K11" s="14" t="inlineStr">
        <is>
          <t>https://www.city.yurihonjo.lg.jp/1000006/1001990/1009868.html</t>
        </is>
      </c>
      <c r="L11" s="11" t="inlineStr">
        <is>
          <t>第二次由利本荘市環境基本計画</t>
        </is>
      </c>
      <c r="M11" s="11" t="inlineStr">
        <is>
          <t>R5〜R14</t>
        </is>
      </c>
      <c r="N11" s="16" t="n">
        <v>14</v>
      </c>
      <c r="O11" s="13" t="inlineStr">
        <is>
          <t>推定</t>
        </is>
      </c>
      <c r="P11" s="13" t="inlineStr">
        <is>
          <t>未確認</t>
        </is>
      </c>
      <c r="Q11" s="14" t="inlineStr">
        <is>
          <t>https://www.city.yurihonjo.lg.jp/_res/projects/default_project/_page_/001/007/924/keikaku.pdf</t>
        </is>
      </c>
      <c r="R11" s="11" t="inlineStr">
        <is>
          <t>交通：網形成計画（第二次 R2〜R6）の後継としてR5年度プロポーザルで策定、期間2024〜2028年度。改訂ページあり（1009868）。環境：R5年度開始、終期は検索で未確認（10年と推定）。</t>
        </is>
      </c>
      <c r="S11" s="15" t="inlineStr">
        <is>
          <t>調査済</t>
        </is>
      </c>
    </row>
    <row r="12">
      <c r="A12" s="11" t="n">
        <v>9</v>
      </c>
      <c r="B12" s="11" t="inlineStr">
        <is>
          <t>潟上市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潟上市地域公共交通計画</t>
        </is>
      </c>
      <c r="G12" s="11" t="inlineStr">
        <is>
          <t>R4〜R8</t>
        </is>
      </c>
      <c r="H12" s="13" t="n">
        <v>8</v>
      </c>
      <c r="I12" s="13" t="inlineStr">
        <is>
          <t>確認済</t>
        </is>
      </c>
      <c r="J12" s="13" t="inlineStr">
        <is>
          <t>未確認</t>
        </is>
      </c>
      <c r="K12" s="14" t="inlineStr">
        <is>
          <t>https://www.city.katagami.lg.jp/soshiki/shiminseikatsu/chiikidukurika/chiikishinko/bus/4006.html</t>
        </is>
      </c>
      <c r="L12" s="11" t="inlineStr">
        <is>
          <t>第2次潟上市環境基本計画</t>
        </is>
      </c>
      <c r="M12" s="11" t="inlineStr">
        <is>
          <t>R5〜R14</t>
        </is>
      </c>
      <c r="N12" s="16" t="n">
        <v>14</v>
      </c>
      <c r="O12" s="13" t="inlineStr">
        <is>
          <t>推定</t>
        </is>
      </c>
      <c r="P12" s="13" t="inlineStr">
        <is>
          <t>未確認</t>
        </is>
      </c>
      <c r="Q12" s="14" t="inlineStr">
        <is>
          <t>https://www.city.katagami.lg.jp/material/files/group/6/kankyokihon2.pdf</t>
        </is>
      </c>
      <c r="R12" s="11" t="inlineStr">
        <is>
          <t>交通：R8(2026)年度で終期。次期計画の策定業務・協議会審議は検索で確認できず（R8年度中に改定作業のはず、有望・要確認）。公共交通アンケート結果ページあり https://www.city.katagami.lg.jp/soshiki/shiminseikatsu/chiikidukurika/chiikishinko/bus/3900.html （時期未確認）。環境：R5.3策定・R5年度始期、終期は未確認（10年と推定）。</t>
        </is>
      </c>
      <c r="S12" s="15" t="inlineStr">
        <is>
          <t>調査済</t>
        </is>
      </c>
    </row>
    <row r="13">
      <c r="A13" s="11" t="n">
        <v>10</v>
      </c>
      <c r="B13" s="11" t="inlineStr">
        <is>
          <t>大仙市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大仙市地域公共交通計画マスタープラン</t>
        </is>
      </c>
      <c r="G13" s="11" t="inlineStr">
        <is>
          <t>R3〜R7</t>
        </is>
      </c>
      <c r="H13" s="13" t="n">
        <v>7</v>
      </c>
      <c r="I13" s="13" t="inlineStr">
        <is>
          <t>確認済</t>
        </is>
      </c>
      <c r="J13" s="13" t="inlineStr">
        <is>
          <t>未確認</t>
        </is>
      </c>
      <c r="K13" s="14" t="inlineStr">
        <is>
          <t>https://www.city.daisen.lg.jp/archive/contents-12074</t>
        </is>
      </c>
      <c r="L13" s="11" t="inlineStr">
        <is>
          <t>第2次大仙市環境基本計画</t>
        </is>
      </c>
      <c r="M13" s="11" t="inlineStr">
        <is>
          <t>R1〜R10</t>
        </is>
      </c>
      <c r="N13" s="16" t="n">
        <v>10</v>
      </c>
      <c r="O13" s="13" t="inlineStr">
        <is>
          <t>推定</t>
        </is>
      </c>
      <c r="P13" s="13" t="inlineStr">
        <is>
          <t>未確認</t>
        </is>
      </c>
      <c r="Q13" s="14" t="inlineStr">
        <is>
          <t>https://www.city.daisen.lg.jp/genre/administration/plannning</t>
        </is>
      </c>
      <c r="R13" s="11" t="inlineStr">
        <is>
          <t>交通：マスタープラン（R3〜R7）は期間満了。後継（R8〜）計画の策定・パブコメは検索で確認できず（要確認・有望）。旧網形成計画PDF https://www.city.daisen.lg.jp/docs/2013091900263/file_contents/plan1.pdf 。環境：第2次はR1策定、終期未確認（10年と推定）。区域施策編あり https://www.city.daisen.lg.jp/archive/contents-13811 。e_urlは方針・計画一覧ページ。</t>
        </is>
      </c>
      <c r="S13" s="15" t="inlineStr">
        <is>
          <t>調査済</t>
        </is>
      </c>
    </row>
    <row r="14">
      <c r="A14" s="11" t="n">
        <v>11</v>
      </c>
      <c r="B14" s="11" t="inlineStr">
        <is>
          <t>北秋田市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北秋田市地域公共交通計画</t>
        </is>
      </c>
      <c r="G14" s="11" t="inlineStr">
        <is>
          <t>R5〜R9</t>
        </is>
      </c>
      <c r="H14" s="13" t="n">
        <v>9</v>
      </c>
      <c r="I14" s="13" t="inlineStr">
        <is>
          <t>確認済</t>
        </is>
      </c>
      <c r="J14" s="13" t="inlineStr">
        <is>
          <t>未確認</t>
        </is>
      </c>
      <c r="K14" s="14" t="inlineStr">
        <is>
          <t>https://www.city.kitaakita.akita.jp/uploads/public/news_0000015700_00/koukyoukoutsukeikaku.pdf</t>
        </is>
      </c>
      <c r="L14" s="11" t="inlineStr">
        <is>
          <t>北秋田市環境基本計画（R3改正版）</t>
        </is>
      </c>
      <c r="M14" s="11" t="inlineStr">
        <is>
          <t>H30〜R9</t>
        </is>
      </c>
      <c r="N14" s="16" t="n">
        <v>9</v>
      </c>
      <c r="O14" s="13" t="inlineStr">
        <is>
          <t>推定</t>
        </is>
      </c>
      <c r="P14" s="13" t="inlineStr">
        <is>
          <t>未確認</t>
        </is>
      </c>
      <c r="Q14" s="14" t="inlineStr">
        <is>
          <t>https://www.city.kitaakita.akita.jp/uploads/public/archive_0000014042_00/%E3%80%90R3%E6%94%B9%E6%AD%A3%E3%80%91%E5%8C%97%E7%A7%8B%E7%94%B0%E5%B8%82%E7%92%B0%E5%A2%83%E5%9F%BA%E6%9C%AC%E8%A8%88%E7%94%BB_(%E6%9C%80%E7%B5%82%E7%89%88).pdf</t>
        </is>
      </c>
      <c r="R14" s="11" t="inlineStr">
        <is>
          <t>交通：R5.3（公表2024.3.29頃）策定、R5〜R9（網形成計画H30〜R4の後継）。市単独計画（上小阿仁村との共同計画は確認できず）。利便増進実施計画もあり https://www.city.kitaakita.akita.jp/news/p12935 。R9終期のため次期計画はR8〜R9に着手見込み、現時点で策定業務は未確認。R8年度県北地域部会資料あり https://www.pref.akita.lg.jp/uploads/public/archive_0000098833_00/R8活性化協議会①/令和８年度第１回秋田県地域公共交通活性化協議会県北地域部会_会議概要.pdf 。環境：H30.4.1始期・R3改正（10年間ならR9終期、推定・要確認）。区域施策編も策定中/策定済（ゼロカーボン宣言R6.2.15）。</t>
        </is>
      </c>
      <c r="S14" s="15" t="inlineStr">
        <is>
          <t>調査済</t>
        </is>
      </c>
    </row>
    <row r="15">
      <c r="A15" s="11" t="n">
        <v>12</v>
      </c>
      <c r="B15" s="11" t="inlineStr">
        <is>
          <t>にかほ市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にかほ市地域公共交通計画（R7.3修正）</t>
        </is>
      </c>
      <c r="G15" s="11" t="inlineStr">
        <is>
          <t>R4〜R8</t>
        </is>
      </c>
      <c r="H15" s="13" t="n">
        <v>8</v>
      </c>
      <c r="I15" s="13" t="inlineStr">
        <is>
          <t>確認済</t>
        </is>
      </c>
      <c r="J15" s="13" t="inlineStr">
        <is>
          <t>未確認</t>
        </is>
      </c>
      <c r="K15" s="14" t="inlineStr">
        <is>
          <t>https://www.city.nikaho.akita.jp/material/files/group/5/koukyoukoutuukeikaku3.pdf</t>
        </is>
      </c>
      <c r="L15" s="11" t="n"/>
      <c r="M15" s="11" t="inlineStr">
        <is>
          <t>不明</t>
        </is>
      </c>
      <c r="N15" s="13" t="n"/>
      <c r="O15" s="13" t="inlineStr">
        <is>
          <t>不明</t>
        </is>
      </c>
      <c r="P15" s="13" t="inlineStr">
        <is>
          <t>計画なし</t>
        </is>
      </c>
      <c r="Q15" s="11" t="n"/>
      <c r="R15" s="11" t="inlineStr">
        <is>
          <t>交通：R4.3策定・R7.3修正、R8(2026)年度で終期。「にかほ市地域交通調査分析支援業務委託プロポーザル」実施（受託候補者：博報堂）https://www.city.nikaho.akita.jp/soshikikarasagasu/renkei/gyomuannai/1_1/6279.html ―次期計画に向けた調査の可能性大（時期・計画策定との関係は要確認）。AIオンデマンド交通実証も実施。環境：環境基本計画は検索で見つからず。代替としてにかほ市地球温暖化対策実行計画（区域施策編）R7.3策定・2027年度まで https://www.city.nikaho.akita.jp/material/files/group/8/kuikishisaku.pdf 。</t>
        </is>
      </c>
      <c r="S15" s="15" t="inlineStr">
        <is>
          <t>調査済</t>
        </is>
      </c>
    </row>
    <row r="16">
      <c r="A16" s="11" t="n">
        <v>13</v>
      </c>
      <c r="B16" s="11" t="inlineStr">
        <is>
          <t>仙北市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仙北市地域公共交通計画</t>
        </is>
      </c>
      <c r="G16" s="11" t="inlineStr">
        <is>
          <t>R4〜R8</t>
        </is>
      </c>
      <c r="H16" s="13" t="n">
        <v>8</v>
      </c>
      <c r="I16" s="13" t="inlineStr">
        <is>
          <t>確認済</t>
        </is>
      </c>
      <c r="J16" s="13" t="inlineStr">
        <is>
          <t>着手済</t>
        </is>
      </c>
      <c r="K16" s="14" t="inlineStr">
        <is>
          <t>https://www.city.semboku.akita.jp/government/keikaku/documents/220428_koukyoukoutsuu.pdf</t>
        </is>
      </c>
      <c r="L16" s="11" t="n"/>
      <c r="M16" s="11" t="inlineStr">
        <is>
          <t>不明</t>
        </is>
      </c>
      <c r="N16" s="13" t="n"/>
      <c r="O16" s="13" t="inlineStr">
        <is>
          <t>不明</t>
        </is>
      </c>
      <c r="P16" s="13" t="inlineStr">
        <is>
          <t>計画なし</t>
        </is>
      </c>
      <c r="Q16" s="11" t="n"/>
      <c r="R16" s="11" t="inlineStr">
        <is>
          <t>交通：R4.3策定、R8(2026)年度が最終年度。2026年度部局経営方針シートでR9年度からの新計画を市民意見を反映して準備（公共交通座談会拡充・乗車体験イベント・意見交換会）と記載 https://www.city.semboku.akita.jp/government/keikaku/documents/2026_hoshinsi-to.pdf 。策定支援業務の委託先は未確認（有望）。環境：環境基本計画は検索で見つからず（SDGs未来都市計画・一般廃棄物処理基本計画等のみ）。</t>
        </is>
      </c>
      <c r="S16" s="15" t="inlineStr">
        <is>
          <t>調査済</t>
        </is>
      </c>
    </row>
    <row r="17">
      <c r="A17" s="11" t="n">
        <v>14</v>
      </c>
      <c r="B17" s="11" t="inlineStr">
        <is>
          <t>小坂町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小坂町地域公共交通計画</t>
        </is>
      </c>
      <c r="G17" s="11" t="inlineStr">
        <is>
          <t>R4〜R8</t>
        </is>
      </c>
      <c r="H17" s="13" t="n">
        <v>8</v>
      </c>
      <c r="I17" s="13" t="inlineStr">
        <is>
          <t>確認済</t>
        </is>
      </c>
      <c r="J17" s="13" t="inlineStr">
        <is>
          <t>未確認</t>
        </is>
      </c>
      <c r="K17" s="14" t="inlineStr">
        <is>
          <t>https://www.town.kosaka.akita.jp/machinososhiki/somuka/kikakuzaiseihan/2_2/kokyokotsukeikaku/2497.html</t>
        </is>
      </c>
      <c r="L17" s="11" t="inlineStr">
        <is>
          <t>第3次小坂町環境基本計画</t>
        </is>
      </c>
      <c r="M17" s="11" t="inlineStr">
        <is>
          <t>R6〜（終期不明）</t>
        </is>
      </c>
      <c r="N17" s="13" t="n"/>
      <c r="O17" s="13" t="inlineStr">
        <is>
          <t>不明</t>
        </is>
      </c>
      <c r="P17" s="13" t="inlineStr">
        <is>
          <t>策定済</t>
        </is>
      </c>
      <c r="Q17" s="14" t="inlineStr">
        <is>
          <t>https://www.town.kosaka.akita.jp/material/files/group/8/01.pdf</t>
        </is>
      </c>
      <c r="R17" s="11" t="inlineStr">
        <is>
          <t>交通：R4.4.1〜R9.3.31（R8年度終期）。今年度が最終年度のため次期計画策定が必要だが、策定業務プロポーザル等は検索で確認できず（要確認・有望）。協議会ページ https://www.town.kosaka.akita.jp/machinososhiki/somuka/kikakuzaiseihan/2_2/kokyokotsukeikaku/2499.html 、R8.4に地域公共交通マップ作成。環境：第3次計画R6.3策定（期間は検索結果で未確認）。地球温暖化対策実行計画（区域施策編）をR8.1.5策定 https://www.town.kosaka.akita.jp/machinososhiki/chominka/chominseikatsuhan/1/2900.html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7" s="15" t="inlineStr">
        <is>
          <t>調査済</t>
        </is>
      </c>
    </row>
    <row r="18">
      <c r="A18" s="11" t="n">
        <v>15</v>
      </c>
      <c r="B18" s="11" t="inlineStr">
        <is>
          <t>上小阿仁村</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交通：村単独の地域公共交通計画は確認できず。以前は北秋田市・上小阿仁村の地域公共交通網形成計画（H29〜H34）が検索要約に出たが未確証。現行の北秋田市地域公共交通計画（R5〜R9、R5.3策定 https://www.city.kitaakita.akita.jp/uploads/public/news_0000015700_00/koukyoukoutsukeikaku.pdf ）の計画区域に上小阿仁村が含まれるかは未確認（要確認、含まれればt_end=9）。環境：環境基本計画・温対計画とも村HP検索で確認できず（計画なしの可能性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8" s="17" t="inlineStr">
        <is>
          <t>未調査</t>
        </is>
      </c>
    </row>
    <row r="19">
      <c r="A19" s="11" t="n">
        <v>16</v>
      </c>
      <c r="B19" s="11" t="inlineStr">
        <is>
          <t>藤里町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藤里町地域公共交通計画</t>
        </is>
      </c>
      <c r="G19" s="11" t="inlineStr">
        <is>
          <t>R6〜R10</t>
        </is>
      </c>
      <c r="H19" s="13" t="n">
        <v>10</v>
      </c>
      <c r="I19" s="13" t="inlineStr">
        <is>
          <t>確認済</t>
        </is>
      </c>
      <c r="J19" s="13" t="inlineStr">
        <is>
          <t>策定済</t>
        </is>
      </c>
      <c r="K19" s="14" t="inlineStr">
        <is>
          <t>http://www.town.fujisato.akita.jp/kotsu/c640/c643/2890</t>
        </is>
      </c>
      <c r="L19" s="11" t="inlineStr">
        <is>
          <t>藤里町環境基本計画</t>
        </is>
      </c>
      <c r="M19" s="11" t="inlineStr">
        <is>
          <t>不明（H12.3策定）</t>
        </is>
      </c>
      <c r="N19" s="13" t="n"/>
      <c r="O19" s="13" t="inlineStr">
        <is>
          <t>不明</t>
        </is>
      </c>
      <c r="P19" s="13" t="inlineStr">
        <is>
          <t>未確認</t>
        </is>
      </c>
      <c r="Q19" s="14" t="inlineStr">
        <is>
          <t>https://www.env.go.jp/press/files/jp/3487.pdf</t>
        </is>
      </c>
      <c r="R19" s="11" t="inlineStr">
        <is>
          <t>交通：R6.6.18作成、前計画は藤里町地域公共交通網形成計画（H27〜H31）。計画PDF http://www.town.fujisato.akita.jp/up/files/town/soshiki/c52/c74/%E8%97%A4%E9%87%8C%E7%94%BA%E5%9C%B0%E5%9F%9F%E5%85%AC%E5%85%B1%E4%BA%A4%E9%80%9A%E8%A8%88%E7%94%BB.pdf 。能代山本地域の広域計画は確認できず（R6.10秋北バス路線再編で町内デマンド拡充）。環境：環境省資料でH12.3策定の記載のみ、現行版・改定状況は町HPで確認できず（実質計画なしの可能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9" s="15" t="inlineStr">
        <is>
          <t>調査済</t>
        </is>
      </c>
    </row>
    <row r="20">
      <c r="A20" s="11" t="n">
        <v>17</v>
      </c>
      <c r="B20" s="11" t="inlineStr">
        <is>
          <t>三種町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三種町地域公共交通計画</t>
        </is>
      </c>
      <c r="G20" s="11" t="inlineStr">
        <is>
          <t>不明（R3.6策定、R6.5改訂）</t>
        </is>
      </c>
      <c r="H20" s="13" t="n"/>
      <c r="I20" s="13" t="inlineStr">
        <is>
          <t>不明</t>
        </is>
      </c>
      <c r="J20" s="13" t="inlineStr">
        <is>
          <t>未確認</t>
        </is>
      </c>
      <c r="K20" s="14" t="inlineStr">
        <is>
          <t>https://www.town.mitane.akita.jp/material/files/group/3/mitanekoukyoukoutuukeikaku.pdf</t>
        </is>
      </c>
      <c r="L20" s="11" t="n"/>
      <c r="M20" s="11" t="inlineStr">
        <is>
          <t>不明</t>
        </is>
      </c>
      <c r="N20" s="13" t="n"/>
      <c r="O20" s="13" t="inlineStr">
        <is>
          <t>不明</t>
        </is>
      </c>
      <c r="P20" s="13" t="inlineStr">
        <is>
          <t>計画なし</t>
        </is>
      </c>
      <c r="Q20" s="11" t="n"/>
      <c r="R20" s="11" t="inlineStr">
        <is>
          <t>交通：R3.6.18地域公共交通会議で承認、R6.5.23改訂。計画期間は検索結果で確認できず（要確認）。計画ページ https://www.town.mitane.akita.jp/soshikikarasagasu/kikakuseisakuka/1/143.html 。環境：環境基本計画は確認できず。代替として三種町地域脱炭素実行計画（R6〜R12、区域施策編・事務事業編・適応計画を一体化、変更あり） https://www.town.mitane.akita.jp/material/files/group/3/datutannso.pdf / https://www.town.mitane.akita.jp/soshikikarasagasu/kikakuseisakuka/1/3093.html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0" s="15" t="inlineStr">
        <is>
          <t>調査済</t>
        </is>
      </c>
    </row>
    <row r="21">
      <c r="A21" s="11" t="n">
        <v>18</v>
      </c>
      <c r="B21" s="11" t="inlineStr">
        <is>
          <t>八峰町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交通：八峰町単独の地域公共交通計画は町HP検索で確認できず。R2年度に住民アンケート、R3.10.1〜R4.9.30巡回バス試行運行 http://www.town.happou.akita.jp/docs/2021091400034/ 。能代山本地域の広域計画も確認できず（R6.10秋北バス能代山本路線再編で町の巡回バス・乗合タクシー拡充）https://www.sakigake.jp/news/article/20241006AK0019/ 。環境：環境基本計画は確認できず（町HP要約に地球温暖化防止対策実行計画・省エネビジョンの言及のみ、詳細不明）。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1" s="17" t="inlineStr">
        <is>
          <t>環境のみ調査</t>
        </is>
      </c>
    </row>
    <row r="22">
      <c r="A22" s="11" t="n">
        <v>19</v>
      </c>
      <c r="B22" s="11" t="inlineStr">
        <is>
          <t>五城目町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南秋地域公共交通計画（五城目町・八郎潟町・大潟村共同）</t>
        </is>
      </c>
      <c r="G22" s="11" t="inlineStr">
        <is>
          <t>R5〜R9</t>
        </is>
      </c>
      <c r="H22" s="13" t="n">
        <v>9</v>
      </c>
      <c r="I22" s="13" t="inlineStr">
        <is>
          <t>確認済</t>
        </is>
      </c>
      <c r="J22" s="13" t="inlineStr">
        <is>
          <t>未確認</t>
        </is>
      </c>
      <c r="K22" s="14" t="inlineStr">
        <is>
          <t>https://www.town.gojome.akita.jp/kurashi/koukyoukoutsu/2085</t>
        </is>
      </c>
      <c r="L22" s="11" t="n"/>
      <c r="M22" s="11" t="inlineStr">
        <is>
          <t>不明</t>
        </is>
      </c>
      <c r="N22" s="13" t="n"/>
      <c r="O22" s="13" t="inlineStr">
        <is>
          <t>不明</t>
        </is>
      </c>
      <c r="P22" s="13" t="inlineStr">
        <is>
          <t>計画なし</t>
        </is>
      </c>
      <c r="Q22" s="11" t="n"/>
      <c r="R22" s="11" t="inlineStr">
        <is>
          <t>交通：南秋地域公共交通活性化協議会（五城目・八郎潟・大潟）が策定、R5〜R9でR9終期→次期はR8〜R9に着手見込み（着手情報は未確認）。計画案PDF https://www.town.gojome.akita.jp/up/files/town/machikeikaku/koutuukeikaku.pdf 。別途、町単独の五城目町地域公共交通計画（R4〜R8、R4.5策定）https://www.town.gojome.akita.jp/town/sosikiannai/machi/matiduku/1734 もあり、R8終期（次期は未確認）。環境：環境基本計画は確認できず。地球温暖化対策実行計画（事務事業編）のみ確認。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2" s="15" t="inlineStr">
        <is>
          <t>調査済</t>
        </is>
      </c>
    </row>
    <row r="23">
      <c r="A23" s="11" t="n">
        <v>20</v>
      </c>
      <c r="B23" s="11" t="inlineStr">
        <is>
          <t>八郎潟町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南秋地域公共交通計画（五城目町・八郎潟町・大潟村共同、南秋地域公共交通活性化協議会）</t>
        </is>
      </c>
      <c r="G23" s="11" t="inlineStr">
        <is>
          <t>R5〜R9</t>
        </is>
      </c>
      <c r="H23" s="13" t="n">
        <v>9</v>
      </c>
      <c r="I23" s="13" t="inlineStr">
        <is>
          <t>確認済</t>
        </is>
      </c>
      <c r="J23" s="13" t="inlineStr">
        <is>
          <t>未確認</t>
        </is>
      </c>
      <c r="K23" s="14" t="inlineStr">
        <is>
          <t>https://www.town.gojome.akita.jp/kurashi/koukyoukoutsu/2085</t>
        </is>
      </c>
      <c r="L23" s="11" t="n"/>
      <c r="M23" s="11" t="inlineStr">
        <is>
          <t>不明</t>
        </is>
      </c>
      <c r="N23" s="13" t="n"/>
      <c r="O23" s="13" t="inlineStr">
        <is>
          <t>不明</t>
        </is>
      </c>
      <c r="P23" s="13" t="inlineStr">
        <is>
          <t>計画なし</t>
        </is>
      </c>
      <c r="Q23" s="11" t="n"/>
      <c r="R23" s="11" t="inlineStr">
        <is>
          <t>交通：南秋地域公共交通計画はR5.6策定（東北運輸局資料で確認）。井川町は含まれない。計画期間R5〜R9（五城目町サイトで確認、計画案PDF https://www.town.gojome.akita.jp/up/files/town/machikeikaku/koutuukeikaku.pdf ）。東北運輸局資料 https://wwwtb.mlit.go.jp/tohoku/content/000305851.pdf 。環境：町独自の環境基本計画は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3" s="15" t="inlineStr">
        <is>
          <t>調査済</t>
        </is>
      </c>
    </row>
    <row r="24">
      <c r="A24" s="11" t="n">
        <v>21</v>
      </c>
      <c r="B24" s="11" t="inlineStr">
        <is>
          <t>井川町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秋田県地域公共交通計画（県計画、町独自計画は見当たらず）</t>
        </is>
      </c>
      <c r="G24" s="11" t="inlineStr">
        <is>
          <t>R4〜R8</t>
        </is>
      </c>
      <c r="H24" s="13" t="n">
        <v>8</v>
      </c>
      <c r="I24" s="13" t="inlineStr">
        <is>
          <t>確認済</t>
        </is>
      </c>
      <c r="J24" s="13" t="inlineStr">
        <is>
          <t>未確認</t>
        </is>
      </c>
      <c r="K24" s="14" t="inlineStr">
        <is>
          <t>https://www.pref.akita.lg.jp/uploads/public/archive_0000062825_00/観スポ_所管事項関連　別冊２（秋田県地域公共交通計画（案）について）.pdf</t>
        </is>
      </c>
      <c r="L24" s="11" t="n"/>
      <c r="M24" s="11" t="inlineStr">
        <is>
          <t>不明</t>
        </is>
      </c>
      <c r="N24" s="13" t="n"/>
      <c r="O24" s="13" t="inlineStr">
        <is>
          <t>不明</t>
        </is>
      </c>
      <c r="P24" s="13" t="inlineStr">
        <is>
          <t>計画なし</t>
        </is>
      </c>
      <c r="Q24" s="11" t="n"/>
      <c r="R24" s="11" t="inlineStr">
        <is>
          <t>交通：町独自の地域公共交通計画は検索で確認できず（南秋地域公共交通計画は五城目・八郎潟・大潟の3町村で井川町は不参加）。t_urlは県計画（案）資料。県計画はR8終期で次期県計画を協議会で検討中（下記）。環境：環境基本計画・区域施策編とも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4" s="15" t="inlineStr">
        <is>
          <t>調査済</t>
        </is>
      </c>
    </row>
    <row r="25">
      <c r="A25" s="11" t="n">
        <v>22</v>
      </c>
      <c r="B25" s="11" t="inlineStr">
        <is>
          <t>大潟村</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南秋地域公共交通計画（五城目町・八郎潟町・大潟村共同、南秋地域公共交通活性化協議会）</t>
        </is>
      </c>
      <c r="G25" s="11" t="inlineStr">
        <is>
          <t>R5〜R9</t>
        </is>
      </c>
      <c r="H25" s="13" t="n">
        <v>9</v>
      </c>
      <c r="I25" s="13" t="inlineStr">
        <is>
          <t>確認済</t>
        </is>
      </c>
      <c r="J25" s="13" t="inlineStr">
        <is>
          <t>未確認</t>
        </is>
      </c>
      <c r="K25" s="14" t="inlineStr">
        <is>
          <t>https://www.town.gojome.akita.jp/kurashi/koukyoukoutsu/2085</t>
        </is>
      </c>
      <c r="L25" s="11" t="n"/>
      <c r="M25" s="11" t="inlineStr">
        <is>
          <t>不明</t>
        </is>
      </c>
      <c r="N25" s="13" t="n"/>
      <c r="O25" s="13" t="inlineStr">
        <is>
          <t>不明</t>
        </is>
      </c>
      <c r="P25" s="13" t="inlineStr">
        <is>
          <t>計画なし</t>
        </is>
      </c>
      <c r="Q25" s="11" t="n"/>
      <c r="R25" s="11" t="inlineStr">
        <is>
          <t>交通：八郎潟町と同じ南秋地域公共交通計画（R5.6策定）。期間R5〜R9（五城目町サイトで確認）。環境：村独自の環境基本計画は検索で見当たらず。大潟村は環境省の脱炭素先行地域（メガソーラー・地域エネルギー会社等） https://www.env.go.jp/content/900512579.pdf 。第3次大潟村振興計画に「自然にやさしい環境の創造」あり。</t>
        </is>
      </c>
      <c r="S25" s="15" t="inlineStr">
        <is>
          <t>調査済</t>
        </is>
      </c>
    </row>
    <row r="26">
      <c r="A26" s="11" t="n">
        <v>23</v>
      </c>
      <c r="B26" s="11" t="inlineStr">
        <is>
          <t>美郷町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美郷町地域公共交通計画</t>
        </is>
      </c>
      <c r="G26" s="11" t="inlineStr">
        <is>
          <t>R4〜R8?（R4.3策定）</t>
        </is>
      </c>
      <c r="H26" s="16" t="n">
        <v>8</v>
      </c>
      <c r="I26" s="13" t="inlineStr">
        <is>
          <t>推定</t>
        </is>
      </c>
      <c r="J26" s="13" t="inlineStr">
        <is>
          <t>未確認</t>
        </is>
      </c>
      <c r="K26" s="14" t="inlineStr">
        <is>
          <t>https://www.town.misato.akita.jp/up/files/madoguchi/kikaku/kikakuzaiseihan/koutukeikaku/%E7%BE%8E%E9%83%B7%E7%94%BA%E5%9C%B0%E5%9F%9F%E5%85%AC%E5%85%B1%E4%BA%A4%E9%80%9A%E8%A8%88%E7%94%BB.pdf</t>
        </is>
      </c>
      <c r="L26" s="11" t="n"/>
      <c r="M26" s="11" t="inlineStr">
        <is>
          <t>不明</t>
        </is>
      </c>
      <c r="N26" s="13" t="n"/>
      <c r="O26" s="13" t="inlineStr">
        <is>
          <t>不明</t>
        </is>
      </c>
      <c r="P26" s="13" t="inlineStr">
        <is>
          <t>計画なし</t>
        </is>
      </c>
      <c r="Q26" s="11" t="n"/>
      <c r="R26" s="11" t="inlineStr">
        <is>
          <t>交通：R4.3策定（乗合タクシー中心）。期間は検索結果で確認できず、県計画と同じ5年ならR4〜R8（今年度終期→次期計画の動きに注意、町の策定業務は未確認）。島根県美郷町と混同注意。環境：環境基本計画は見当たらず（事務事業編の美郷町役場地球温暖化対策実行計画（第2期、H27.3）等のみ https://www.town.misato.akita.jp/up/files/archives/jikkoukeikaku/6848download.pdf ）。【県計画】秋田県地域公共交通計画はR4〜R8（R4.3策定、R8＝今年度終期）。R8.6.23の令和8年度第1回秋田県地域公共交通活性化協議会で県計画の策定（次期計画）を議論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6" s="15" t="inlineStr">
        <is>
          <t>調査済</t>
        </is>
      </c>
    </row>
    <row r="27">
      <c r="A27" s="11" t="n">
        <v>24</v>
      </c>
      <c r="B27" s="11" t="inlineStr">
        <is>
          <t>羽後町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秋田県地域公共交通計画（県計画、町独自計画は見当たらず）</t>
        </is>
      </c>
      <c r="G27" s="11" t="inlineStr">
        <is>
          <t>R4〜R8</t>
        </is>
      </c>
      <c r="H27" s="13" t="n">
        <v>8</v>
      </c>
      <c r="I27" s="13" t="inlineStr">
        <is>
          <t>確認済</t>
        </is>
      </c>
      <c r="J27" s="13" t="inlineStr">
        <is>
          <t>未確認</t>
        </is>
      </c>
      <c r="K27" s="14" t="inlineStr">
        <is>
          <t>https://www.pref.akita.lg.jp/uploads/public/archive_0000062825_00/観スポ_所管事項関連　別冊２（秋田県地域公共交通計画（案）について）.pdf</t>
        </is>
      </c>
      <c r="L27" s="11" t="n"/>
      <c r="M27" s="11" t="inlineStr">
        <is>
          <t>不明</t>
        </is>
      </c>
      <c r="N27" s="13" t="n"/>
      <c r="O27" s="13" t="inlineStr">
        <is>
          <t>不明</t>
        </is>
      </c>
      <c r="P27" s="13" t="inlineStr">
        <is>
          <t>計画なし</t>
        </is>
      </c>
      <c r="Q27" s="11" t="n"/>
      <c r="R27" s="11" t="inlineStr">
        <is>
          <t>交通：町独自の地域公共交通計画、湯沢雄勝広域の共同計画とも検索で確認できず（湯沢市は単独計画あり）。羽後交通路線は県計画（地域間幹線系統）で位置づけ。環境：環境基本計画・区域施策編とも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7" s="15" t="inlineStr">
        <is>
          <t>調査済</t>
        </is>
      </c>
    </row>
    <row r="28">
      <c r="A28" s="11" t="n">
        <v>25</v>
      </c>
      <c r="B28" s="11" t="inlineStr">
        <is>
          <t>東成瀬村</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秋田県地域公共交通計画（県計画、村独自計画は見当たらず）</t>
        </is>
      </c>
      <c r="G28" s="11" t="inlineStr">
        <is>
          <t>R4〜R8</t>
        </is>
      </c>
      <c r="H28" s="13" t="n">
        <v>8</v>
      </c>
      <c r="I28" s="13" t="inlineStr">
        <is>
          <t>確認済</t>
        </is>
      </c>
      <c r="J28" s="13" t="inlineStr">
        <is>
          <t>未確認</t>
        </is>
      </c>
      <c r="K28" s="14" t="inlineStr">
        <is>
          <t>https://www.pref.akita.lg.jp/uploads/public/archive_0000062825_00/観スポ_所管事項関連　別冊２（秋田県地域公共交通計画（案）について）.pdf</t>
        </is>
      </c>
      <c r="L28" s="11" t="n"/>
      <c r="M28" s="11" t="inlineStr">
        <is>
          <t>不明</t>
        </is>
      </c>
      <c r="N28" s="13" t="n"/>
      <c r="O28" s="13" t="inlineStr">
        <is>
          <t>不明</t>
        </is>
      </c>
      <c r="P28" s="13" t="inlineStr">
        <is>
          <t>計画なし</t>
        </is>
      </c>
      <c r="Q28" s="11" t="n"/>
      <c r="R28" s="11" t="inlineStr">
        <is>
          <t>交通：村独自の地域公共交通計画・湯沢雄勝広域共同計画とも検索で確認できず。環境：環境基本計画見当たらず（まち・ひと・しごと創生推進計画のみ確認）。【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8" s="15" t="inlineStr">
        <is>
          <t>調査済</t>
        </is>
      </c>
    </row>
  </sheetData>
  <autoFilter ref="A3:S28"/>
  <conditionalFormatting sqref="A4:S2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1" r:id="rId14"/>
    <hyperlink xmlns:r="http://schemas.openxmlformats.org/officeDocument/2006/relationships" ref="K12" r:id="rId15"/>
    <hyperlink xmlns:r="http://schemas.openxmlformats.org/officeDocument/2006/relationships" ref="Q12" r:id="rId16"/>
    <hyperlink xmlns:r="http://schemas.openxmlformats.org/officeDocument/2006/relationships" ref="K13" r:id="rId17"/>
    <hyperlink xmlns:r="http://schemas.openxmlformats.org/officeDocument/2006/relationships" ref="Q13" r:id="rId18"/>
    <hyperlink xmlns:r="http://schemas.openxmlformats.org/officeDocument/2006/relationships" ref="K14" r:id="rId19"/>
    <hyperlink xmlns:r="http://schemas.openxmlformats.org/officeDocument/2006/relationships" ref="Q14" r:id="rId20"/>
    <hyperlink xmlns:r="http://schemas.openxmlformats.org/officeDocument/2006/relationships" ref="K15" r:id="rId21"/>
    <hyperlink xmlns:r="http://schemas.openxmlformats.org/officeDocument/2006/relationships" ref="K16" r:id="rId22"/>
    <hyperlink xmlns:r="http://schemas.openxmlformats.org/officeDocument/2006/relationships" ref="K17" r:id="rId23"/>
    <hyperlink xmlns:r="http://schemas.openxmlformats.org/officeDocument/2006/relationships" ref="Q17" r:id="rId24"/>
    <hyperlink xmlns:r="http://schemas.openxmlformats.org/officeDocument/2006/relationships" ref="K19" r:id="rId25"/>
    <hyperlink xmlns:r="http://schemas.openxmlformats.org/officeDocument/2006/relationships" ref="Q19" r:id="rId26"/>
    <hyperlink xmlns:r="http://schemas.openxmlformats.org/officeDocument/2006/relationships" ref="K20" r:id="rId27"/>
    <hyperlink xmlns:r="http://schemas.openxmlformats.org/officeDocument/2006/relationships" ref="K22" r:id="rId28"/>
    <hyperlink xmlns:r="http://schemas.openxmlformats.org/officeDocument/2006/relationships" ref="K23" r:id="rId29"/>
    <hyperlink xmlns:r="http://schemas.openxmlformats.org/officeDocument/2006/relationships" ref="K24" r:id="rId30"/>
    <hyperlink xmlns:r="http://schemas.openxmlformats.org/officeDocument/2006/relationships" ref="K25" r:id="rId31"/>
    <hyperlink xmlns:r="http://schemas.openxmlformats.org/officeDocument/2006/relationships" ref="K26" r:id="rId32"/>
    <hyperlink xmlns:r="http://schemas.openxmlformats.org/officeDocument/2006/relationships" ref="K27" r:id="rId33"/>
    <hyperlink xmlns:r="http://schemas.openxmlformats.org/officeDocument/2006/relationships" ref="K28" r:id="rId3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山形県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山形市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第2期山形市地域公共交通計画</t>
        </is>
      </c>
      <c r="G4" s="11" t="inlineStr">
        <is>
          <t>R8〜R12</t>
        </is>
      </c>
      <c r="H4" s="13" t="n">
        <v>12</v>
      </c>
      <c r="I4" s="13" t="inlineStr">
        <is>
          <t>確認済</t>
        </is>
      </c>
      <c r="J4" s="13" t="inlineStr">
        <is>
          <t>策定済</t>
        </is>
      </c>
      <c r="K4" s="14" t="inlineStr">
        <is>
          <t>https://www.city.yamagata-yamagata.lg.jp/_res/projects/default_project/_page_/001/002/654/keikaku2_honpen.pdf</t>
        </is>
      </c>
      <c r="L4" s="11" t="inlineStr">
        <is>
          <t>第4次山形市環境基本計画</t>
        </is>
      </c>
      <c r="M4" s="11" t="inlineStr">
        <is>
          <t>R3〜R12</t>
        </is>
      </c>
      <c r="N4" s="16" t="n">
        <v>12</v>
      </c>
      <c r="O4" s="13" t="inlineStr">
        <is>
          <t>推定</t>
        </is>
      </c>
      <c r="P4" s="13" t="inlineStr">
        <is>
          <t>未確認</t>
        </is>
      </c>
      <c r="Q4" s="14" t="inlineStr">
        <is>
          <t>https://www.city.yamagata-yamagata.lg.jp/shiseijoho/keikaku/1006993/1002366.html</t>
        </is>
      </c>
      <c r="R4" s="11" t="inlineStr">
        <is>
          <t>交通：第1期(R3.3策定)の後継として第2期をR8.3策定、計画期間R8.4〜R13.3。計画ページ https://www.city.yamagata-yamagata.lg.jp/shiseijoho/keikaku/1008370/1002654.html 。環境：第4次は令和12年度(2030)を目標年度とする10年計画（開始年度は推定）。</t>
        </is>
      </c>
      <c r="S4" s="15" t="inlineStr">
        <is>
          <t>調査済</t>
        </is>
      </c>
    </row>
    <row r="5">
      <c r="A5" s="11" t="n">
        <v>2</v>
      </c>
      <c r="B5" s="11" t="inlineStr">
        <is>
          <t>米沢市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米沢市地域公共交通計画</t>
        </is>
      </c>
      <c r="G5" s="11" t="inlineStr">
        <is>
          <t>R4〜R8</t>
        </is>
      </c>
      <c r="H5" s="13" t="n">
        <v>8</v>
      </c>
      <c r="I5" s="13" t="inlineStr">
        <is>
          <t>確認済</t>
        </is>
      </c>
      <c r="J5" s="13" t="inlineStr">
        <is>
          <t>未確認</t>
        </is>
      </c>
      <c r="K5" s="14" t="inlineStr">
        <is>
          <t>https://www.city.yonezawa.yamagata.jp/soshiki/2/1007/7/2367.html</t>
        </is>
      </c>
      <c r="L5" s="11" t="inlineStr">
        <is>
          <t>第4期米沢市環境基本計画</t>
        </is>
      </c>
      <c r="M5" s="11" t="inlineStr">
        <is>
          <t>R8〜不明</t>
        </is>
      </c>
      <c r="N5" s="16" t="n"/>
      <c r="O5" s="13" t="inlineStr">
        <is>
          <t>推定</t>
        </is>
      </c>
      <c r="P5" s="13" t="inlineStr">
        <is>
          <t>策定済</t>
        </is>
      </c>
      <c r="Q5" s="14" t="inlineStr">
        <is>
          <t>https://www.city.yonezawa.yamagata.jp/soshiki/3/kankyo/9_1/8300.html</t>
        </is>
      </c>
      <c r="R5" s="11" t="inlineStr">
        <is>
          <t>交通：R8年度終期のため次期計画策定が今年度中に必要だが、策定支援業務・パブコメ等は検索で未確認（要確認・営業優先度高）。環境：第3期(H28〜R7)の後継として第4期案をR7.11.14環境審議会で審議（資料 https://www.city.yonezawa.yamagata.jp/material/files/group/47/02_setumeisiryou.pdf ）、R8.3策定とみられる。第4期地球温暖化対策実行計画もパブコメ実施。</t>
        </is>
      </c>
      <c r="S5" s="15" t="inlineStr">
        <is>
          <t>調査済</t>
        </is>
      </c>
    </row>
    <row r="6">
      <c r="A6" s="11" t="n">
        <v>3</v>
      </c>
      <c r="B6" s="11" t="inlineStr">
        <is>
          <t>鶴岡市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鶴岡市地域公共交通計画（R08-12）</t>
        </is>
      </c>
      <c r="G6" s="11" t="inlineStr">
        <is>
          <t>R8〜R12</t>
        </is>
      </c>
      <c r="H6" s="13" t="n">
        <v>12</v>
      </c>
      <c r="I6" s="13" t="inlineStr">
        <is>
          <t>確認済</t>
        </is>
      </c>
      <c r="J6" s="13" t="inlineStr">
        <is>
          <t>策定済</t>
        </is>
      </c>
      <c r="K6" s="14" t="inlineStr">
        <is>
          <t>https://www.city.tsuruoka.lg.jp/seibi/tiikikoukyoukoutu/tiiki0120160419.files/R8.3honnpenn.pdf</t>
        </is>
      </c>
      <c r="L6" s="11" t="inlineStr">
        <is>
          <t>第2次鶴岡市環境基本計画</t>
        </is>
      </c>
      <c r="M6" s="11" t="inlineStr">
        <is>
          <t>R4〜R13</t>
        </is>
      </c>
      <c r="N6" s="16" t="n">
        <v>13</v>
      </c>
      <c r="O6" s="13" t="inlineStr">
        <is>
          <t>推定</t>
        </is>
      </c>
      <c r="P6" s="13" t="inlineStr">
        <is>
          <t>未確認</t>
        </is>
      </c>
      <c r="Q6" s="14" t="inlineStr">
        <is>
          <t>https://www.city.tsuruoka.lg.jp/seibi/kankyo/kihonkeikaku/dainizi_kankyoukihon.html</t>
        </is>
      </c>
      <c r="R6" s="11" t="inlineStr">
        <is>
          <t>交通：R7.6改定支援業務プロポーザル→R8.3策定（パブコメ結果 https://www.city.tsuruoka.lg.jp/shisei/koutyou/publiccomment/r07/tiiki0120260327.html ）。環境：第1次H24〜R3の後継、第2次はR4開始（期間は10年と推定）。</t>
        </is>
      </c>
      <c r="S6" s="15" t="inlineStr">
        <is>
          <t>調査済</t>
        </is>
      </c>
    </row>
    <row r="7">
      <c r="A7" s="11" t="n">
        <v>4</v>
      </c>
      <c r="B7" s="11" t="inlineStr">
        <is>
          <t>酒田市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酒田市地域公共交通計画</t>
        </is>
      </c>
      <c r="G7" s="11" t="inlineStr">
        <is>
          <t>R3〜R8（延長）</t>
        </is>
      </c>
      <c r="H7" s="16" t="n">
        <v>8</v>
      </c>
      <c r="I7" s="13" t="inlineStr">
        <is>
          <t>推定</t>
        </is>
      </c>
      <c r="J7" s="13" t="inlineStr">
        <is>
          <t>着手済</t>
        </is>
      </c>
      <c r="K7" s="14" t="inlineStr">
        <is>
          <t>https://www.city.sakata.lg.jp/shisei/shisakukeikaku/kikaku/chiikokyokotsumo/trafficplan2021.html</t>
        </is>
      </c>
      <c r="L7" s="11" t="inlineStr">
        <is>
          <t>第3次酒田市環境基本計画</t>
        </is>
      </c>
      <c r="M7" s="11" t="inlineStr">
        <is>
          <t>R8〜不明</t>
        </is>
      </c>
      <c r="N7" s="16" t="n"/>
      <c r="O7" s="13" t="inlineStr">
        <is>
          <t>推定</t>
        </is>
      </c>
      <c r="P7" s="13" t="inlineStr">
        <is>
          <t>策定済</t>
        </is>
      </c>
      <c r="Q7" s="14" t="inlineStr">
        <is>
          <t>https://www.city.sakata.lg.jp/shisei/shisakukeikaku/shimin/kankyokihonkeikaku/kankyoplan03.files/kankyoplan3-data.pdf</t>
        </is>
      </c>
      <c r="R7" s="11" t="inlineStr">
        <is>
          <t>交通：R3.2策定の計画(R3〜R7)。市サイトに『次期計画として令和9〜13年度を計画期間とする新計画』の記載があり、現計画はR8まで延長し次期計画を策定中とみられる（要確認）。計画一覧 https://www.city.sakata.lg.jp/shisei/shisakukeikaku/kikaku/chiikokyokotsumo/index.html 。環境：第3次をR8.3策定（資料編で確認、期間未確認）。</t>
        </is>
      </c>
      <c r="S7" s="15" t="inlineStr">
        <is>
          <t>調査済</t>
        </is>
      </c>
    </row>
    <row r="8">
      <c r="A8" s="11" t="n">
        <v>5</v>
      </c>
      <c r="B8" s="11" t="inlineStr">
        <is>
          <t>新庄市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山形県地域公共交通計画（県・市町村共同、次期計画R8.3.27策定）</t>
        </is>
      </c>
      <c r="G8" s="11" t="inlineStr">
        <is>
          <t>R8〜不明</t>
        </is>
      </c>
      <c r="H8" s="16" t="n"/>
      <c r="I8" s="13" t="inlineStr">
        <is>
          <t>推定</t>
        </is>
      </c>
      <c r="J8" s="13" t="inlineStr">
        <is>
          <t>策定済</t>
        </is>
      </c>
      <c r="K8" s="14" t="inlineStr">
        <is>
          <t>https://www.pref.yamagata.jp/020057/kurashi/kendo/kotsuseisaku/ykotsu_kasseikakyougikai.html</t>
        </is>
      </c>
      <c r="L8" s="11" t="inlineStr">
        <is>
          <t>第4次新庄市環境基本計画</t>
        </is>
      </c>
      <c r="M8" s="11" t="inlineStr">
        <is>
          <t>R3〜R12</t>
        </is>
      </c>
      <c r="N8" s="13" t="n">
        <v>12</v>
      </c>
      <c r="O8" s="13" t="inlineStr">
        <is>
          <t>確認済</t>
        </is>
      </c>
      <c r="P8" s="13" t="inlineStr">
        <is>
          <t>未確認</t>
        </is>
      </c>
      <c r="Q8" s="14" t="inlineStr">
        <is>
          <t>http://www.city.shinjo.yamagata.jp/s008/170/010/kankyoukihonkeikakuno4.pdf</t>
        </is>
      </c>
      <c r="R8" s="11" t="inlineStr">
        <is>
          <t>交通：市単独の地域公共交通計画は検索で見当たらず。県計画の最上地域部会で最上管内8市町村の公共交通再編を検討中（R7.11資料 https://www.pref.yamagata.jp/documents/47862/20251125shiryou2-2.pdf ）。山形県地域公共交通計画（前計画R3〜R7）は市町村の利便増進実施計画等を内包する県全域計画。次期計画はR8.2パブコメ（https://www200.pref.yamagata.jp/020057/keikakupabukomepress2.html ）を経てR8.3.27策定（期間は未確認、R8開始）。</t>
        </is>
      </c>
      <c r="S8" s="15" t="inlineStr">
        <is>
          <t>調査済</t>
        </is>
      </c>
    </row>
    <row r="9">
      <c r="A9" s="11" t="n">
        <v>6</v>
      </c>
      <c r="B9" s="11" t="inlineStr">
        <is>
          <t>寒河江市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寒河江市生活交通ネットワーク計画（法定計画か不明）</t>
        </is>
      </c>
      <c r="G9" s="11" t="inlineStr">
        <is>
          <t>不明</t>
        </is>
      </c>
      <c r="H9" s="13" t="n"/>
      <c r="I9" s="13" t="inlineStr">
        <is>
          <t>不明</t>
        </is>
      </c>
      <c r="J9" s="13" t="inlineStr">
        <is>
          <t>未確認</t>
        </is>
      </c>
      <c r="K9" s="14" t="inlineStr">
        <is>
          <t>https://www.city.sagae.yamagata.jp/shisei/keikaku/toshikankyokeikaku/koutsu_net_sakutei.html</t>
        </is>
      </c>
      <c r="L9" s="11" t="inlineStr">
        <is>
          <t>寒河江市環境基本計画（R5.3改定）</t>
        </is>
      </c>
      <c r="M9" s="11" t="inlineStr">
        <is>
          <t>不明</t>
        </is>
      </c>
      <c r="N9" s="13" t="n"/>
      <c r="O9" s="13" t="inlineStr">
        <is>
          <t>不明</t>
        </is>
      </c>
      <c r="P9" s="13" t="inlineStr">
        <is>
          <t>未確認</t>
        </is>
      </c>
      <c r="Q9" s="14" t="inlineStr">
        <is>
          <t>https://www.city.sagae.yamagata.jp/shisei/keikaku/toshikankyokeikaku/kankyokeikaku.html</t>
        </is>
      </c>
      <c r="R9" s="11" t="inlineStr">
        <is>
          <t>交通：法定の地域公共交通計画は見当たらず、市の生活交通ネットワーク計画と県計画（山形県地域公共交通計画（県・市町村共同、次期計画R8.3.27策定））で対応。環境：R5.3改定、期間は検索で確認できず。</t>
        </is>
      </c>
      <c r="S9" s="15" t="inlineStr">
        <is>
          <t>調査済</t>
        </is>
      </c>
    </row>
    <row r="10">
      <c r="A10" s="11" t="n">
        <v>7</v>
      </c>
      <c r="B10" s="11" t="inlineStr">
        <is>
          <t>上山市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山形県地域公共交通計画（県・市町村共同、次期計画R8.3.27策定）</t>
        </is>
      </c>
      <c r="G10" s="11" t="inlineStr">
        <is>
          <t>R8〜不明</t>
        </is>
      </c>
      <c r="H10" s="16" t="n"/>
      <c r="I10" s="13" t="inlineStr">
        <is>
          <t>推定</t>
        </is>
      </c>
      <c r="J10" s="13" t="inlineStr">
        <is>
          <t>策定済</t>
        </is>
      </c>
      <c r="K10" s="14" t="inlineStr">
        <is>
          <t>https://www.pref.yamagata.jp/020057/kurashi/kendo/kotsuseisaku/ykotsu_kasseikakyougikai.html</t>
        </is>
      </c>
      <c r="L10" s="11" t="inlineStr">
        <is>
          <t>第3期上山市快適環境基本計画</t>
        </is>
      </c>
      <c r="M10" s="11" t="inlineStr">
        <is>
          <t>R6〜R12</t>
        </is>
      </c>
      <c r="N10" s="13" t="n">
        <v>12</v>
      </c>
      <c r="O10" s="13" t="inlineStr">
        <is>
          <t>確認済</t>
        </is>
      </c>
      <c r="P10" s="13" t="inlineStr">
        <is>
          <t>未確認</t>
        </is>
      </c>
      <c r="Q10" s="14" t="inlineStr">
        <is>
          <t>https://www.city.kaminoyama.yamagata.jp/soshiki/6/kaitekikankyou-gaiyou.html</t>
        </is>
      </c>
      <c r="R10" s="11" t="inlineStr">
        <is>
          <t>交通：市単独の地域公共交通計画は検索で見当たらず（上山市地域公共交通会議のみ）。山形県地域公共交通計画（前計画R3〜R7）は市町村の利便増進実施計画等を内包する県全域計画。次期計画はR8.2パブコメ（https://www200.pref.yamagata.jp/020057/keikakupabukomepress2.html ）を経てR8.3.27策定（期間は未確認、R8開始）。 環境：R6.4〜R13.3の8年間（第8次振興計画に合わせる）。</t>
        </is>
      </c>
      <c r="S10" s="15" t="inlineStr">
        <is>
          <t>調査済</t>
        </is>
      </c>
    </row>
    <row r="11">
      <c r="A11" s="11" t="n">
        <v>8</v>
      </c>
      <c r="B11" s="11" t="inlineStr">
        <is>
          <t>村山市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山形県地域公共交通計画（県・市町村共同、次期計画R8.3.27策定）</t>
        </is>
      </c>
      <c r="G11" s="11" t="inlineStr">
        <is>
          <t>R8〜不明</t>
        </is>
      </c>
      <c r="H11" s="16" t="n"/>
      <c r="I11" s="13" t="inlineStr">
        <is>
          <t>推定</t>
        </is>
      </c>
      <c r="J11" s="13" t="inlineStr">
        <is>
          <t>策定済</t>
        </is>
      </c>
      <c r="K11" s="14" t="inlineStr">
        <is>
          <t>https://www.pref.yamagata.jp/020057/kurashi/kendo/kotsuseisaku/ykotsu_kasseikakyougikai.html</t>
        </is>
      </c>
      <c r="L11" s="11" t="inlineStr">
        <is>
          <t>村山市環境基本計画（第２次）</t>
        </is>
      </c>
      <c r="M11" s="11" t="inlineStr">
        <is>
          <t>H30〜R9</t>
        </is>
      </c>
      <c r="N11" s="13" t="n">
        <v>9</v>
      </c>
      <c r="O11" s="13" t="inlineStr">
        <is>
          <t>確認済</t>
        </is>
      </c>
      <c r="P11" s="13" t="inlineStr">
        <is>
          <t>未確認</t>
        </is>
      </c>
      <c r="Q11" s="14" t="inlineStr">
        <is>
          <t>https://www.city.murayama.lg.jp/kurashi/shizen/kankyohozen/kankyoukihon.files/kankyou-2.pdf</t>
        </is>
      </c>
      <c r="R11" s="11" t="inlineStr">
        <is>
          <t>環境：H30〜R9（2027）の10年計画で終期R9。次期（第3次）策定の着手は未確認（R8〜R9に着手見込み・営業対象）。交通：市単独計画は見当たらず（市営バス・乗合タクシー運行）。山形県地域公共交通計画（前計画R3〜R7）は市町村の利便増進実施計画等を内包する県全域計画。次期計画はR8.2パブコメ（https://www200.pref.yamagata.jp/020057/keikakupabukomepress2.html ）を経てR8.3.27策定（期間は未確認、R8開始）。</t>
        </is>
      </c>
      <c r="S11" s="15" t="inlineStr">
        <is>
          <t>調査済</t>
        </is>
      </c>
    </row>
    <row r="12">
      <c r="A12" s="11" t="n">
        <v>9</v>
      </c>
      <c r="B12" s="11" t="inlineStr">
        <is>
          <t>長井市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長井市地域公共交通計画（案）</t>
        </is>
      </c>
      <c r="G12" s="11" t="inlineStr">
        <is>
          <t>不明</t>
        </is>
      </c>
      <c r="H12" s="13" t="n"/>
      <c r="I12" s="13" t="inlineStr">
        <is>
          <t>不明</t>
        </is>
      </c>
      <c r="J12" s="13" t="inlineStr">
        <is>
          <t>着手済</t>
        </is>
      </c>
      <c r="K12" s="14" t="inlineStr">
        <is>
          <t>https://www.city.nagai.yamagata.jp/kurashi_tetsuzuki/kokyokotsu/1/15982.html</t>
        </is>
      </c>
      <c r="L12" s="11" t="inlineStr">
        <is>
          <t>第4次長井市環境基本計画</t>
        </is>
      </c>
      <c r="M12" s="11" t="inlineStr">
        <is>
          <t>R6〜R15</t>
        </is>
      </c>
      <c r="N12" s="13" t="n">
        <v>15</v>
      </c>
      <c r="O12" s="13" t="inlineStr">
        <is>
          <t>確認済</t>
        </is>
      </c>
      <c r="P12" s="13" t="inlineStr">
        <is>
          <t>未確認</t>
        </is>
      </c>
      <c r="Q12" s="14" t="inlineStr">
        <is>
          <t>https://www.city.nagai.yamagata.jp/soshiki/sougoseisaku/106/205/6/sisakukeikaku/13731.html</t>
        </is>
      </c>
      <c r="R12" s="11" t="inlineStr">
        <is>
          <t>交通：これまでは県計画内の利便増進実施計画（長井市版、R3〜R7）で対応。市独自の地域公共交通計画（案）のパブコメをR8.3.12〜3.25に実施、策定完了・期間は未確認。R7交通空白解消緊急対策事業調査検討業務プロポーザルあり https://www.city.nagai.yamagata.jp/soshiki/chiikidukuri/105/201/1/15228.html 。</t>
        </is>
      </c>
      <c r="S12" s="15" t="inlineStr">
        <is>
          <t>調査済</t>
        </is>
      </c>
    </row>
    <row r="13">
      <c r="A13" s="11" t="n">
        <v>10</v>
      </c>
      <c r="B13" s="11" t="inlineStr">
        <is>
          <t>天童市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山形県地域公共交通計画（県・市町村共同、次期計画R8.3.27策定）</t>
        </is>
      </c>
      <c r="G13" s="11" t="inlineStr">
        <is>
          <t>R8〜不明</t>
        </is>
      </c>
      <c r="H13" s="16" t="n"/>
      <c r="I13" s="13" t="inlineStr">
        <is>
          <t>推定</t>
        </is>
      </c>
      <c r="J13" s="13" t="inlineStr">
        <is>
          <t>策定済</t>
        </is>
      </c>
      <c r="K13" s="14" t="inlineStr">
        <is>
          <t>https://www.pref.yamagata.jp/020057/kurashi/kendo/kotsuseisaku/ykotsu_kasseikakyougikai.html</t>
        </is>
      </c>
      <c r="L13" s="11" t="inlineStr">
        <is>
          <t>第三次天童市環境基本計画</t>
        </is>
      </c>
      <c r="M13" s="11" t="inlineStr">
        <is>
          <t>R4〜R13</t>
        </is>
      </c>
      <c r="N13" s="13" t="n">
        <v>13</v>
      </c>
      <c r="O13" s="13" t="inlineStr">
        <is>
          <t>確認済</t>
        </is>
      </c>
      <c r="P13" s="13" t="inlineStr">
        <is>
          <t>未確認</t>
        </is>
      </c>
      <c r="Q13" s="14" t="inlineStr">
        <is>
          <t>https://www.city.tendo.yamagata.jp/municipal/shisaku/kannkyoukihonn.html</t>
        </is>
      </c>
      <c r="R13" s="11" t="inlineStr">
        <is>
          <t>交通：市単独の地域公共交通計画は検索で見当たらず（地域公共交通会議で市民バス等を協議）。山形県地域公共交通計画（前計画R3〜R7）は市町村の利便増進実施計画等を内包する県全域計画。次期計画はR8.2パブコメ（https://www200.pref.yamagata.jp/020057/keikakupabukomepress2.html ）を経てR8.3.27策定（期間は未確認、R8開始）。</t>
        </is>
      </c>
      <c r="S13" s="15" t="inlineStr">
        <is>
          <t>調査済</t>
        </is>
      </c>
    </row>
    <row r="14">
      <c r="A14" s="11" t="n">
        <v>11</v>
      </c>
      <c r="B14" s="11" t="inlineStr">
        <is>
          <t>東根市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山形県地域公共交通計画（県・市町村共同、次期計画R8.3.27策定）</t>
        </is>
      </c>
      <c r="G14" s="11" t="inlineStr">
        <is>
          <t>R8〜不明</t>
        </is>
      </c>
      <c r="H14" s="16" t="n"/>
      <c r="I14" s="13" t="inlineStr">
        <is>
          <t>推定</t>
        </is>
      </c>
      <c r="J14" s="13" t="inlineStr">
        <is>
          <t>策定済</t>
        </is>
      </c>
      <c r="K14" s="14" t="inlineStr">
        <is>
          <t>https://www.pref.yamagata.jp/020057/kurashi/kendo/kotsuseisaku/ykotsu_kasseikakyougikai.html</t>
        </is>
      </c>
      <c r="L14" s="11" t="inlineStr">
        <is>
          <t>第３次東根市大けやき環境基本計画</t>
        </is>
      </c>
      <c r="M14" s="11" t="inlineStr">
        <is>
          <t>R5〜不明</t>
        </is>
      </c>
      <c r="N14" s="16" t="n"/>
      <c r="O14" s="13" t="inlineStr">
        <is>
          <t>推定</t>
        </is>
      </c>
      <c r="P14" s="13" t="inlineStr">
        <is>
          <t>未確認</t>
        </is>
      </c>
      <c r="Q14" s="14" t="inlineStr">
        <is>
          <t>https://www.city.higashine.yamagata.jp/section_list/section008/seikatsukankyo-keikaku/169</t>
        </is>
      </c>
      <c r="R14" s="11" t="inlineStr">
        <is>
          <t>交通：市単独の地域公共交通計画は見当たらず（市民バス運行、県計画を踏まえる）。山形県地域公共交通計画（前計画R3〜R7）は市町村の利便増進実施計画等を内包する県全域計画。次期計画はR8.2パブコメ（https://www200.pref.yamagata.jp/020057/keikakupabukomepress2.html ）を経てR8.3.27策定（期間は未確認、R8開始）。 環境：前計画H25〜R4の後継としてR4年度に第3次策定（期間は未確認、R5開始と推定）。</t>
        </is>
      </c>
      <c r="S14" s="15" t="inlineStr">
        <is>
          <t>調査済</t>
        </is>
      </c>
    </row>
    <row r="15">
      <c r="A15" s="11" t="n">
        <v>12</v>
      </c>
      <c r="B15" s="11" t="inlineStr">
        <is>
          <t>尾花沢市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山形県地域公共交通計画（県・市町村共同、次期計画R8.3.27策定）</t>
        </is>
      </c>
      <c r="G15" s="11" t="inlineStr">
        <is>
          <t>R8〜不明</t>
        </is>
      </c>
      <c r="H15" s="16" t="n"/>
      <c r="I15" s="13" t="inlineStr">
        <is>
          <t>推定</t>
        </is>
      </c>
      <c r="J15" s="13" t="inlineStr">
        <is>
          <t>策定済</t>
        </is>
      </c>
      <c r="K15" s="14" t="inlineStr">
        <is>
          <t>https://www.pref.yamagata.jp/020057/kurashi/kendo/kotsuseisaku/ykotsu_kasseikakyougikai.html</t>
        </is>
      </c>
      <c r="L15" s="11" t="inlineStr">
        <is>
          <t>尾花沢市環境基本計画（令和4年〜令和13年）</t>
        </is>
      </c>
      <c r="M15" s="11" t="inlineStr">
        <is>
          <t>R4〜R13</t>
        </is>
      </c>
      <c r="N15" s="13" t="n">
        <v>13</v>
      </c>
      <c r="O15" s="13" t="inlineStr">
        <is>
          <t>確認済</t>
        </is>
      </c>
      <c r="P15" s="13" t="inlineStr">
        <is>
          <t>未確認</t>
        </is>
      </c>
      <c r="Q15" s="14" t="inlineStr">
        <is>
          <t>https://www.city.obanazawa.yamagata.jp/kurashi/kankyo/kankyo-shisaku/715</t>
        </is>
      </c>
      <c r="R15" s="11" t="inlineStr">
        <is>
          <t>交通：市単独の地域公共交通計画は見当たらず。R7.10から一部路線バス休止・AIデマンド交通へ移行。山形県地域公共交通計画（前計画R3〜R7）は市町村の利便増進実施計画等を内包する県全域計画。次期計画はR8.2パブコメ（https://www200.pref.yamagata.jp/020057/keikakupabukomepress2.html ）を経てR8.3.27策定（期間は未確認、R8開始）。</t>
        </is>
      </c>
      <c r="S15" s="15" t="inlineStr">
        <is>
          <t>調査済</t>
        </is>
      </c>
    </row>
    <row r="16">
      <c r="A16" s="11" t="n">
        <v>13</v>
      </c>
      <c r="B16" s="11" t="inlineStr">
        <is>
          <t>南陽市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南陽市地域公共交通計画（案）</t>
        </is>
      </c>
      <c r="G16" s="11" t="inlineStr">
        <is>
          <t>不明</t>
        </is>
      </c>
      <c r="H16" s="13" t="n"/>
      <c r="I16" s="13" t="inlineStr">
        <is>
          <t>不明</t>
        </is>
      </c>
      <c r="J16" s="13" t="inlineStr">
        <is>
          <t>着手済</t>
        </is>
      </c>
      <c r="K16" s="14" t="inlineStr">
        <is>
          <t>http://www.city.nanyo.yamagata.jp/kikakusuishin/6356</t>
        </is>
      </c>
      <c r="L16" s="11" t="n"/>
      <c r="M16" s="11" t="inlineStr">
        <is>
          <t>不明</t>
        </is>
      </c>
      <c r="N16" s="13" t="n"/>
      <c r="O16" s="13" t="inlineStr">
        <is>
          <t>不明</t>
        </is>
      </c>
      <c r="P16" s="13" t="inlineStr">
        <is>
          <t>計画なし</t>
        </is>
      </c>
      <c r="Q16" s="11" t="n"/>
      <c r="R16" s="11" t="inlineStr">
        <is>
          <t>交通：県計画(R3〜R7)終了に合わせR7年度に市独自の地域公共交通計画を策定（R7.5 協議会 http://www.city.nanyo.yamagata.jp/tiikikoukyoukoutuu/6089 、R7施政方針）。計画案のパブコメ実施を確認、策定完了・期間は未確認。環境：環境基本計画は検索で見当たらず。代替として地球温暖化対策実行計画（区域施策編）R5〜R12（R7.12一部改正）http://www.city.nanyo.yamagata.jp/up/files/siminkurasi/tikyuuonndannka/kuikishisakuhen_honpen(R7).pdf 。</t>
        </is>
      </c>
      <c r="S16" s="15" t="inlineStr">
        <is>
          <t>調査済</t>
        </is>
      </c>
    </row>
    <row r="17">
      <c r="A17" s="11" t="n">
        <v>14</v>
      </c>
      <c r="B17" s="11" t="inlineStr">
        <is>
          <t>山辺町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山形県地域公共交通計画（県・市町村共同、次期計画R8.3.27策定）</t>
        </is>
      </c>
      <c r="G17" s="11" t="inlineStr">
        <is>
          <t>R8〜不明</t>
        </is>
      </c>
      <c r="H17" s="16" t="n"/>
      <c r="I17" s="13" t="inlineStr">
        <is>
          <t>推定</t>
        </is>
      </c>
      <c r="J17" s="13" t="inlineStr">
        <is>
          <t>策定済</t>
        </is>
      </c>
      <c r="K17" s="14" t="inlineStr">
        <is>
          <t>https://www.pref.yamagata.jp/020057/kurashi/kendo/kotsuseisaku/ykotsu_kasseikakyougikai.html</t>
        </is>
      </c>
      <c r="L17" s="11" t="n"/>
      <c r="M17" s="11" t="inlineStr">
        <is>
          <t>不明</t>
        </is>
      </c>
      <c r="N17" s="13" t="n"/>
      <c r="O17" s="13" t="inlineStr">
        <is>
          <t>不明</t>
        </is>
      </c>
      <c r="P17" s="13" t="inlineStr">
        <is>
          <t>計画なし</t>
        </is>
      </c>
      <c r="Q17" s="11" t="n"/>
      <c r="R17" s="11" t="inlineStr">
        <is>
          <t>交通：町単独の地域公共交通計画は見当たらず。旧『山辺町生活交通ネットワーク計画』https://www.town.yamanobe.yamagata.jp/uploaded/attachment/465.pdf あり、コミュニティバス運行。山形県地域公共交通計画（前計画R3〜R7）は市町村の利便増進実施計画等を内包する県全域計画。次期計画はR8.2パブコメ（https://www200.pref.yamagata.jp/020057/keikakupabukomepress2.html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7" s="15" t="inlineStr">
        <is>
          <t>調査済</t>
        </is>
      </c>
    </row>
    <row r="18">
      <c r="A18" s="11" t="n">
        <v>15</v>
      </c>
      <c r="B18" s="11" t="inlineStr">
        <is>
          <t>中山町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山形県地域公共交通計画（県・市町村共同、次期計画R8.3.27策定）</t>
        </is>
      </c>
      <c r="G18" s="11" t="inlineStr">
        <is>
          <t>R8〜不明</t>
        </is>
      </c>
      <c r="H18" s="16" t="n"/>
      <c r="I18" s="13" t="inlineStr">
        <is>
          <t>推定</t>
        </is>
      </c>
      <c r="J18" s="13" t="inlineStr">
        <is>
          <t>策定済</t>
        </is>
      </c>
      <c r="K18" s="14" t="inlineStr">
        <is>
          <t>https://www.pref.yamagata.jp/020057/kurashi/kendo/kotsuseisaku/ykotsu_kasseikakyougikai.html</t>
        </is>
      </c>
      <c r="L18" s="11" t="n"/>
      <c r="M18" s="11" t="inlineStr">
        <is>
          <t>不明</t>
        </is>
      </c>
      <c r="N18" s="13" t="n"/>
      <c r="O18" s="13" t="inlineStr">
        <is>
          <t>不明</t>
        </is>
      </c>
      <c r="P18" s="13" t="inlineStr">
        <is>
          <t>計画なし</t>
        </is>
      </c>
      <c r="Q18" s="11" t="n"/>
      <c r="R18" s="11" t="inlineStr">
        <is>
          <t>交通：町単独の地域公共交通計画は見当たらず。『中山町生活交通ネットワーク計画』策定（パブコメ結果 https://www.town.nakayama.yamagata.jp/soshiki/seisaku/machidukurisuishin/251.html 、期間未確認）。山形県地域公共交通計画（前計画R3〜R7）は市町村の利便増進実施計画等を内包する県全域計画。次期計画はR8.2パブコメ（https://www200.pref.yamagata.jp/020057/keikakupabukomepress2.html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8" s="15" t="inlineStr">
        <is>
          <t>調査済</t>
        </is>
      </c>
    </row>
    <row r="19">
      <c r="A19" s="11" t="n">
        <v>16</v>
      </c>
      <c r="B19" s="11" t="inlineStr">
        <is>
          <t>河北町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河北町地域公共交通計画（総合計画で言及）</t>
        </is>
      </c>
      <c r="G19" s="11" t="inlineStr">
        <is>
          <t>不明</t>
        </is>
      </c>
      <c r="H19" s="13" t="n"/>
      <c r="I19" s="13" t="inlineStr">
        <is>
          <t>不明</t>
        </is>
      </c>
      <c r="J19" s="13" t="inlineStr">
        <is>
          <t>未確認</t>
        </is>
      </c>
      <c r="K19" s="11" t="n"/>
      <c r="L19" s="11" t="inlineStr">
        <is>
          <t>第3次雛とべに花の里環境基本計画</t>
        </is>
      </c>
      <c r="M19" s="11" t="inlineStr">
        <is>
          <t>R6〜R15</t>
        </is>
      </c>
      <c r="N19" s="13" t="n">
        <v>15</v>
      </c>
      <c r="O19" s="13" t="inlineStr">
        <is>
          <t>確認済</t>
        </is>
      </c>
      <c r="P19" s="13" t="inlineStr">
        <is>
          <t>未確認</t>
        </is>
      </c>
      <c r="Q19" s="14" t="inlineStr">
        <is>
          <t>https://www.town.kahoku.yamagata.jp/gyouseizyouhou/seisaku_keikaku/keikaku_matizukuri/index.html</t>
        </is>
      </c>
      <c r="R19" s="11" t="inlineStr">
        <is>
          <t>交通：第8次総合計画に町地域公共交通計画への言及があるが計画書・期間は検索で確認できず（公共交通ページ https://www.town.kahoku.yamagata.jp/kurasi_tetuzuki/douro_koutuu/koukyoukoutuu/index.html ）。県計画（山形県地域公共交通計画（県・市町村共同、次期計画R8.3.27策定））も対象。環境：第3次（区域施策編を包含）R6年度から10年間。</t>
        </is>
      </c>
      <c r="S19" s="15" t="inlineStr">
        <is>
          <t>調査済</t>
        </is>
      </c>
    </row>
    <row r="20">
      <c r="A20" s="11" t="n">
        <v>17</v>
      </c>
      <c r="B20" s="11" t="inlineStr">
        <is>
          <t>西川町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西川町地域公共交通計画</t>
        </is>
      </c>
      <c r="G20" s="11" t="inlineStr">
        <is>
          <t>R4〜R8</t>
        </is>
      </c>
      <c r="H20" s="16" t="n">
        <v>8</v>
      </c>
      <c r="I20" s="13" t="inlineStr">
        <is>
          <t>推定</t>
        </is>
      </c>
      <c r="J20" s="13" t="inlineStr">
        <is>
          <t>未確認</t>
        </is>
      </c>
      <c r="K20" s="14" t="inlineStr">
        <is>
          <t>https://www.town.nishikawa.yamagata.jp/uploaded/attachment/510.pdf</t>
        </is>
      </c>
      <c r="L20" s="11" t="n"/>
      <c r="M20" s="11" t="inlineStr">
        <is>
          <t>不明</t>
        </is>
      </c>
      <c r="N20" s="13" t="n"/>
      <c r="O20" s="13" t="inlineStr">
        <is>
          <t>不明</t>
        </is>
      </c>
      <c r="P20" s="13" t="inlineStr">
        <is>
          <t>計画なし</t>
        </is>
      </c>
      <c r="Q20" s="11" t="n"/>
      <c r="R20" s="11" t="inlineStr">
        <is>
          <t>交通：R4.3策定（計画ページ https://www.town.nishikawa.yamagata.jp/soshiki/chomin/1317.html ）。期間は5年と仮定するとR8終期（未確認・要確認）。次期計画の着手は未確認。環境：環境基本計画は検索で見当たらず（ゼロカーボンシティ宣言あり）。</t>
        </is>
      </c>
      <c r="S20" s="15" t="inlineStr">
        <is>
          <t>調査済</t>
        </is>
      </c>
    </row>
    <row r="21">
      <c r="A21" s="11" t="n">
        <v>18</v>
      </c>
      <c r="B21" s="11" t="inlineStr">
        <is>
          <t>朝日町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山形県地域公共交通計画（県・市町村共同、次期計画R8.3.27策定）</t>
        </is>
      </c>
      <c r="G21" s="11" t="inlineStr">
        <is>
          <t>R8〜不明</t>
        </is>
      </c>
      <c r="H21" s="16" t="n"/>
      <c r="I21" s="13" t="inlineStr">
        <is>
          <t>推定</t>
        </is>
      </c>
      <c r="J21" s="13" t="inlineStr">
        <is>
          <t>策定済</t>
        </is>
      </c>
      <c r="K21" s="14" t="inlineStr">
        <is>
          <t>https://www.pref.yamagata.jp/020057/kurashi/kendo/kotsuseisaku/ykotsu_kasseikakyougikai.html</t>
        </is>
      </c>
      <c r="L21" s="11" t="inlineStr">
        <is>
          <t>第2次朝日町環境基本計画</t>
        </is>
      </c>
      <c r="M21" s="11" t="inlineStr">
        <is>
          <t>H30〜R9</t>
        </is>
      </c>
      <c r="N21" s="16" t="n">
        <v>9</v>
      </c>
      <c r="O21" s="13" t="inlineStr">
        <is>
          <t>推定</t>
        </is>
      </c>
      <c r="P21" s="13" t="inlineStr">
        <is>
          <t>未確認</t>
        </is>
      </c>
      <c r="Q21" s="14" t="inlineStr">
        <is>
          <t>https://www.town.asahi.yamagata.jp/portal/soshikinogoannai/somuka/bosaigakari/3_1/3/2438.html</t>
        </is>
      </c>
      <c r="R21" s="11" t="inlineStr">
        <is>
          <t>環境：H30.3策定（第1次H23.3、見直し版あり）。第6次総合発展計画（H30〜R9の10年）と同期間とみられR9終期（計画書本文での期間記載は未確認）。次期計画着手は未確認・営業候補。交通：町単独の法定計画は見当たらず（旧・地域公共交通総合連携計画H22.3、H30活性化協議会設置）。山形県地域公共交通計画（前計画R3〜R7）は市町村の利便増進実施計画等を内包する県全域計画。次期計画はR8.2パブコメ（https://www200.pref.yamagata.jp/020057/keikakupabukomepress2.html ）を経てR8.3.27策定（期間は未確認、R8開始）。</t>
        </is>
      </c>
      <c r="S21" s="15" t="inlineStr">
        <is>
          <t>調査済</t>
        </is>
      </c>
    </row>
    <row r="22">
      <c r="A22" s="11" t="n">
        <v>19</v>
      </c>
      <c r="B22" s="11" t="inlineStr">
        <is>
          <t>大江町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山形県地域公共交通計画（県・市町村共同、次期計画R8.3.27策定）</t>
        </is>
      </c>
      <c r="G22" s="11" t="inlineStr">
        <is>
          <t>R8〜不明</t>
        </is>
      </c>
      <c r="H22" s="16" t="n"/>
      <c r="I22" s="13" t="inlineStr">
        <is>
          <t>推定</t>
        </is>
      </c>
      <c r="J22" s="13" t="inlineStr">
        <is>
          <t>策定済</t>
        </is>
      </c>
      <c r="K22" s="14" t="inlineStr">
        <is>
          <t>https://www.pref.yamagata.jp/020057/kurashi/kendo/kotsuseisaku/ykotsu_kasseikakyougikai.html</t>
        </is>
      </c>
      <c r="L22" s="11" t="inlineStr">
        <is>
          <t>第3次大江町環境基本計画</t>
        </is>
      </c>
      <c r="M22" s="11" t="inlineStr">
        <is>
          <t>R7〜R12</t>
        </is>
      </c>
      <c r="N22" s="13" t="n">
        <v>12</v>
      </c>
      <c r="O22" s="13" t="inlineStr">
        <is>
          <t>確認済</t>
        </is>
      </c>
      <c r="P22" s="13" t="inlineStr">
        <is>
          <t>未確認</t>
        </is>
      </c>
      <c r="Q22" s="14" t="inlineStr">
        <is>
          <t>https://www.town.oe.yamagata.jp/government/mainpolicy/keikaku/</t>
        </is>
      </c>
      <c r="R22" s="11" t="inlineStr">
        <is>
          <t>交通：町単独の地域公共交通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環境：第3次はR7〜R12年度（主な計画ページで確認）。</t>
        </is>
      </c>
      <c r="S22" s="15" t="inlineStr">
        <is>
          <t>調査済</t>
        </is>
      </c>
    </row>
    <row r="23">
      <c r="A23" s="11" t="n">
        <v>20</v>
      </c>
      <c r="B23" s="11" t="inlineStr">
        <is>
          <t>大石田町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山形県地域公共交通計画（県・市町村共同、次期計画R8.3.27策定）</t>
        </is>
      </c>
      <c r="G23" s="11" t="inlineStr">
        <is>
          <t>R8〜不明</t>
        </is>
      </c>
      <c r="H23" s="16" t="n"/>
      <c r="I23" s="13" t="inlineStr">
        <is>
          <t>推定</t>
        </is>
      </c>
      <c r="J23" s="13" t="inlineStr">
        <is>
          <t>策定済</t>
        </is>
      </c>
      <c r="K23" s="14" t="inlineStr">
        <is>
          <t>https://www.pref.yamagata.jp/020057/kurashi/kendo/kotsuseisaku/ykotsu_kasseikakyougikai.html</t>
        </is>
      </c>
      <c r="L23" s="11" t="n"/>
      <c r="M23" s="11" t="inlineStr">
        <is>
          <t>不明</t>
        </is>
      </c>
      <c r="N23" s="13" t="n"/>
      <c r="O23" s="13" t="inlineStr">
        <is>
          <t>不明</t>
        </is>
      </c>
      <c r="P23" s="13" t="inlineStr">
        <is>
          <t>計画なし</t>
        </is>
      </c>
      <c r="Q23" s="11" t="n"/>
      <c r="R23" s="11" t="inlineStr">
        <is>
          <t>交通：町単独の地域公共交通計画は見当たらず（各種計画一覧 https://www.town.oishida.yamagata.jp/chousei/keikaku/index.html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23" s="15" t="inlineStr">
        <is>
          <t>調査済</t>
        </is>
      </c>
    </row>
    <row r="24">
      <c r="A24" s="11" t="n">
        <v>21</v>
      </c>
      <c r="B24" s="11" t="inlineStr">
        <is>
          <t>金山町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山形県地域公共交通計画（県・市町村共同、次期計画R8.3.27策定）</t>
        </is>
      </c>
      <c r="G24" s="11" t="inlineStr">
        <is>
          <t>R8〜不明</t>
        </is>
      </c>
      <c r="H24" s="16" t="n"/>
      <c r="I24" s="13" t="inlineStr">
        <is>
          <t>推定</t>
        </is>
      </c>
      <c r="J24" s="13" t="inlineStr">
        <is>
          <t>策定済</t>
        </is>
      </c>
      <c r="K24" s="14" t="inlineStr">
        <is>
          <t>https://www.pref.yamagata.jp/020057/kurashi/kendo/kotsuseisaku/ykotsu_kasseikakyougikai.html</t>
        </is>
      </c>
      <c r="L24" s="11" t="n"/>
      <c r="M24" s="11" t="inlineStr">
        <is>
          <t>不明</t>
        </is>
      </c>
      <c r="N24" s="13" t="n"/>
      <c r="O24" s="13" t="inlineStr">
        <is>
          <t>不明</t>
        </is>
      </c>
      <c r="P24" s="13" t="inlineStr">
        <is>
          <t>計画なし</t>
        </is>
      </c>
      <c r="Q24" s="11" t="n"/>
      <c r="R24" s="11" t="inlineStr">
        <is>
          <t>山形県最上郡金山町。交通：町単独計画は見当たらず（デマンドハイヤー運行）。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4" s="15" t="inlineStr">
        <is>
          <t>調査済</t>
        </is>
      </c>
    </row>
    <row r="25">
      <c r="A25" s="11" t="n">
        <v>22</v>
      </c>
      <c r="B25" s="11" t="inlineStr">
        <is>
          <t>最上町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山形県地域公共交通計画（県・市町村共同、次期計画R8.3.27策定）</t>
        </is>
      </c>
      <c r="G25" s="11" t="inlineStr">
        <is>
          <t>R8〜不明</t>
        </is>
      </c>
      <c r="H25" s="16" t="n"/>
      <c r="I25" s="13" t="inlineStr">
        <is>
          <t>推定</t>
        </is>
      </c>
      <c r="J25" s="13" t="inlineStr">
        <is>
          <t>策定済</t>
        </is>
      </c>
      <c r="K25" s="14" t="inlineStr">
        <is>
          <t>https://www.pref.yamagata.jp/020057/kurashi/kendo/kotsuseisaku/ykotsu_kasseikakyougikai.html</t>
        </is>
      </c>
      <c r="L25" s="11" t="n"/>
      <c r="M25" s="11" t="inlineStr">
        <is>
          <t>不明</t>
        </is>
      </c>
      <c r="N25" s="13" t="n"/>
      <c r="O25" s="13" t="inlineStr">
        <is>
          <t>不明</t>
        </is>
      </c>
      <c r="P25" s="13" t="inlineStr">
        <is>
          <t>計画なし</t>
        </is>
      </c>
      <c r="Q25" s="11" t="n"/>
      <c r="R25" s="11" t="inlineStr">
        <is>
          <t>交通：町単独計画は見当たらず（予約制乗合バス https://town.mogami.lg.jp/life/03koutsuu/ ）。山形県地域公共交通計画（前計画R3〜R7）は市町村の利便増進実施計画等を内包する県全域計画。次期計画はR8.2パブコメ（https://www200.pref.yamagata.jp/020057/keikakupabukomepress2.html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5" s="15" t="inlineStr">
        <is>
          <t>調査済</t>
        </is>
      </c>
    </row>
    <row r="26">
      <c r="A26" s="11" t="n">
        <v>23</v>
      </c>
      <c r="B26" s="11" t="inlineStr">
        <is>
          <t>舟形町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山形県地域公共交通計画（県・市町村共同、次期計画R8.3.27策定）</t>
        </is>
      </c>
      <c r="G26" s="11" t="inlineStr">
        <is>
          <t>R8〜不明</t>
        </is>
      </c>
      <c r="H26" s="16" t="n"/>
      <c r="I26" s="13" t="inlineStr">
        <is>
          <t>推定</t>
        </is>
      </c>
      <c r="J26" s="13" t="inlineStr">
        <is>
          <t>策定済</t>
        </is>
      </c>
      <c r="K26" s="14" t="inlineStr">
        <is>
          <t>https://www.pref.yamagata.jp/020057/kurashi/kendo/kotsuseisaku/ykotsu_kasseikakyougikai.html</t>
        </is>
      </c>
      <c r="L26" s="11" t="n"/>
      <c r="M26" s="11" t="inlineStr">
        <is>
          <t>不明</t>
        </is>
      </c>
      <c r="N26" s="13" t="n"/>
      <c r="O26" s="13" t="inlineStr">
        <is>
          <t>不明</t>
        </is>
      </c>
      <c r="P26" s="13" t="inlineStr">
        <is>
          <t>計画なし</t>
        </is>
      </c>
      <c r="Q26" s="11" t="n"/>
      <c r="R26"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環境：環境基本計画は見当たらず。代替としてR7年度に地球温暖化対策実行計画（区域施策編）策定業務を発注（仕様書 https://www.town.funagata.yamagata.jp/s007/shigoto/050/sienn/kuikisesakusiyousyo.pdf ）。</t>
        </is>
      </c>
      <c r="S26" s="15" t="inlineStr">
        <is>
          <t>調査済</t>
        </is>
      </c>
    </row>
    <row r="27">
      <c r="A27" s="11" t="n">
        <v>24</v>
      </c>
      <c r="B27" s="11" t="inlineStr">
        <is>
          <t>真室川町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山形県地域公共交通計画（県・市町村共同、次期計画R8.3.27策定）</t>
        </is>
      </c>
      <c r="G27" s="11" t="inlineStr">
        <is>
          <t>R8〜不明</t>
        </is>
      </c>
      <c r="H27" s="16" t="n"/>
      <c r="I27" s="13" t="inlineStr">
        <is>
          <t>推定</t>
        </is>
      </c>
      <c r="J27" s="13" t="inlineStr">
        <is>
          <t>策定済</t>
        </is>
      </c>
      <c r="K27" s="14" t="inlineStr">
        <is>
          <t>https://www.pref.yamagata.jp/020057/kurashi/kendo/kotsuseisaku/ykotsu_kasseikakyougikai.html</t>
        </is>
      </c>
      <c r="L27" s="11" t="n"/>
      <c r="M27" s="11" t="inlineStr">
        <is>
          <t>不明</t>
        </is>
      </c>
      <c r="N27" s="13" t="n"/>
      <c r="O27" s="13" t="inlineStr">
        <is>
          <t>不明</t>
        </is>
      </c>
      <c r="P27" s="13" t="inlineStr">
        <is>
          <t>計画なし</t>
        </is>
      </c>
      <c r="Q27" s="11" t="n"/>
      <c r="R27" s="11" t="inlineStr">
        <is>
          <t>交通：町単独計画は見当たらず（町営バス・デマンドタクシー）。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7" s="15" t="inlineStr">
        <is>
          <t>調査済</t>
        </is>
      </c>
    </row>
    <row r="28">
      <c r="A28" s="11" t="n">
        <v>25</v>
      </c>
      <c r="B28" s="11" t="inlineStr">
        <is>
          <t>大蔵村</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山形県地域公共交通計画（県・市町村共同、次期計画R8.3.27策定）</t>
        </is>
      </c>
      <c r="G28" s="11" t="inlineStr">
        <is>
          <t>R8〜不明</t>
        </is>
      </c>
      <c r="H28" s="16" t="n"/>
      <c r="I28" s="13" t="inlineStr">
        <is>
          <t>推定</t>
        </is>
      </c>
      <c r="J28" s="13" t="inlineStr">
        <is>
          <t>策定済</t>
        </is>
      </c>
      <c r="K28" s="14" t="inlineStr">
        <is>
          <t>https://www.pref.yamagata.jp/020057/kurashi/kendo/kotsuseisaku/ykotsu_kasseikakyougikai.html</t>
        </is>
      </c>
      <c r="L28" s="11" t="n"/>
      <c r="M28" s="11" t="inlineStr">
        <is>
          <t>不明</t>
        </is>
      </c>
      <c r="N28" s="13" t="n"/>
      <c r="O28" s="13" t="inlineStr">
        <is>
          <t>不明</t>
        </is>
      </c>
      <c r="P28" s="13" t="inlineStr">
        <is>
          <t>計画なし</t>
        </is>
      </c>
      <c r="Q28" s="11" t="n"/>
      <c r="R28" s="11"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環境：環境基本計画は検索で見当たらず（計画・公表 https://www.vill.ohkura.yamagata.jp/gyoseijoho/seisaku_keikaku/keikaku_kohyo/index.html ）。</t>
        </is>
      </c>
      <c r="S28" s="15" t="inlineStr">
        <is>
          <t>調査済</t>
        </is>
      </c>
    </row>
    <row r="29">
      <c r="A29" s="11" t="n">
        <v>26</v>
      </c>
      <c r="B29" s="11" t="inlineStr">
        <is>
          <t>鮭川村</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山形県地域公共交通計画（県・市町村共同、次期計画R8.3.27策定）</t>
        </is>
      </c>
      <c r="G29" s="11" t="inlineStr">
        <is>
          <t>R8〜不明</t>
        </is>
      </c>
      <c r="H29" s="16" t="n"/>
      <c r="I29" s="13" t="inlineStr">
        <is>
          <t>推定</t>
        </is>
      </c>
      <c r="J29" s="13" t="inlineStr">
        <is>
          <t>策定済</t>
        </is>
      </c>
      <c r="K29" s="14" t="inlineStr">
        <is>
          <t>https://www.pref.yamagata.jp/020057/kurashi/kendo/kotsuseisaku/ykotsu_kasseikakyougikai.html</t>
        </is>
      </c>
      <c r="L29" s="11" t="n"/>
      <c r="M29" s="11" t="inlineStr">
        <is>
          <t>不明</t>
        </is>
      </c>
      <c r="N29" s="13" t="n"/>
      <c r="O29" s="13" t="inlineStr">
        <is>
          <t>不明</t>
        </is>
      </c>
      <c r="P29" s="13" t="inlineStr">
        <is>
          <t>計画なし</t>
        </is>
      </c>
      <c r="Q29" s="11" t="n"/>
      <c r="R29" s="11" t="inlineStr">
        <is>
          <t>交通：村単独計画は見当たらず。山形県地域公共交通計画（前計画R3〜R7）は市町村の利便増進実施計画等を内包する県全域計画。次期計画はR8.2パブコメ（https://www200.pref.yamagata.jp/020057/keikakupabukomepress2.html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環境：環境基本計画は検索で見当たらず（政策・各種計画 https://www.vill.sakegawa.yamagata.jp/government/jigyo-keikaku/seisaku/ ）。</t>
        </is>
      </c>
      <c r="S29" s="15" t="inlineStr">
        <is>
          <t>調査済</t>
        </is>
      </c>
    </row>
    <row r="30">
      <c r="A30" s="11" t="n">
        <v>27</v>
      </c>
      <c r="B30" s="11" t="inlineStr">
        <is>
          <t>戸沢村</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山形県地域公共交通計画（県・市町村共同、次期計画R8.3.27策定）</t>
        </is>
      </c>
      <c r="G30" s="11" t="inlineStr">
        <is>
          <t>R8〜不明</t>
        </is>
      </c>
      <c r="H30" s="16" t="n"/>
      <c r="I30" s="13" t="inlineStr">
        <is>
          <t>推定</t>
        </is>
      </c>
      <c r="J30" s="13" t="inlineStr">
        <is>
          <t>策定済</t>
        </is>
      </c>
      <c r="K30" s="14" t="inlineStr">
        <is>
          <t>https://www.pref.yamagata.jp/020057/kurashi/kendo/kotsuseisaku/ykotsu_kasseikakyougikai.html</t>
        </is>
      </c>
      <c r="L30" s="11" t="n"/>
      <c r="M30" s="11" t="inlineStr">
        <is>
          <t>不明</t>
        </is>
      </c>
      <c r="N30" s="13" t="n"/>
      <c r="O30" s="13" t="inlineStr">
        <is>
          <t>不明</t>
        </is>
      </c>
      <c r="P30" s="13" t="inlineStr">
        <is>
          <t>計画なし</t>
        </is>
      </c>
      <c r="Q30" s="11" t="n"/>
      <c r="R30" s="11"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環境：環境基本計画は検索で見当たらず（計画・施策 https://www.vill.tozawa.yamagata.jp/gyoseijoho/keikaku_sesaku/ ）。</t>
        </is>
      </c>
      <c r="S30" s="15" t="inlineStr">
        <is>
          <t>調査済</t>
        </is>
      </c>
    </row>
    <row r="31">
      <c r="A31" s="11" t="n">
        <v>28</v>
      </c>
      <c r="B31" s="11" t="inlineStr">
        <is>
          <t>高畠町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inlineStr">
        <is>
          <t>山形県地域公共交通計画（県・市町村共同、次期計画R8.3.27策定）</t>
        </is>
      </c>
      <c r="G31" s="11" t="inlineStr">
        <is>
          <t>R8〜不明</t>
        </is>
      </c>
      <c r="H31" s="16" t="n"/>
      <c r="I31" s="13" t="inlineStr">
        <is>
          <t>推定</t>
        </is>
      </c>
      <c r="J31" s="13" t="inlineStr">
        <is>
          <t>策定済</t>
        </is>
      </c>
      <c r="K31" s="14" t="inlineStr">
        <is>
          <t>https://www.pref.yamagata.jp/020057/kurashi/kendo/kotsuseisaku/ykotsu_kasseikakyougikai.html</t>
        </is>
      </c>
      <c r="L31" s="11" t="inlineStr">
        <is>
          <t>第3次高畠町環境基本計画</t>
        </is>
      </c>
      <c r="M31" s="11" t="inlineStr">
        <is>
          <t>R5〜不明</t>
        </is>
      </c>
      <c r="N31" s="16" t="n"/>
      <c r="O31" s="13" t="inlineStr">
        <is>
          <t>推定</t>
        </is>
      </c>
      <c r="P31" s="13" t="inlineStr">
        <is>
          <t>未確認</t>
        </is>
      </c>
      <c r="Q31" s="14" t="inlineStr">
        <is>
          <t>https://www.town.takahata.yamagata.jp/kurashi/gyoseijoho/kakushukeikaku/1/2728.html</t>
        </is>
      </c>
      <c r="R31" s="11" t="inlineStr">
        <is>
          <t>交通：町単独の地域公共交通計画は見当たらず（デマンド交通運行）。山形県地域公共交通計画（前計画R3〜R7）は市町村の利便増進実施計画等を内包する県全域計画。次期計画はR8.2パブコメ（https://www200.pref.yamagata.jp/020057/keikakupabukomepress2.html ）を経てR8.3.27策定（期間は未確認、R8開始）。 環境：第2次がR4年度で終了→第3次策定（R5開始と推定、終期未確認）。</t>
        </is>
      </c>
      <c r="S31" s="15" t="inlineStr">
        <is>
          <t>調査済</t>
        </is>
      </c>
    </row>
    <row r="32">
      <c r="A32" s="11" t="n">
        <v>29</v>
      </c>
      <c r="B32" s="11" t="inlineStr">
        <is>
          <t>川西町</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山形県地域公共交通計画（県・市町村共同、次期計画R8.3.27策定）</t>
        </is>
      </c>
      <c r="G32" s="11" t="inlineStr">
        <is>
          <t>R8〜不明</t>
        </is>
      </c>
      <c r="H32" s="16" t="n"/>
      <c r="I32" s="13" t="inlineStr">
        <is>
          <t>推定</t>
        </is>
      </c>
      <c r="J32" s="13" t="inlineStr">
        <is>
          <t>策定済</t>
        </is>
      </c>
      <c r="K32" s="14" t="inlineStr">
        <is>
          <t>https://www.pref.yamagata.jp/020057/kurashi/kendo/kotsuseisaku/ykotsu_kasseikakyougikai.html</t>
        </is>
      </c>
      <c r="L32" s="11" t="n"/>
      <c r="M32" s="11" t="inlineStr">
        <is>
          <t>不明</t>
        </is>
      </c>
      <c r="N32" s="13" t="n"/>
      <c r="O32" s="13" t="inlineStr">
        <is>
          <t>不明</t>
        </is>
      </c>
      <c r="P32" s="13" t="inlineStr">
        <is>
          <t>計画なし</t>
        </is>
      </c>
      <c r="Q32" s="11" t="n"/>
      <c r="R32"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環境：環境基本計画は検索で見当たらず（政策・計画 https://www.town.kawanishi.yamagata.jp/machinojoho/seisaku/ ）。</t>
        </is>
      </c>
      <c r="S32" s="15" t="inlineStr">
        <is>
          <t>調査済</t>
        </is>
      </c>
    </row>
    <row r="33">
      <c r="A33" s="11" t="n">
        <v>30</v>
      </c>
      <c r="B33" s="11" t="inlineStr">
        <is>
          <t>小国町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小国町地域公共交通網形成計画</t>
        </is>
      </c>
      <c r="G33" s="11" t="inlineStr">
        <is>
          <t>不明</t>
        </is>
      </c>
      <c r="H33" s="13" t="n"/>
      <c r="I33" s="13" t="inlineStr">
        <is>
          <t>不明</t>
        </is>
      </c>
      <c r="J33" s="13" t="inlineStr">
        <is>
          <t>未確認</t>
        </is>
      </c>
      <c r="K33" s="14" t="inlineStr">
        <is>
          <t>https://www.town.oguni.yamagata.jp/soshiki/choumin/1214.html</t>
        </is>
      </c>
      <c r="L33" s="11" t="n"/>
      <c r="M33" s="11" t="inlineStr">
        <is>
          <t>不明</t>
        </is>
      </c>
      <c r="N33" s="13" t="n"/>
      <c r="O33" s="13" t="inlineStr">
        <is>
          <t>不明</t>
        </is>
      </c>
      <c r="P33" s="13" t="inlineStr">
        <is>
          <t>計画なし</t>
        </is>
      </c>
      <c r="Q33" s="11" t="n"/>
      <c r="R33" s="11" t="inlineStr">
        <is>
          <t>交通：活性化再生法に基づく網形成計画を策定済（期間は検索で未確認、旧計画の可能性）。地域公共交通計画への移行は未確認。県計画（山形県地域公共交通計画（県・市町村共同、次期計画R8.3.27策定））も対象。環境：環境基本計画は検索で見当たらず。</t>
        </is>
      </c>
      <c r="S33" s="15" t="inlineStr">
        <is>
          <t>調査済</t>
        </is>
      </c>
    </row>
    <row r="34">
      <c r="A34" s="11" t="n">
        <v>31</v>
      </c>
      <c r="B34" s="11" t="inlineStr">
        <is>
          <t>白鷹町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山形県地域公共交通計画（県・市町村共同、次期計画R8.3.27策定）</t>
        </is>
      </c>
      <c r="G34" s="11" t="inlineStr">
        <is>
          <t>R8〜不明</t>
        </is>
      </c>
      <c r="H34" s="16" t="n"/>
      <c r="I34" s="13" t="inlineStr">
        <is>
          <t>推定</t>
        </is>
      </c>
      <c r="J34" s="13" t="inlineStr">
        <is>
          <t>策定済</t>
        </is>
      </c>
      <c r="K34" s="14" t="inlineStr">
        <is>
          <t>https://www.pref.yamagata.jp/020057/kurashi/kendo/kotsuseisaku/ykotsu_kasseikakyougikai.html</t>
        </is>
      </c>
      <c r="L34" s="11" t="n"/>
      <c r="M34" s="11" t="inlineStr">
        <is>
          <t>不明</t>
        </is>
      </c>
      <c r="N34" s="13" t="n"/>
      <c r="O34" s="13" t="inlineStr">
        <is>
          <t>不明</t>
        </is>
      </c>
      <c r="P34" s="13" t="inlineStr">
        <is>
          <t>計画なし</t>
        </is>
      </c>
      <c r="Q34" s="11" t="n"/>
      <c r="R34"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4" s="15" t="inlineStr">
        <is>
          <t>調査済</t>
        </is>
      </c>
    </row>
    <row r="35">
      <c r="A35" s="11" t="n">
        <v>32</v>
      </c>
      <c r="B35" s="11" t="inlineStr">
        <is>
          <t>飯豊町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山形県地域公共交通計画（県・市町村共同、次期計画R8.3.27策定）</t>
        </is>
      </c>
      <c r="G35" s="11" t="inlineStr">
        <is>
          <t>R8〜不明</t>
        </is>
      </c>
      <c r="H35" s="16" t="n"/>
      <c r="I35" s="13" t="inlineStr">
        <is>
          <t>推定</t>
        </is>
      </c>
      <c r="J35" s="13" t="inlineStr">
        <is>
          <t>策定済</t>
        </is>
      </c>
      <c r="K35" s="14" t="inlineStr">
        <is>
          <t>https://www.pref.yamagata.jp/020057/kurashi/kendo/kotsuseisaku/ykotsu_kasseikakyougikai.html</t>
        </is>
      </c>
      <c r="L35" s="11" t="n"/>
      <c r="M35" s="11" t="inlineStr">
        <is>
          <t>不明</t>
        </is>
      </c>
      <c r="N35" s="13" t="n"/>
      <c r="O35" s="13" t="inlineStr">
        <is>
          <t>不明</t>
        </is>
      </c>
      <c r="P35" s="13" t="inlineStr">
        <is>
          <t>計画なし</t>
        </is>
      </c>
      <c r="Q35" s="11" t="n"/>
      <c r="R35" s="11" t="inlineStr">
        <is>
          <t>交通：町単独計画は見当たらず（活性化再生法6条に基づく地域公共交通会議あり、R8.2デマンド交通『ほほえみカー』変更協議 https://www.town.iide.yamagata.jp/005/detr_mtng_r6.html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5" s="15" t="inlineStr">
        <is>
          <t>調査済</t>
        </is>
      </c>
    </row>
    <row r="36">
      <c r="A36" s="11" t="n">
        <v>33</v>
      </c>
      <c r="B36" s="11" t="inlineStr">
        <is>
          <t>三川町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inlineStr">
        <is>
          <t>山形県地域公共交通計画（県・市町村共同、次期計画R8.3.27策定）</t>
        </is>
      </c>
      <c r="G36" s="11" t="inlineStr">
        <is>
          <t>R8〜不明</t>
        </is>
      </c>
      <c r="H36" s="16" t="n"/>
      <c r="I36" s="13" t="inlineStr">
        <is>
          <t>推定</t>
        </is>
      </c>
      <c r="J36" s="13" t="inlineStr">
        <is>
          <t>策定済</t>
        </is>
      </c>
      <c r="K36" s="14" t="inlineStr">
        <is>
          <t>https://www.pref.yamagata.jp/020057/kurashi/kendo/kotsuseisaku/ykotsu_kasseikakyougikai.html</t>
        </is>
      </c>
      <c r="L36" s="11" t="n"/>
      <c r="M36" s="11" t="inlineStr">
        <is>
          <t>不明</t>
        </is>
      </c>
      <c r="N36" s="13" t="n"/>
      <c r="O36" s="13" t="inlineStr">
        <is>
          <t>不明</t>
        </is>
      </c>
      <c r="P36" s="13" t="inlineStr">
        <is>
          <t>計画なし</t>
        </is>
      </c>
      <c r="Q36" s="11" t="n"/>
      <c r="R36" s="11" t="inlineStr">
        <is>
          <t>交通：町単独計画は見当たらず。県協議会でR8.3に地域旅客運送サービス継続実施計画（鶴岡三川線・三川酒田線）策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6" s="15" t="inlineStr">
        <is>
          <t>調査済</t>
        </is>
      </c>
    </row>
    <row r="37">
      <c r="A37" s="11" t="n">
        <v>34</v>
      </c>
      <c r="B37" s="11" t="inlineStr">
        <is>
          <t>庄内町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山形県地域公共交通計画（県・市町村共同、次期計画R8.3.27策定）</t>
        </is>
      </c>
      <c r="G37" s="11" t="inlineStr">
        <is>
          <t>R8〜不明</t>
        </is>
      </c>
      <c r="H37" s="16" t="n"/>
      <c r="I37" s="13" t="inlineStr">
        <is>
          <t>推定</t>
        </is>
      </c>
      <c r="J37" s="13" t="inlineStr">
        <is>
          <t>策定済</t>
        </is>
      </c>
      <c r="K37" s="14" t="inlineStr">
        <is>
          <t>https://www.pref.yamagata.jp/020057/kurashi/kendo/kotsuseisaku/ykotsu_kasseikakyougikai.html</t>
        </is>
      </c>
      <c r="L37" s="11" t="inlineStr">
        <is>
          <t>第3次庄内町環境基本計画</t>
        </is>
      </c>
      <c r="M37" s="11" t="inlineStr">
        <is>
          <t>R8〜不明</t>
        </is>
      </c>
      <c r="N37" s="16" t="n"/>
      <c r="O37" s="13" t="inlineStr">
        <is>
          <t>推定</t>
        </is>
      </c>
      <c r="P37" s="13" t="inlineStr">
        <is>
          <t>策定済</t>
        </is>
      </c>
      <c r="Q37" s="14" t="inlineStr">
        <is>
          <t>https://www.town.shonai.lg.jp/gyousei/shisaku/seisaku/index.html</t>
        </is>
      </c>
      <c r="R37" s="11" t="inlineStr">
        <is>
          <t>交通：町単独の地域公共交通計画は検索で確認できず。山形県地域公共交通計画（前計画R3〜R7）は市町村の利便増進実施計画等を内包する県全域計画。次期計画はR8.2パブコメ（https://www200.pref.yamagata.jp/020057/keikakupabukomepress2.html ）を経てR8.3.27策定（期間は未確認、R8開始）。 環境：第2次（H29.3策定）の後継として第3次案のパブコメを経てR8.3策定とみられる（期間未確認）。計画一覧 https://www.town.shonai.lg.jp/gyousei/shisaku/index.files/R6_keikaku.pdf 。</t>
        </is>
      </c>
      <c r="S37" s="15" t="inlineStr">
        <is>
          <t>調査済</t>
        </is>
      </c>
    </row>
    <row r="38">
      <c r="A38" s="11" t="n">
        <v>35</v>
      </c>
      <c r="B38" s="11" t="inlineStr">
        <is>
          <t>遊佐町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山形県地域公共交通計画（県・市町村共同、次期計画R8.3.27策定）</t>
        </is>
      </c>
      <c r="G38" s="11" t="inlineStr">
        <is>
          <t>R8〜不明</t>
        </is>
      </c>
      <c r="H38" s="16" t="n"/>
      <c r="I38" s="13" t="inlineStr">
        <is>
          <t>推定</t>
        </is>
      </c>
      <c r="J38" s="13" t="inlineStr">
        <is>
          <t>策定済</t>
        </is>
      </c>
      <c r="K38" s="14" t="inlineStr">
        <is>
          <t>https://www.pref.yamagata.jp/020057/kurashi/kendo/kotsuseisaku/ykotsu_kasseikakyougikai.html</t>
        </is>
      </c>
      <c r="L38" s="11" t="inlineStr">
        <is>
          <t>第3次遊佐町環境基本計画</t>
        </is>
      </c>
      <c r="M38" s="11" t="inlineStr">
        <is>
          <t>不明</t>
        </is>
      </c>
      <c r="N38" s="13" t="n"/>
      <c r="O38" s="13" t="inlineStr">
        <is>
          <t>不明</t>
        </is>
      </c>
      <c r="P38" s="13" t="inlineStr">
        <is>
          <t>未確認</t>
        </is>
      </c>
      <c r="Q38" s="14" t="inlineStr">
        <is>
          <t>https://www.town.yuza.yamagata.jp/genre/living/environment</t>
        </is>
      </c>
      <c r="R38"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環境：第3次遊佐町環境基本計画の存在を確認（期間未確認）。R8.1策定の第9次振興計画で環境基本計画に言及。</t>
        </is>
      </c>
      <c r="S38" s="15" t="inlineStr">
        <is>
          <t>調査済</t>
        </is>
      </c>
    </row>
  </sheetData>
  <autoFilter ref="A3:S38"/>
  <conditionalFormatting sqref="A4:S3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K17" r:id="rId26"/>
    <hyperlink xmlns:r="http://schemas.openxmlformats.org/officeDocument/2006/relationships" ref="K18" r:id="rId27"/>
    <hyperlink xmlns:r="http://schemas.openxmlformats.org/officeDocument/2006/relationships" ref="Q19"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Q22" r:id="rId33"/>
    <hyperlink xmlns:r="http://schemas.openxmlformats.org/officeDocument/2006/relationships" ref="K23" r:id="rId34"/>
    <hyperlink xmlns:r="http://schemas.openxmlformats.org/officeDocument/2006/relationships" ref="K24" r:id="rId35"/>
    <hyperlink xmlns:r="http://schemas.openxmlformats.org/officeDocument/2006/relationships" ref="K25" r:id="rId36"/>
    <hyperlink xmlns:r="http://schemas.openxmlformats.org/officeDocument/2006/relationships" ref="K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K31" r:id="rId42"/>
    <hyperlink xmlns:r="http://schemas.openxmlformats.org/officeDocument/2006/relationships" ref="Q31" r:id="rId43"/>
    <hyperlink xmlns:r="http://schemas.openxmlformats.org/officeDocument/2006/relationships" ref="K32" r:id="rId44"/>
    <hyperlink xmlns:r="http://schemas.openxmlformats.org/officeDocument/2006/relationships" ref="K33" r:id="rId45"/>
    <hyperlink xmlns:r="http://schemas.openxmlformats.org/officeDocument/2006/relationships" ref="K34" r:id="rId46"/>
    <hyperlink xmlns:r="http://schemas.openxmlformats.org/officeDocument/2006/relationships" ref="K35" r:id="rId47"/>
    <hyperlink xmlns:r="http://schemas.openxmlformats.org/officeDocument/2006/relationships" ref="K36" r:id="rId48"/>
    <hyperlink xmlns:r="http://schemas.openxmlformats.org/officeDocument/2006/relationships" ref="K37" r:id="rId49"/>
    <hyperlink xmlns:r="http://schemas.openxmlformats.org/officeDocument/2006/relationships" ref="Q37" r:id="rId50"/>
    <hyperlink xmlns:r="http://schemas.openxmlformats.org/officeDocument/2006/relationships" ref="K38" r:id="rId51"/>
    <hyperlink xmlns:r="http://schemas.openxmlformats.org/officeDocument/2006/relationships" ref="Q38" r:id="rId5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福島県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福島市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福島市地域公共交通計画</t>
        </is>
      </c>
      <c r="G4" s="11" t="inlineStr">
        <is>
          <t>R5〜R9</t>
        </is>
      </c>
      <c r="H4" s="13" t="n">
        <v>9</v>
      </c>
      <c r="I4" s="13" t="inlineStr">
        <is>
          <t>確認済</t>
        </is>
      </c>
      <c r="J4" s="13" t="inlineStr">
        <is>
          <t>未確認</t>
        </is>
      </c>
      <c r="K4" s="14" t="inlineStr">
        <is>
          <t>https://www.city.fukushima.fukushima.jp/material/files/group/62/40koutuukeikaku-honnpenn1.pdf</t>
        </is>
      </c>
      <c r="L4" s="11" t="inlineStr">
        <is>
          <t>福島市環境基本計画（第3次）</t>
        </is>
      </c>
      <c r="M4" s="11" t="inlineStr">
        <is>
          <t>R3〜R7</t>
        </is>
      </c>
      <c r="N4" s="13" t="n">
        <v>7</v>
      </c>
      <c r="O4" s="13" t="inlineStr">
        <is>
          <t>確認済</t>
        </is>
      </c>
      <c r="P4" s="13" t="inlineStr">
        <is>
          <t>着手済</t>
        </is>
      </c>
      <c r="Q4" s="14" t="inlineStr">
        <is>
          <t>https://www.city.fukushima.fukushima.jp/material/files/group/36/02_r6_kannkyoukihonnkeikaku.pdf</t>
        </is>
      </c>
      <c r="R4" s="11" t="inlineStr">
        <is>
          <t>交通：R5.3策定、最終年度2027(R9)。R7.2.26に計画改定資料あり（一部改定）https://www.city.fukushima.fukushima.jp/material/files/group/62/20250226koutuukeikakukaitei1-3.pdf 。R7.10.3協議会で県北圏域地域公共交通利便増進実施計画の変更協議。R9終期のため次期計画策定はR8〜R9に着手見込み。環境：R7(2025)終期、2026年度からの第4次計画策定を環境審議会で審議開始（R7.6.23報道資料 https://www.city.fukushima.fukushima.jp/material/files/group/3/press2025-06-23-3.pdf）。第4次の策定完了は未確認。</t>
        </is>
      </c>
      <c r="S4" s="15" t="inlineStr">
        <is>
          <t>調査済</t>
        </is>
      </c>
    </row>
    <row r="5">
      <c r="A5" s="11" t="n">
        <v>2</v>
      </c>
      <c r="B5" s="11" t="inlineStr">
        <is>
          <t>会津若松市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会津圏域地域公共交通計画（会津若松市・喜多方市ほか6市町村共同）</t>
        </is>
      </c>
      <c r="G5" s="11" t="inlineStr">
        <is>
          <t>R8〜R13</t>
        </is>
      </c>
      <c r="H5" s="13" t="n">
        <v>13</v>
      </c>
      <c r="I5" s="13" t="inlineStr">
        <is>
          <t>確認済</t>
        </is>
      </c>
      <c r="J5" s="13" t="inlineStr">
        <is>
          <t>策定済</t>
        </is>
      </c>
      <c r="K5" s="14" t="inlineStr">
        <is>
          <t>https://www.pref.fukushima.lg.jp/sec/16005d/aizukenikimoukeikaku.html</t>
        </is>
      </c>
      <c r="L5" s="11" t="inlineStr">
        <is>
          <t>会津若松市第3期環境基本計画</t>
        </is>
      </c>
      <c r="M5" s="11" t="inlineStr">
        <is>
          <t>R6〜R12</t>
        </is>
      </c>
      <c r="N5" s="13" t="n">
        <v>12</v>
      </c>
      <c r="O5" s="13" t="inlineStr">
        <is>
          <t>確認済</t>
        </is>
      </c>
      <c r="P5" s="13" t="inlineStr">
        <is>
          <t>未確認</t>
        </is>
      </c>
      <c r="Q5" s="14" t="inlineStr">
        <is>
          <t>https://www.city.aizuwakamatsu.fukushima.jp/docs/2024050800012/</t>
        </is>
      </c>
      <c r="R5" s="11" t="inlineStr">
        <is>
          <t>交通：前計画（会津圏域地域公共交通網形成計画/再編実施計画 R2〜R7）の後継として新計画を策定、パブコメR7.12.15〜R8.1.5。環境：R6.3策定。</t>
        </is>
      </c>
      <c r="S5" s="15" t="inlineStr">
        <is>
          <t>調査済</t>
        </is>
      </c>
    </row>
    <row r="6">
      <c r="A6" s="11" t="n">
        <v>3</v>
      </c>
      <c r="B6" s="11" t="inlineStr">
        <is>
          <t>郡山市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郡山市総合交通計画マスタープラン（地域公共交通計画を包含）</t>
        </is>
      </c>
      <c r="G6" s="11" t="inlineStr">
        <is>
          <t>R5〜R12</t>
        </is>
      </c>
      <c r="H6" s="13" t="n">
        <v>12</v>
      </c>
      <c r="I6" s="13" t="inlineStr">
        <is>
          <t>確認済</t>
        </is>
      </c>
      <c r="J6" s="13" t="inlineStr">
        <is>
          <t>未確認</t>
        </is>
      </c>
      <c r="K6" s="14" t="inlineStr">
        <is>
          <t>https://www.city.koriyama.lg.jp/soshiki/125/68026.html</t>
        </is>
      </c>
      <c r="L6" s="11" t="inlineStr">
        <is>
          <t>郡山市第五次環境基本計画</t>
        </is>
      </c>
      <c r="M6" s="11" t="inlineStr">
        <is>
          <t>R8〜R11</t>
        </is>
      </c>
      <c r="N6" s="13" t="n">
        <v>11</v>
      </c>
      <c r="O6" s="13" t="inlineStr">
        <is>
          <t>確認済</t>
        </is>
      </c>
      <c r="P6" s="13" t="inlineStr">
        <is>
          <t>着手済</t>
        </is>
      </c>
      <c r="Q6" s="14" t="inlineStr">
        <is>
          <t>https://www.city.koriyama.lg.jp/uploaded/attachment/109925.pdf</t>
        </is>
      </c>
      <c r="R6" s="11" t="inlineStr">
        <is>
          <t>交通：活性化再生法第5条の地域公共交通計画・バリアフリー方針を統合した総合計画。環境：第四次R4〜R7満了、第五次（R8〜R11）案のパブコメR8.2.17〜3.18実施、策定完了は未確認（R8.3策定の可能性大）。e_urlは第五次関連の検索上位PDF。旧e_url（第四次掲載の年次報告書）https://www.city.koriyama.lg.jp/uploaded/attachment/76651.pdf</t>
        </is>
      </c>
      <c r="S6" s="15" t="inlineStr">
        <is>
          <t>調査済</t>
        </is>
      </c>
    </row>
    <row r="7">
      <c r="A7" s="11" t="n">
        <v>4</v>
      </c>
      <c r="B7" s="11" t="inlineStr">
        <is>
          <t>いわき市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いわき市地域公共交通計画</t>
        </is>
      </c>
      <c r="G7" s="11" t="inlineStr">
        <is>
          <t>R5〜R9</t>
        </is>
      </c>
      <c r="H7" s="16" t="n">
        <v>9</v>
      </c>
      <c r="I7" s="13" t="inlineStr">
        <is>
          <t>推定</t>
        </is>
      </c>
      <c r="J7" s="13" t="inlineStr">
        <is>
          <t>未確認</t>
        </is>
      </c>
      <c r="K7" s="14" t="inlineStr">
        <is>
          <t>https://www.city.iwaki.lg.jp/www/contents/1679296597893/simple/koukyoukoutuukeikaku1.pdf</t>
        </is>
      </c>
      <c r="L7" s="11" t="inlineStr">
        <is>
          <t>いわき市環境基本計画（第三次）（中間改定版）</t>
        </is>
      </c>
      <c r="M7" s="11" t="inlineStr">
        <is>
          <t>R3〜R12</t>
        </is>
      </c>
      <c r="N7" s="13" t="n">
        <v>12</v>
      </c>
      <c r="O7" s="13" t="inlineStr">
        <is>
          <t>確認済</t>
        </is>
      </c>
      <c r="P7" s="13" t="inlineStr">
        <is>
          <t>策定済</t>
        </is>
      </c>
      <c r="Q7" s="14" t="inlineStr">
        <is>
          <t>https://www.city.iwaki.lg.jp/www/contents/1774836268840/simple/gaiyo.pdf</t>
        </is>
      </c>
      <c r="R7" s="11" t="inlineStr">
        <is>
          <t>交通：R5.3策定、計画期間「概ね5年間」（R9終期は推定）。R7.1.20第15回いわき都市圏総合都市交通推進協議会で計画改定を協議（一部改定）。次期計画策定の着手は検索で確認できず（R9終期のため要注視）。概要版 https://www.city.iwaki.lg.jp/www/contents/1679296597893/simple/gaiyouban.pdf 。環境：第三次R3〜R12（R3.3策定）、R6〜R7で中間の一部改定を実施、改定版の期間R8〜R12（概要gaiyo.pdf）。</t>
        </is>
      </c>
      <c r="S7" s="15" t="inlineStr">
        <is>
          <t>調査済</t>
        </is>
      </c>
    </row>
    <row r="8">
      <c r="A8" s="11" t="n">
        <v>5</v>
      </c>
      <c r="B8" s="11" t="inlineStr">
        <is>
          <t>白河市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白河市地域公共交通計画</t>
        </is>
      </c>
      <c r="G8" s="11" t="inlineStr">
        <is>
          <t>R6〜R10</t>
        </is>
      </c>
      <c r="H8" s="13" t="n">
        <v>10</v>
      </c>
      <c r="I8" s="13" t="inlineStr">
        <is>
          <t>確認済</t>
        </is>
      </c>
      <c r="J8" s="13" t="inlineStr">
        <is>
          <t>未確認</t>
        </is>
      </c>
      <c r="K8" s="14" t="inlineStr">
        <is>
          <t>https://www.city.shirakawa.fukushima.jp/data/doc/1712536078_doc_45_0.pdf</t>
        </is>
      </c>
      <c r="L8" s="11" t="inlineStr">
        <is>
          <t>第3次白河市環境基本計画</t>
        </is>
      </c>
      <c r="M8" s="11" t="inlineStr">
        <is>
          <t>R3〜R12</t>
        </is>
      </c>
      <c r="N8" s="13" t="n">
        <v>12</v>
      </c>
      <c r="O8" s="13" t="inlineStr">
        <is>
          <t>確認済</t>
        </is>
      </c>
      <c r="P8" s="13" t="inlineStr">
        <is>
          <t>未確認</t>
        </is>
      </c>
      <c r="Q8" s="14" t="inlineStr">
        <is>
          <t>https://www.city.shirakawa.fukushima.jp/data/doc/1634185398_doc_49_0.pdf</t>
        </is>
      </c>
      <c r="R8" s="11" t="inlineStr">
        <is>
          <t>交通：R6.3策定、R6〜R10の5年間。環境：第3次2021〜2030年度（第2次はH28策定）。e_urlは検索上位のPDF（計画本体か要確認）。次期計画作業は確認できず。</t>
        </is>
      </c>
      <c r="S8" s="15" t="inlineStr">
        <is>
          <t>調査済</t>
        </is>
      </c>
    </row>
    <row r="9">
      <c r="A9" s="11" t="n">
        <v>6</v>
      </c>
      <c r="B9" s="11" t="inlineStr">
        <is>
          <t>須賀川市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須賀川市地域公共交通計画</t>
        </is>
      </c>
      <c r="G9" s="11" t="inlineStr">
        <is>
          <t>不明</t>
        </is>
      </c>
      <c r="H9" s="13" t="n"/>
      <c r="I9" s="13" t="inlineStr">
        <is>
          <t>不明</t>
        </is>
      </c>
      <c r="J9" s="13" t="inlineStr">
        <is>
          <t>未確認</t>
        </is>
      </c>
      <c r="K9" s="14" t="inlineStr">
        <is>
          <t>https://www.city.sukagawa.fukushima.jp/kurashi/koutsu/koutsu_keikaku/1015962.html</t>
        </is>
      </c>
      <c r="L9" s="11" t="inlineStr">
        <is>
          <t>第3次須賀川市環境基本計画（中間改定版）</t>
        </is>
      </c>
      <c r="M9" s="11" t="inlineStr">
        <is>
          <t>不明</t>
        </is>
      </c>
      <c r="N9" s="13" t="n"/>
      <c r="O9" s="13" t="inlineStr">
        <is>
          <t>不明</t>
        </is>
      </c>
      <c r="P9" s="13" t="inlineStr">
        <is>
          <t>未確認</t>
        </is>
      </c>
      <c r="Q9" s="14" t="inlineStr">
        <is>
          <t>https://www.city.sukagawa.fukushima.jp/kurashi/gomi_recycle/kankyo_hozen/1002334/index.html</t>
        </is>
      </c>
      <c r="R9" s="11" t="inlineStr">
        <is>
          <t>交通：計画ページあり、R7.1.29一部改定。計画期間は検索で確認できず。環境：第3次計画（中間改定版）を公表（計画・条例ページ）、期間は検索で確認できず。区域施策編はR4〜R12。参考：須賀川市の環境（R7.5）https://www.city.sukagawa.fukushima.jp/material/files/group/47/r05shinokankyo.pdf</t>
        </is>
      </c>
      <c r="S9" s="15" t="inlineStr">
        <is>
          <t>調査済</t>
        </is>
      </c>
    </row>
    <row r="10">
      <c r="A10" s="11" t="n">
        <v>7</v>
      </c>
      <c r="B10" s="11" t="inlineStr">
        <is>
          <t>喜多方市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会津圏域地域公共交通計画（会津若松市・喜多方市ほか共同）</t>
        </is>
      </c>
      <c r="G10" s="11" t="inlineStr">
        <is>
          <t>R8〜R13</t>
        </is>
      </c>
      <c r="H10" s="13" t="n">
        <v>13</v>
      </c>
      <c r="I10" s="13" t="inlineStr">
        <is>
          <t>確認済</t>
        </is>
      </c>
      <c r="J10" s="13" t="inlineStr">
        <is>
          <t>策定済</t>
        </is>
      </c>
      <c r="K10" s="14" t="inlineStr">
        <is>
          <t>https://www.pref.fukushima.lg.jp/sec/16005d/aizukenikimoukeikaku.html</t>
        </is>
      </c>
      <c r="L10" s="11" t="inlineStr">
        <is>
          <t>喜多方市環境基本計画（中間見直し版）</t>
        </is>
      </c>
      <c r="M10" s="11" t="inlineStr">
        <is>
          <t>不明</t>
        </is>
      </c>
      <c r="N10" s="13" t="n"/>
      <c r="O10" s="13" t="inlineStr">
        <is>
          <t>不明</t>
        </is>
      </c>
      <c r="P10" s="13" t="inlineStr">
        <is>
          <t>未確認</t>
        </is>
      </c>
      <c r="Q10" s="11" t="n"/>
      <c r="R10" s="11" t="inlineStr">
        <is>
          <t>交通：会津圏域6市町村共同計画、パブコメR7.12.15〜R8.1.5、R8〜R13。環境：環境基本計画ありR4.3.29中間見直し（地球温暖化対策総合ビジョン2023-2050を個別方針に位置付け https://www.city.kitakata.fukushima.jp/soshiki/kankyo/49610.html ）、計画期間は検索で確認できず（中間見直しR4から逆算するとR8前後終期の可能性、要確認）。</t>
        </is>
      </c>
      <c r="S10" s="15" t="inlineStr">
        <is>
          <t>調査済</t>
        </is>
      </c>
    </row>
    <row r="11">
      <c r="A11" s="11" t="n">
        <v>8</v>
      </c>
      <c r="B11" s="11" t="inlineStr">
        <is>
          <t>相馬市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n"/>
      <c r="G11" s="11" t="inlineStr">
        <is>
          <t>不明</t>
        </is>
      </c>
      <c r="H11" s="13" t="n"/>
      <c r="I11" s="13" t="inlineStr">
        <is>
          <t>不明</t>
        </is>
      </c>
      <c r="J11" s="13" t="inlineStr">
        <is>
          <t>未確認</t>
        </is>
      </c>
      <c r="K11" s="11" t="n"/>
      <c r="L11" s="11" t="n"/>
      <c r="M11" s="11" t="inlineStr">
        <is>
          <t>不明</t>
        </is>
      </c>
      <c r="N11" s="13" t="n"/>
      <c r="O11" s="13" t="inlineStr">
        <is>
          <t>不明</t>
        </is>
      </c>
      <c r="P11" s="13" t="inlineStr">
        <is>
          <t>未確認</t>
        </is>
      </c>
      <c r="Q11" s="11" t="n"/>
      <c r="R11" s="11" t="inlineStr">
        <is>
          <t>交通・環境とも検索で確認できず（市サイト内検索でも該当ページ出ず、南相馬市の結果に埋もれる）。公共交通情報 https://www.city.soma.fukushima.jp/shinososhiki/kikakuseisakuka/seikatsu/1/1679.html 。参考：福島県地域公共交通計画（R6.3策定）https://www.pref.fukushima.lg.jp/uploaded/attachment/622613.pdf</t>
        </is>
      </c>
      <c r="S11" s="17" t="inlineStr">
        <is>
          <t>未調査</t>
        </is>
      </c>
    </row>
    <row r="12">
      <c r="A12" s="11" t="n">
        <v>9</v>
      </c>
      <c r="B12" s="11" t="inlineStr">
        <is>
          <t>二本松市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二本松市地域公共交通計画</t>
        </is>
      </c>
      <c r="G12" s="11" t="inlineStr">
        <is>
          <t>R6〜不明</t>
        </is>
      </c>
      <c r="H12" s="13" t="n"/>
      <c r="I12" s="13" t="inlineStr">
        <is>
          <t>不明</t>
        </is>
      </c>
      <c r="J12" s="13" t="inlineStr">
        <is>
          <t>未確認</t>
        </is>
      </c>
      <c r="K12" s="14" t="inlineStr">
        <is>
          <t>https://www.city.nihonmatsu.lg.jp/kurashi_tetsuduki/koutsu/page011927.html</t>
        </is>
      </c>
      <c r="L12" s="11" t="inlineStr">
        <is>
          <t>第2次二本松市環境基本計画（改定版）</t>
        </is>
      </c>
      <c r="M12" s="11" t="inlineStr">
        <is>
          <t>R1〜R10</t>
        </is>
      </c>
      <c r="N12" s="13" t="n">
        <v>10</v>
      </c>
      <c r="O12" s="13" t="inlineStr">
        <is>
          <t>確認済</t>
        </is>
      </c>
      <c r="P12" s="13" t="inlineStr">
        <is>
          <t>未確認</t>
        </is>
      </c>
      <c r="Q12" s="14" t="inlineStr">
        <is>
          <t>https://www.city.nihonmatsu.lg.jp/data/doc/1716164612_doc_33_0.pdf</t>
        </is>
      </c>
      <c r="R12" s="11" t="inlineStr">
        <is>
          <t>交通：R6.3策定（網形成計画R1〜R5の後継）、終期は検索で確認できず（5年ならR10）。環境：第2次2019〜2028年度、R6.5改定（区域施策編を包含）。次期計画作業は確認できず。</t>
        </is>
      </c>
      <c r="S12" s="15" t="inlineStr">
        <is>
          <t>調査済</t>
        </is>
      </c>
    </row>
    <row r="13">
      <c r="A13" s="11" t="n">
        <v>10</v>
      </c>
      <c r="B13" s="11" t="inlineStr">
        <is>
          <t>田村市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田村市地域公共交通計画</t>
        </is>
      </c>
      <c r="G13" s="11" t="inlineStr">
        <is>
          <t>R4〜R8</t>
        </is>
      </c>
      <c r="H13" s="13" t="n">
        <v>8</v>
      </c>
      <c r="I13" s="13" t="inlineStr">
        <is>
          <t>確認済</t>
        </is>
      </c>
      <c r="J13" s="13" t="inlineStr">
        <is>
          <t>着手済</t>
        </is>
      </c>
      <c r="K13" s="14" t="inlineStr">
        <is>
          <t>https://www.city.tamura.lg.jp/soshiki/1/assets/【set】田村市地域公共交通計画概要版2406改訂.pdf</t>
        </is>
      </c>
      <c r="L13" s="11" t="n"/>
      <c r="M13" s="11" t="inlineStr">
        <is>
          <t>不明</t>
        </is>
      </c>
      <c r="N13" s="13" t="n"/>
      <c r="O13" s="13" t="inlineStr">
        <is>
          <t>不明</t>
        </is>
      </c>
      <c r="P13" s="13" t="inlineStr">
        <is>
          <t>未確認</t>
        </is>
      </c>
      <c r="Q13" s="11" t="n"/>
      <c r="R13" s="11" t="inlineStr">
        <is>
          <t>交通：R4〜R8、R6.6一部改訂。R8.3協議会で「第2次田村市地域公共交通計画策定業務」の審査委員会設置を協議→次期計画策定着手（資料 https://www.city.tamura.lg.jp/soshiki/1/assets/%E8%B3%87%E6%96%99%E4%B8%80%E5%BC%8F%EF%BC%88R7%E7%AC%AC1%E5%9B%9E%EF%BC%89.pdf ほか）。環境：環境基本計画は検索で確認できず（一般廃棄物処理計画等のみヒット）。</t>
        </is>
      </c>
      <c r="S13" s="17" t="inlineStr">
        <is>
          <t>交通のみ調査</t>
        </is>
      </c>
    </row>
    <row r="14">
      <c r="A14" s="11" t="n">
        <v>11</v>
      </c>
      <c r="B14" s="11" t="inlineStr">
        <is>
          <t>南相馬市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南相馬市地域公共交通計画</t>
        </is>
      </c>
      <c r="G14" s="11" t="inlineStr">
        <is>
          <t>R8〜R12</t>
        </is>
      </c>
      <c r="H14" s="13" t="n">
        <v>12</v>
      </c>
      <c r="I14" s="13" t="inlineStr">
        <is>
          <t>確認済</t>
        </is>
      </c>
      <c r="J14" s="13" t="inlineStr">
        <is>
          <t>策定済</t>
        </is>
      </c>
      <c r="K14" s="14" t="inlineStr">
        <is>
          <t>https://www.city.minamisoma.lg.jp/material/files/group/3/202601281245.pdf</t>
        </is>
      </c>
      <c r="L14" s="11" t="inlineStr">
        <is>
          <t>第三次南相馬市環境基本計画</t>
        </is>
      </c>
      <c r="M14" s="11" t="inlineStr">
        <is>
          <t>不明</t>
        </is>
      </c>
      <c r="N14" s="13" t="n"/>
      <c r="O14" s="13" t="inlineStr">
        <is>
          <t>不明</t>
        </is>
      </c>
      <c r="P14" s="13" t="inlineStr">
        <is>
          <t>未確認</t>
        </is>
      </c>
      <c r="Q14" s="14" t="inlineStr">
        <is>
          <t>https://www.city.minamisoma.lg.jp/material/files/group/3/20231024_co148.pdf</t>
        </is>
      </c>
      <c r="R14" s="11" t="inlineStr">
        <is>
          <t>交通：新計画R8〜R12（R8.1資料）。旧計画概要 https://www.city.minamisoma.lg.jp/material/files/group/13/koutuukeikakugaiyou.pdf 。環境：第三次計画R5.10策定（第二次はH36=R6まで）、期間は検索で確認できず（R6開始と推定）。ゼロカーボン推進計画2023〜2030。</t>
        </is>
      </c>
      <c r="S14" s="15" t="inlineStr">
        <is>
          <t>調査済</t>
        </is>
      </c>
    </row>
    <row r="15">
      <c r="A15" s="11" t="n">
        <v>12</v>
      </c>
      <c r="B15" s="11" t="inlineStr">
        <is>
          <t>伊達市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伊達市地域公共交通計画</t>
        </is>
      </c>
      <c r="G15" s="11" t="inlineStr">
        <is>
          <t>不明</t>
        </is>
      </c>
      <c r="H15" s="13" t="n"/>
      <c r="I15" s="13" t="inlineStr">
        <is>
          <t>不明</t>
        </is>
      </c>
      <c r="J15" s="13" t="inlineStr">
        <is>
          <t>未確認</t>
        </is>
      </c>
      <c r="K15" s="14" t="inlineStr">
        <is>
          <t>https://www.city.fukushima-date.lg.jp/soshiki/86/47231.html</t>
        </is>
      </c>
      <c r="L15" s="11" t="inlineStr">
        <is>
          <t>第2次伊達市環境基本計画</t>
        </is>
      </c>
      <c r="M15" s="11" t="inlineStr">
        <is>
          <t>R3〜R12</t>
        </is>
      </c>
      <c r="N15" s="13" t="n">
        <v>12</v>
      </c>
      <c r="O15" s="13" t="inlineStr">
        <is>
          <t>確認済</t>
        </is>
      </c>
      <c r="P15" s="13" t="inlineStr">
        <is>
          <t>策定済</t>
        </is>
      </c>
      <c r="Q15" s="14" t="inlineStr">
        <is>
          <t>https://www.city.fukushima-date.lg.jp/soshiki/86/47604.html</t>
        </is>
      </c>
      <c r="R15" s="11" t="inlineStr">
        <is>
          <t>交通：R2年度策定（網形成計画H27.8〜R2の後継）、期間は検索で確認できず。利便増進実施計画 https://www.city.fukushima-date.lg.jp/soshiki/86/49036.html 、県北圏域利便増進実施計画R7.10〜R13.3にも参加。環境：R3.3策定、2021〜2030年度、R8.3中間見直し実施（策定済は中間見直し版の意）。</t>
        </is>
      </c>
      <c r="S15" s="15" t="inlineStr">
        <is>
          <t>調査済</t>
        </is>
      </c>
    </row>
    <row r="16">
      <c r="A16" s="11" t="n">
        <v>13</v>
      </c>
      <c r="B16" s="11" t="inlineStr">
        <is>
          <t>本宮市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本宮市地域公共交通計画</t>
        </is>
      </c>
      <c r="G16" s="11" t="inlineStr">
        <is>
          <t>不明（R8度末終了と推定）</t>
        </is>
      </c>
      <c r="H16" s="16" t="n">
        <v>8</v>
      </c>
      <c r="I16" s="13" t="inlineStr">
        <is>
          <t>推定</t>
        </is>
      </c>
      <c r="J16" s="13" t="inlineStr">
        <is>
          <t>着手済</t>
        </is>
      </c>
      <c r="K16" s="14" t="inlineStr">
        <is>
          <t>https://www.city.motomiya.lg.jp/soshiki/10/tiikikoukyoukoutsuukeikaku.html</t>
        </is>
      </c>
      <c r="L16" s="11" t="inlineStr">
        <is>
          <t>本宮市第2次環境基本計画</t>
        </is>
      </c>
      <c r="M16" s="11" t="inlineStr">
        <is>
          <t>不明</t>
        </is>
      </c>
      <c r="N16" s="13" t="n"/>
      <c r="O16" s="13" t="inlineStr">
        <is>
          <t>不明</t>
        </is>
      </c>
      <c r="P16" s="13" t="inlineStr">
        <is>
          <t>未確認</t>
        </is>
      </c>
      <c r="Q16" s="11" t="n"/>
      <c r="R16" s="11" t="inlineStr">
        <is>
          <t>2026-07-06 「本宮市第2期地域公共交通計画策定支援業務委託」公募型プロポーザル実施を市が公表（生活環境課、https://www.city.motomiya.lg.jp/soshiki/10/tiikikoukyoukoutsuukeikaku.html）。現行計画期間は未確認（第2期がR9開始と推定）。環境基本計画は「本宮市第2次環境基本計画」（市HP掲載、2019-05-13更新と検索結果に表示、計画・事業ページ https://www.city.motomiya.lg.jp/life/6/25/ ）だが計画期間は再検索でも確認できず。ゼロカーボンシティ宣言2021年3月（https://www.city.motomiya.lg.jp/soshiki/10/2050zerocarboncity.html）。</t>
        </is>
      </c>
      <c r="S16" s="15" t="inlineStr">
        <is>
          <t>調査済</t>
        </is>
      </c>
    </row>
    <row r="17">
      <c r="A17" s="11" t="n">
        <v>14</v>
      </c>
      <c r="B17" s="11" t="inlineStr">
        <is>
          <t>桑折町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n"/>
      <c r="G17" s="11" t="inlineStr">
        <is>
          <t>不明</t>
        </is>
      </c>
      <c r="H17" s="13" t="n"/>
      <c r="I17" s="13" t="inlineStr">
        <is>
          <t>不明</t>
        </is>
      </c>
      <c r="J17" s="13" t="inlineStr">
        <is>
          <t>未確認</t>
        </is>
      </c>
      <c r="K17" s="11" t="n"/>
      <c r="L17" s="11" t="n"/>
      <c r="M17" s="11" t="inlineStr">
        <is>
          <t>不明</t>
        </is>
      </c>
      <c r="N17" s="13" t="n"/>
      <c r="O17" s="13" t="inlineStr">
        <is>
          <t>不明</t>
        </is>
      </c>
      <c r="P17" s="13" t="inlineStr">
        <is>
          <t>計画なし</t>
        </is>
      </c>
      <c r="Q17" s="11" t="n"/>
      <c r="R17" s="11" t="inlineStr">
        <is>
          <t>地域公共交通計画は町HP内検索・一般検索とも確認できず（都市計画マスタープランR6年度策定、公共交通は環境係所管）。環境基本計画も見当たらず、代替として地球温暖化対策実行計画 区域施策編（地域まるごと省エネ計画、R6.2改正）・事務事業編（第4期、R4.3策定）あり: https://www.town.koori.fukushima.jp/soshiki/kankyo/1/3/9286.html 。都市計画マスタープランはR6年度策定。環境基本計画の「計画なし」は検索未ヒットに基づく推定。</t>
        </is>
      </c>
      <c r="S17" s="17" t="inlineStr">
        <is>
          <t>環境のみ調査</t>
        </is>
      </c>
    </row>
    <row r="18">
      <c r="A18" s="11" t="n">
        <v>15</v>
      </c>
      <c r="B18" s="11" t="inlineStr">
        <is>
          <t>国見町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地域公共交通計画は町HP内検索でも確認できず。「地域公共交通あり方協議会」設置、国見まちなかタクシー・ももたんパス（タクシー助成実証、https://www.town.kunimi.fukushima.jp/soshiki/4/16576.html）等を実施。広報くにみR3.4号特集、町資料「これからの公共交通のカタチ」（https://www.town.kunimi.fukushima.jp/uploaded/attachment/6659.pdf）。環境基本計画は検索で確認できず。代替として地球温暖化対策実行計画をR6.1.9公表（住民防災課所管）。第6次総合計画（KuniMirai2030）あり。</t>
        </is>
      </c>
      <c r="S18" s="17" t="inlineStr">
        <is>
          <t>未調査</t>
        </is>
      </c>
    </row>
    <row r="19">
      <c r="A19" s="11" t="n">
        <v>16</v>
      </c>
      <c r="B19" s="11" t="inlineStr">
        <is>
          <t>川俣町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未確認</t>
        </is>
      </c>
      <c r="Q19" s="11" t="n"/>
      <c r="R19" s="11" t="inlineStr">
        <is>
          <t>地域公共交通計画は検索で確認できず。川俣町地域公共交通会議（H20.3設置、https://www.town.kawamata.lg.jp/site/kurashi-tetsuzuki/kawamatakoukyokotsu.html）がH21.3に地域公共交通総合連携計画を策定（デマンド型乗合タクシー導入、国交省資料）—旧法計画で現行計画は未確認。環境基本計画も検索で確認できず（各種計画一覧 https://www.town.kawamata.lg.jp/site/chosei-shisetsu/list74.html 要確認）。循環型社会形成推進地域計画（R3〜R7）あり。</t>
        </is>
      </c>
      <c r="S19" s="17" t="inlineStr">
        <is>
          <t>未調査</t>
        </is>
      </c>
    </row>
    <row r="20">
      <c r="A20" s="11" t="n">
        <v>17</v>
      </c>
      <c r="B20" s="11" t="inlineStr">
        <is>
          <t>大玉村</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大玉村地域公共交通計画</t>
        </is>
      </c>
      <c r="G20" s="11" t="inlineStr">
        <is>
          <t>R4〜R8（推定）</t>
        </is>
      </c>
      <c r="H20" s="16" t="n">
        <v>8</v>
      </c>
      <c r="I20" s="13" t="inlineStr">
        <is>
          <t>推定</t>
        </is>
      </c>
      <c r="J20" s="13" t="inlineStr">
        <is>
          <t>未確認</t>
        </is>
      </c>
      <c r="K20" s="14" t="inlineStr">
        <is>
          <t>https://www.vill.otama.fukushima.jp/gyousei_jouhou/keikaku/</t>
        </is>
      </c>
      <c r="L20" s="11" t="n"/>
      <c r="M20" s="11" t="inlineStr">
        <is>
          <t>不明</t>
        </is>
      </c>
      <c r="N20" s="13" t="n"/>
      <c r="O20" s="13" t="inlineStr">
        <is>
          <t>不明</t>
        </is>
      </c>
      <c r="P20" s="13" t="inlineStr">
        <is>
          <t>未確認</t>
        </is>
      </c>
      <c r="Q20" s="11" t="n"/>
      <c r="R20" s="11" t="inlineStr">
        <is>
          <t>地域公共交通計画は素案パブコメR4.1.28〜2.25実施（結果 https://www.vill.otama.fukushima.jp/file/contents/527/25641/koukyoukoutuu_kekka.pdf）→R3年度末策定、期間は5年と推定（R8度末終了なら次期計画作業の可能性、ただし検索で確認できず）。デマンド型乗合タクシー（AI配車）・通勤通学バス運行。環境基本計画は検索で確認できず（各種計画一覧に見当たらず、第5次総合振興計画・立地適正化計画R6.8等のみ）。</t>
        </is>
      </c>
      <c r="S20" s="17" t="inlineStr">
        <is>
          <t>交通のみ調査</t>
        </is>
      </c>
    </row>
    <row r="21">
      <c r="A21" s="11" t="n">
        <v>18</v>
      </c>
      <c r="B21" s="11" t="inlineStr">
        <is>
          <t>鏡石町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地域公共交通計画は町HP内検索でも確認できず（都市計画マスタープラン、鏡石駅周辺将来まちづくりビジョンR7.3のみ）。環境基本計画も検索で確認できず。各種まちづくり計画一覧: https://www.town.kagamiishi.fukushima.jp/kurashi/chousei/008285.html</t>
        </is>
      </c>
      <c r="S21" s="17" t="inlineStr">
        <is>
          <t>未調査</t>
        </is>
      </c>
    </row>
    <row r="22">
      <c r="A22" s="11" t="n">
        <v>19</v>
      </c>
      <c r="B22" s="11" t="inlineStr">
        <is>
          <t>天栄村</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n"/>
      <c r="G22" s="11" t="inlineStr">
        <is>
          <t>不明</t>
        </is>
      </c>
      <c r="H22" s="13" t="n"/>
      <c r="I22" s="13" t="inlineStr">
        <is>
          <t>不明</t>
        </is>
      </c>
      <c r="J22" s="13" t="inlineStr">
        <is>
          <t>未確認</t>
        </is>
      </c>
      <c r="K22" s="11" t="n"/>
      <c r="L22" s="11" t="n"/>
      <c r="M22" s="11" t="inlineStr">
        <is>
          <t>不明</t>
        </is>
      </c>
      <c r="N22" s="13" t="n"/>
      <c r="O22" s="13" t="inlineStr">
        <is>
          <t>不明</t>
        </is>
      </c>
      <c r="P22" s="13" t="inlineStr">
        <is>
          <t>未確認</t>
        </is>
      </c>
      <c r="Q22" s="11" t="n"/>
      <c r="R22" s="11" t="inlineStr">
        <is>
          <t>地域公共交通計画・環境基本計画とも検索で確認できず（村HPはほぼ検索インデックスなし）。小規模村で計画なしの可能性。</t>
        </is>
      </c>
      <c r="S22" s="17" t="inlineStr">
        <is>
          <t>未調査</t>
        </is>
      </c>
    </row>
    <row r="23">
      <c r="A23" s="11" t="n">
        <v>20</v>
      </c>
      <c r="B23" s="11" t="inlineStr">
        <is>
          <t>下郷町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町単独の地域公共交通計画・環境基本計画は検索で確認できず。会津線沿線（会津若松市・下郷町・南会津町）で会津線活性化連携協議会が地域公共交通総合連携計画を策定（旧法）、会津鉄道の鉄道事業再構築実施計画はR7.4〜R17.3。会津地域の広域公共交通計画（2026〜2031、6市町村）の記載が検索要約にあるが対象市町村・名称は要確認。過疎地域持続的発展計画（R3〜R7）あり。</t>
        </is>
      </c>
      <c r="S23" s="17" t="inlineStr">
        <is>
          <t>未調査</t>
        </is>
      </c>
    </row>
    <row r="24">
      <c r="A24" s="11" t="n">
        <v>21</v>
      </c>
      <c r="B24" s="11" t="inlineStr">
        <is>
          <t>檜枝岐村</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地域公共交通計画・環境基本計画とも検索で確認できず。小規模村で計画なしの可能性（南会津地域4町村の共同交通計画も確認できず）。</t>
        </is>
      </c>
      <c r="S24" s="17" t="inlineStr">
        <is>
          <t>未調査</t>
        </is>
      </c>
    </row>
    <row r="25">
      <c r="A25" s="11" t="n">
        <v>22</v>
      </c>
      <c r="B25" s="11" t="inlineStr">
        <is>
          <t>只見町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地域公共交通計画は町HP内検索でも確認できず（只見駅周回バス、雪んこタクシー等運行）。環境基本計画も検索で確認できず（ユネスコエコパーク関連の取組はあり）。</t>
        </is>
      </c>
      <c r="S25" s="17" t="inlineStr">
        <is>
          <t>未調査</t>
        </is>
      </c>
    </row>
    <row r="26">
      <c r="A26" s="11" t="n">
        <v>23</v>
      </c>
      <c r="B26" s="11" t="inlineStr">
        <is>
          <t>南会津町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南会津町地域公共交通計画</t>
        </is>
      </c>
      <c r="G26" s="11" t="inlineStr">
        <is>
          <t>R6〜R10</t>
        </is>
      </c>
      <c r="H26" s="13" t="n">
        <v>10</v>
      </c>
      <c r="I26" s="13" t="inlineStr">
        <is>
          <t>確認済</t>
        </is>
      </c>
      <c r="J26" s="13" t="inlineStr">
        <is>
          <t>未確認</t>
        </is>
      </c>
      <c r="K26" s="14" t="inlineStr">
        <is>
          <t>https://www.town.minamiaizu.lg.jp/official/soshikikarasagasu/sogoseisakuka/kakushukeikaku/1/3114.html</t>
        </is>
      </c>
      <c r="L26" s="11" t="inlineStr">
        <is>
          <t>第2次南会津町環境基本計画</t>
        </is>
      </c>
      <c r="M26" s="11" t="inlineStr">
        <is>
          <t>不明</t>
        </is>
      </c>
      <c r="N26" s="13" t="n"/>
      <c r="O26" s="13" t="inlineStr">
        <is>
          <t>不明</t>
        </is>
      </c>
      <c r="P26" s="13" t="inlineStr">
        <is>
          <t>未確認</t>
        </is>
      </c>
      <c r="Q26" s="14" t="inlineStr">
        <is>
          <t>https://www.town.minamiaizu.lg.jp/official/soshikikarasagasu/kankyosuidoka/kakushukeikaku/1/450.html</t>
        </is>
      </c>
      <c r="R26" s="11" t="inlineStr">
        <is>
          <t>交通計画はR6.3策定（R6.6改訂、本編 https://www.town.minamiaizu.lg.jp/material/files/group/3/6gatukaiteibann.pdf ）。会津線沿線3市町の連携計画・会津鉄道再構築（R7.4〜R17.3）にも関係。環境基本条例H19.12、第1次計画H21.3、第2次計画の期間は確認できず。地球温暖化対策実行計画（区域施策編）をR7.3策定（https://www.town.minamiaizu.lg.jp/official/soshikikarasagasu/kankyosuidoka/kakushukeikaku/1/3540.html）、ゼロカーボン宣言済、エスプールとゼロカーボンタウン連携協定。</t>
        </is>
      </c>
      <c r="S26" s="15" t="inlineStr">
        <is>
          <t>調査済</t>
        </is>
      </c>
    </row>
    <row r="27">
      <c r="A27" s="11" t="n">
        <v>24</v>
      </c>
      <c r="B27" s="11" t="inlineStr">
        <is>
          <t>北塩原村</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計画なし</t>
        </is>
      </c>
      <c r="Q27" s="11" t="n"/>
      <c r="R27" s="11" t="inlineStr">
        <is>
          <t>村単独の地域公共交通計画は検索で確認できず（会津圏域計画の対象外）。再検索でも確認できず（国交省事例:喜多方～裏磐梯バス・桧原湖周遊バス https://www.mlit.go.jp/sogoseisaku/transport/pdf/021_kitashiobara.pdf ）。 【環境】環境基本計画は検索で確認できず。代替として『北塩原村地域まるごと脱炭素計画』（区域施策編＋地域気候変動適応計画を兼ねる） https://www.vill.kitashiobara.fukushima.jp/uploaded/attachment/3387.pdf 、事務事業編あり。ゼロカーボンシティ宣言済。</t>
        </is>
      </c>
      <c r="S27" s="17" t="inlineStr">
        <is>
          <t>環境のみ調査</t>
        </is>
      </c>
    </row>
    <row r="28">
      <c r="A28" s="11" t="n">
        <v>25</v>
      </c>
      <c r="B28" s="11" t="inlineStr">
        <is>
          <t>西会津町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n"/>
      <c r="G28" s="11" t="inlineStr">
        <is>
          <t>不明</t>
        </is>
      </c>
      <c r="H28" s="13" t="n"/>
      <c r="I28" s="13" t="inlineStr">
        <is>
          <t>不明</t>
        </is>
      </c>
      <c r="J28" s="13" t="inlineStr">
        <is>
          <t>未確認</t>
        </is>
      </c>
      <c r="K28" s="11" t="n"/>
      <c r="L28" s="11" t="n"/>
      <c r="M28" s="11" t="inlineStr">
        <is>
          <t>不明</t>
        </is>
      </c>
      <c r="N28" s="13" t="n"/>
      <c r="O28" s="13" t="inlineStr">
        <is>
          <t>不明</t>
        </is>
      </c>
      <c r="P28" s="13" t="inlineStr">
        <is>
          <t>計画なし</t>
        </is>
      </c>
      <c r="Q28" s="11" t="n"/>
      <c r="R28" s="11" t="inlineStr">
        <is>
          <t>町単独の地域公共交通計画は町HPで確認できず（町民バス・デマンドバス運行、会津圏域計画の対象外）。 【環境】環境基本計画は検索で確認できず。代替として『西会津町地域まるごと省エネ計画（区域施策編）』R3.3策定、事務事業編H30.2策定 https://www.town.nishiaizu.fukushima.jp/soshiki/3/10204.html 。</t>
        </is>
      </c>
      <c r="S28" s="17" t="inlineStr">
        <is>
          <t>環境のみ調査</t>
        </is>
      </c>
    </row>
    <row r="29">
      <c r="A29" s="11" t="n">
        <v>26</v>
      </c>
      <c r="B29" s="11" t="inlineStr">
        <is>
          <t>磐梯町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n"/>
      <c r="G29" s="11" t="inlineStr">
        <is>
          <t>不明</t>
        </is>
      </c>
      <c r="H29" s="13" t="n"/>
      <c r="I29" s="13" t="inlineStr">
        <is>
          <t>不明</t>
        </is>
      </c>
      <c r="J29" s="13" t="inlineStr">
        <is>
          <t>未確認</t>
        </is>
      </c>
      <c r="K29" s="11" t="n"/>
      <c r="L29" s="11" t="n"/>
      <c r="M29" s="11" t="inlineStr">
        <is>
          <t>不明</t>
        </is>
      </c>
      <c r="N29" s="13" t="n"/>
      <c r="O29" s="13" t="inlineStr">
        <is>
          <t>不明</t>
        </is>
      </c>
      <c r="P29" s="13" t="inlineStr">
        <is>
          <t>計画なし</t>
        </is>
      </c>
      <c r="Q29" s="11" t="n"/>
      <c r="R29" s="11" t="inlineStr">
        <is>
          <t>町単独の地域公共交通計画は確認できず（AIオンデマンド交通導入 https://www.town.bandai.fukushima.jp/site/kurashi-kankyo/bandai-koukyo-koutuuondemand.html ）。総合計画見直し中(R7審議会)。 【環境】環境基本計画は検索で確認できず。代替として『磐梯町地球温暖化対策実行計画（区域施策編・事務事業編）』令和7年9月策定 https://www.town.bandai.fukushima.jp/uploaded/attachment/7725.pdf 。ゼロカーボン宣言・ネイチャーポジティブ宣言済。</t>
        </is>
      </c>
      <c r="S29" s="17" t="inlineStr">
        <is>
          <t>環境のみ調査</t>
        </is>
      </c>
    </row>
    <row r="30">
      <c r="A30" s="11" t="n">
        <v>27</v>
      </c>
      <c r="B30" s="11" t="inlineStr">
        <is>
          <t>猪苗代町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計画なし</t>
        </is>
      </c>
      <c r="Q30" s="11" t="n"/>
      <c r="R30" s="11" t="inlineStr">
        <is>
          <t>町単独の地域公共交通計画は町HP・再検索でも確認できず。立地適正化計画策定の動きあり https://www.town.inawashiro.fukushima.jp/cb/hpc/Article-199-15693.html 。 【環境】町HP『環境計画・構想』に環境基本計画は見当たらず。第3次地球温暖化対策実行計画(R3.3策定、最終R6年度) https://www.town.inawashiro.fukushima.jp/cb/hpc/Article-128-18213.html （次期未確認）、再エネ推進計画(2021〜2040) https://www.town.inawashiro.fukushima.jp/cb/hpc/Article-8-18273.html 。</t>
        </is>
      </c>
      <c r="S30" s="17" t="inlineStr">
        <is>
          <t>環境のみ調査</t>
        </is>
      </c>
    </row>
    <row r="31">
      <c r="A31" s="11" t="n">
        <v>28</v>
      </c>
      <c r="B31" s="11" t="inlineStr">
        <is>
          <t>会津坂下町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inlineStr">
        <is>
          <t>会津圏域地域公共交通計画（福島県・会津圏域6市町村共同）</t>
        </is>
      </c>
      <c r="G31" s="11" t="inlineStr">
        <is>
          <t>R8〜R13</t>
        </is>
      </c>
      <c r="H31" s="13" t="n">
        <v>13</v>
      </c>
      <c r="I31" s="13" t="inlineStr">
        <is>
          <t>確認済</t>
        </is>
      </c>
      <c r="J31" s="13" t="inlineStr">
        <is>
          <t>策定済</t>
        </is>
      </c>
      <c r="K31" s="14" t="inlineStr">
        <is>
          <t>https://www.pref.fukushima.lg.jp/sec/16005d/aizukeniki-keikaku-ribenkeikaku.html</t>
        </is>
      </c>
      <c r="L31" s="11" t="n"/>
      <c r="M31" s="11" t="inlineStr">
        <is>
          <t>不明</t>
        </is>
      </c>
      <c r="N31" s="13" t="n"/>
      <c r="O31" s="13" t="inlineStr">
        <is>
          <t>不明</t>
        </is>
      </c>
      <c r="P31" s="13" t="inlineStr">
        <is>
          <t>計画なし</t>
        </is>
      </c>
      <c r="Q31" s="11" t="n"/>
      <c r="R31"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【環境】環境基本計画は検索で確認できず。代替として地球温暖化防止対策実行計画（事務事業編・区域施策編）と農山漁村再生可能エネルギー導入促進基本計画をR8.3.17更新 https://www.town.aizubange.fukushima.jp/life/1/8/29/ 。</t>
        </is>
      </c>
      <c r="S31" s="15" t="inlineStr">
        <is>
          <t>調査済</t>
        </is>
      </c>
    </row>
    <row r="32">
      <c r="A32" s="11" t="n">
        <v>29</v>
      </c>
      <c r="B32" s="11" t="inlineStr">
        <is>
          <t>湯川村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会津圏域地域公共交通計画（福島県・会津圏域6市町村共同）</t>
        </is>
      </c>
      <c r="G32" s="11" t="inlineStr">
        <is>
          <t>R8〜R13</t>
        </is>
      </c>
      <c r="H32" s="13" t="n">
        <v>13</v>
      </c>
      <c r="I32" s="13" t="inlineStr">
        <is>
          <t>確認済</t>
        </is>
      </c>
      <c r="J32" s="13" t="inlineStr">
        <is>
          <t>策定済</t>
        </is>
      </c>
      <c r="K32" s="14" t="inlineStr">
        <is>
          <t>https://www.pref.fukushima.lg.jp/sec/16005d/aizukeniki-keikaku-ribenkeikaku.html</t>
        </is>
      </c>
      <c r="L32" s="11" t="n"/>
      <c r="M32" s="11" t="inlineStr">
        <is>
          <t>不明</t>
        </is>
      </c>
      <c r="N32" s="13" t="n"/>
      <c r="O32" s="13" t="inlineStr">
        <is>
          <t>不明</t>
        </is>
      </c>
      <c r="P32" s="13" t="inlineStr">
        <is>
          <t>未確認</t>
        </is>
      </c>
      <c r="Q32" s="11" t="n"/>
      <c r="R32"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【環境】環境基本計画は検索で確認できず（村HP各種計画 https://www.vill.yugawa.fukushima.jp/site/gyousei-top/various-plans.html ）。</t>
        </is>
      </c>
      <c r="S32" s="17" t="inlineStr">
        <is>
          <t>交通のみ調査</t>
        </is>
      </c>
    </row>
    <row r="33">
      <c r="A33" s="11" t="n">
        <v>30</v>
      </c>
      <c r="B33" s="11" t="inlineStr">
        <is>
          <t>柳津町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会津圏域地域公共交通計画（福島県・会津圏域6市町村共同）</t>
        </is>
      </c>
      <c r="G33" s="11" t="inlineStr">
        <is>
          <t>R8〜R13</t>
        </is>
      </c>
      <c r="H33" s="13" t="n">
        <v>13</v>
      </c>
      <c r="I33" s="13" t="inlineStr">
        <is>
          <t>確認済</t>
        </is>
      </c>
      <c r="J33" s="13" t="inlineStr">
        <is>
          <t>策定済</t>
        </is>
      </c>
      <c r="K33" s="14" t="inlineStr">
        <is>
          <t>https://www.pref.fukushima.lg.jp/sec/16005d/aizukeniki-keikaku-ribenkeikaku.html</t>
        </is>
      </c>
      <c r="L33" s="11" t="n"/>
      <c r="M33" s="11" t="inlineStr">
        <is>
          <t>不明</t>
        </is>
      </c>
      <c r="N33" s="13" t="n"/>
      <c r="O33" s="13" t="inlineStr">
        <is>
          <t>不明</t>
        </is>
      </c>
      <c r="P33" s="13" t="inlineStr">
        <is>
          <t>未確認</t>
        </is>
      </c>
      <c r="Q33" s="11" t="n"/>
      <c r="R33"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【環境】環境基本計画は検索で確認できず。役場地球温暖化対策実行計画(R4.1改訂) https://www.town.yanaizu.fukushima.jp/docs/2022120500022/file_contents/ondankakeikaku.pdf 、R4.12ゼロカーボンシティ宣言。</t>
        </is>
      </c>
      <c r="S33" s="17" t="inlineStr">
        <is>
          <t>交通のみ調査</t>
        </is>
      </c>
    </row>
    <row r="34">
      <c r="A34" s="11" t="n">
        <v>31</v>
      </c>
      <c r="B34" s="11" t="inlineStr">
        <is>
          <t>三島町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未確認</t>
        </is>
      </c>
      <c r="K34" s="11" t="n"/>
      <c r="L34" s="11" t="n"/>
      <c r="M34" s="11" t="inlineStr">
        <is>
          <t>不明</t>
        </is>
      </c>
      <c r="N34" s="13" t="n"/>
      <c r="O34" s="13" t="inlineStr">
        <is>
          <t>不明</t>
        </is>
      </c>
      <c r="P34" s="13" t="inlineStr">
        <is>
          <t>未確認</t>
        </is>
      </c>
      <c r="Q34" s="11" t="n"/>
      <c r="R34" s="11" t="inlineStr">
        <is>
          <t>単独/奥会津広域の地域公共交通計画は再検索でも確認できず（只見線利活用計画のみ）（会津圏域計画の対象外）。 【環境】環境基本計画は検索で確認できず。三島町ゼロカーボンビジョン(2022.5) https://www.town.mishima.fukushima.jp/uploaded/attachment/1087.pdf 、第2次実行計画（事務事業編）R6.3策定・2024〜2030 http://www.town.mishima.fukushima.jp/soshiki/chiiki-seisaku/4267.html 。</t>
        </is>
      </c>
      <c r="S34" s="17" t="inlineStr">
        <is>
          <t>未調査</t>
        </is>
      </c>
    </row>
    <row r="35">
      <c r="A35" s="11" t="n">
        <v>32</v>
      </c>
      <c r="B35" s="11" t="inlineStr">
        <is>
          <t>金山町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n"/>
      <c r="G35" s="11" t="inlineStr">
        <is>
          <t>不明</t>
        </is>
      </c>
      <c r="H35" s="13" t="n"/>
      <c r="I35" s="13" t="inlineStr">
        <is>
          <t>不明</t>
        </is>
      </c>
      <c r="J35" s="13" t="inlineStr">
        <is>
          <t>未確認</t>
        </is>
      </c>
      <c r="K35" s="11" t="n"/>
      <c r="L35" s="11" t="n"/>
      <c r="M35" s="11" t="inlineStr">
        <is>
          <t>不明</t>
        </is>
      </c>
      <c r="N35" s="13" t="n"/>
      <c r="O35" s="13" t="inlineStr">
        <is>
          <t>不明</t>
        </is>
      </c>
      <c r="P35" s="13" t="inlineStr">
        <is>
          <t>未確認</t>
        </is>
      </c>
      <c r="Q35" s="11" t="n"/>
      <c r="R35" s="11" t="inlineStr">
        <is>
          <t>単独/奥会津広域の地域公共交通計画は再検索でも確認できず（只見線利活用計画のみ）（会津圏域計画の対象外）。 【環境】環境基本計画は検索で確認できず。自然環境等と再エネ発電事業等との調和に関する条例制定(パブコメ) https://www.town.kaneyama.fukushima.jp/soshiki/54/pabukomesizennkannkyou.html 。R7.9議会でゼロカーボン表明検討の質疑。</t>
        </is>
      </c>
      <c r="S35" s="17" t="inlineStr">
        <is>
          <t>未調査</t>
        </is>
      </c>
    </row>
    <row r="36">
      <c r="A36" s="11" t="n">
        <v>33</v>
      </c>
      <c r="B36" s="11" t="inlineStr">
        <is>
          <t>昭和村</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未確認</t>
        </is>
      </c>
      <c r="Q36" s="11" t="n"/>
      <c r="R36" s="11" t="inlineStr">
        <is>
          <t>単独/奥会津広域の地域公共交通計画は再検索でも確認できず（只見線利活用計画のみ）（会津圏域計画の対象外）。 【環境】環境基本計画は検索で確認できず（村HP各種計画 https://www.vill.showa.fukushima.jp/procedure/1096/ ）。</t>
        </is>
      </c>
      <c r="S36" s="17" t="inlineStr">
        <is>
          <t>未調査</t>
        </is>
      </c>
    </row>
    <row r="37">
      <c r="A37" s="11" t="n">
        <v>34</v>
      </c>
      <c r="B37" s="11" t="inlineStr">
        <is>
          <t>会津美里町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会津圏域地域公共交通計画（福島県・会津圏域6市町村共同）</t>
        </is>
      </c>
      <c r="G37" s="11" t="inlineStr">
        <is>
          <t>R8〜R13</t>
        </is>
      </c>
      <c r="H37" s="13" t="n">
        <v>13</v>
      </c>
      <c r="I37" s="13" t="inlineStr">
        <is>
          <t>確認済</t>
        </is>
      </c>
      <c r="J37" s="13" t="inlineStr">
        <is>
          <t>策定済</t>
        </is>
      </c>
      <c r="K37" s="14" t="inlineStr">
        <is>
          <t>https://www.pref.fukushima.lg.jp/sec/16005d/aizukeniki-keikaku-ribenkeikaku.html</t>
        </is>
      </c>
      <c r="L37" s="11" t="n"/>
      <c r="M37" s="11" t="inlineStr">
        <is>
          <t>不明</t>
        </is>
      </c>
      <c r="N37" s="13" t="n"/>
      <c r="O37" s="13" t="inlineStr">
        <is>
          <t>不明</t>
        </is>
      </c>
      <c r="P37" s="13" t="inlineStr">
        <is>
          <t>未確認</t>
        </is>
      </c>
      <c r="Q37" s="11" t="n"/>
      <c r="R37"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別途、町単独の『会津美里町地域公共交通計画（案）』(令和8年、町地域公共交通会議資料) https://www.town.aizumisato.fukushima.jp/material/files/group/3/keikakuann.pdf が作成中＝着手済（期間未確認）。 【環境】環境基本計画は検索で確認できず。地球温暖化対策実行計画（事務事業編R4〜R6） https://www.town.aizumisato.fukushima.jp/gyosei/gyoseijoho/8/7/2/3496.html 、再エネ導入目標等策定支援業務プロポーザル https://www.town.aizumisato.fukushima.jp/soshiki/1009/3/10/5800.html 、ゼロカーボン宣言済。</t>
        </is>
      </c>
      <c r="S37" s="17" t="inlineStr">
        <is>
          <t>交通のみ調査</t>
        </is>
      </c>
    </row>
    <row r="38">
      <c r="A38" s="11" t="n">
        <v>35</v>
      </c>
      <c r="B38" s="11" t="inlineStr">
        <is>
          <t>西郷村</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西郷村地域公共交通計画</t>
        </is>
      </c>
      <c r="G38" s="11" t="inlineStr">
        <is>
          <t>R8〜R13</t>
        </is>
      </c>
      <c r="H38" s="13" t="n">
        <v>13</v>
      </c>
      <c r="I38" s="13" t="inlineStr">
        <is>
          <t>確認済</t>
        </is>
      </c>
      <c r="J38" s="13" t="inlineStr">
        <is>
          <t>策定済</t>
        </is>
      </c>
      <c r="K38" s="14" t="inlineStr">
        <is>
          <t>https://www.vill.nishigo.fukushima.jp/material/files/group/3/koutsuukeikaku_soan_2026.pdf</t>
        </is>
      </c>
      <c r="L38" s="11" t="inlineStr">
        <is>
          <t>西郷村環境基本計画</t>
        </is>
      </c>
      <c r="M38" s="11" t="inlineStr">
        <is>
          <t>不明</t>
        </is>
      </c>
      <c r="N38" s="13" t="n"/>
      <c r="O38" s="13" t="inlineStr">
        <is>
          <t>不明</t>
        </is>
      </c>
      <c r="P38" s="13" t="inlineStr">
        <is>
          <t>着手済</t>
        </is>
      </c>
      <c r="Q38" s="14" t="inlineStr">
        <is>
          <t>https://www.vill.nishigo.fukushima.jp/soshiki/kankyohozenka/kankyo_gomi/2/4547.html</t>
        </is>
      </c>
      <c r="R38" s="11" t="inlineStr">
        <is>
          <t>旧 西郷村地域公共交通網形成計画 https://www.vill.nishigo.fukushima.jp/soshiki/kikakuseisakuka/shisaku_keikaku/2/2322.html の後継。策定調査業務をプロポーザル発注 https://www.vill.nishigo.fukushima.jp/soshiki/kikakuseisakuka/shisaku_keikaku/2/5707.html 、素案R8.3、R8.3策定、計画期間R8〜R13の6年間（URLは素案）。AIデマンド交通実証導入も進行。 【環境】『西郷村環境基本計画』あり https://www.vill.nishigo.fukushima.jp/soshiki/kankyohozenka/kankyo_gomi/2/4547.html （期間は検索で確認できず）。R8.9.3ゼロ・カーボンシティ宣言ページで環境基本計画の改定・地球温暖化対策実行計画（区域施策編）策定に言及 https://www.vill.nishigo.fukushima.jp/soshiki/juminseikatsuka/kankyo_gomi/2/6556.html （改定版の策定済/作業中かは要確認）。</t>
        </is>
      </c>
      <c r="S38" s="15" t="inlineStr">
        <is>
          <t>調査済</t>
        </is>
      </c>
    </row>
    <row r="39">
      <c r="A39" s="11" t="n">
        <v>36</v>
      </c>
      <c r="B39" s="11" t="inlineStr">
        <is>
          <t>泉崎村</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福島県地域公共交通計画（県全域の広域計画）</t>
        </is>
      </c>
      <c r="G39" s="11" t="inlineStr">
        <is>
          <t>R6〜R12</t>
        </is>
      </c>
      <c r="H39" s="13" t="n">
        <v>12</v>
      </c>
      <c r="I39" s="13" t="inlineStr">
        <is>
          <t>確認済</t>
        </is>
      </c>
      <c r="J39" s="13" t="inlineStr">
        <is>
          <t>未確認</t>
        </is>
      </c>
      <c r="K39" s="14" t="inlineStr">
        <is>
          <t>https://www.pref.fukushima.lg.jp/uploaded/attachment/622613.pdf</t>
        </is>
      </c>
      <c r="L39" s="11" t="n"/>
      <c r="M39" s="11" t="inlineStr">
        <is>
          <t>不明</t>
        </is>
      </c>
      <c r="N39" s="13" t="n"/>
      <c r="O39" s="13" t="inlineStr">
        <is>
          <t>不明</t>
        </is>
      </c>
      <c r="P39" s="13" t="inlineStr">
        <is>
          <t>未確認</t>
        </is>
      </c>
      <c r="Q39" s="11" t="n"/>
      <c r="R39" s="11" t="inlineStr">
        <is>
          <t>町村単独の地域公共交通計画は検索で確認できず、県計画（R6.3策定、R7.2等に一部改定）が対象範囲。コミュニティバス「ふれあい号」3路線運行。環境基本計画は検索（村/町HPドメイン指定含む）で確認できず。村HP「各種計画の一覧」https://www.vill.izumizaki.fukushima.jp/page/page001839.html で要確認。</t>
        </is>
      </c>
      <c r="S39" s="17" t="inlineStr">
        <is>
          <t>交通のみ調査</t>
        </is>
      </c>
    </row>
    <row r="40">
      <c r="A40" s="11" t="n">
        <v>37</v>
      </c>
      <c r="B40" s="11" t="inlineStr">
        <is>
          <t>中島村</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inlineStr">
        <is>
          <t>福島県地域公共交通計画（県全域の広域計画）</t>
        </is>
      </c>
      <c r="G40" s="11" t="inlineStr">
        <is>
          <t>R6〜R12</t>
        </is>
      </c>
      <c r="H40" s="13" t="n">
        <v>12</v>
      </c>
      <c r="I40" s="13" t="inlineStr">
        <is>
          <t>確認済</t>
        </is>
      </c>
      <c r="J40" s="13" t="inlineStr">
        <is>
          <t>未確認</t>
        </is>
      </c>
      <c r="K40" s="14" t="inlineStr">
        <is>
          <t>https://www.pref.fukushima.lg.jp/uploaded/attachment/622613.pdf</t>
        </is>
      </c>
      <c r="L40" s="11" t="n"/>
      <c r="M40" s="11" t="inlineStr">
        <is>
          <t>不明</t>
        </is>
      </c>
      <c r="N40" s="13" t="n"/>
      <c r="O40" s="13" t="inlineStr">
        <is>
          <t>不明</t>
        </is>
      </c>
      <c r="P40" s="13" t="inlineStr">
        <is>
          <t>未確認</t>
        </is>
      </c>
      <c r="Q40" s="11" t="n"/>
      <c r="R40" s="11" t="inlineStr">
        <is>
          <t>町村単独の地域公共交通計画は検索で確認できず、県計画（R6.3策定、R7.2等に一部改定）が対象範囲。しらかわ地域定住自立圏構成村。環境基本計画・温暖化対策実行計画とも検索で確認できず。</t>
        </is>
      </c>
      <c r="S40" s="17" t="inlineStr">
        <is>
          <t>交通のみ調査</t>
        </is>
      </c>
    </row>
    <row r="41">
      <c r="A41" s="11" t="n">
        <v>38</v>
      </c>
      <c r="B41" s="11" t="inlineStr">
        <is>
          <t>矢吹町</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inlineStr">
        <is>
          <t>矢吹町地域公共交通計画</t>
        </is>
      </c>
      <c r="G41" s="11" t="inlineStr">
        <is>
          <t>不明</t>
        </is>
      </c>
      <c r="H41" s="13" t="n"/>
      <c r="I41" s="13" t="inlineStr">
        <is>
          <t>不明</t>
        </is>
      </c>
      <c r="J41" s="13" t="inlineStr">
        <is>
          <t>未確認</t>
        </is>
      </c>
      <c r="K41" s="14" t="inlineStr">
        <is>
          <t>https://www.town.yabuki.fukushima.jp/page/page009573.html</t>
        </is>
      </c>
      <c r="L41" s="11" t="n"/>
      <c r="M41" s="11" t="inlineStr">
        <is>
          <t>不明</t>
        </is>
      </c>
      <c r="N41" s="13" t="n"/>
      <c r="O41" s="13" t="inlineStr">
        <is>
          <t>不明</t>
        </is>
      </c>
      <c r="P41" s="13" t="inlineStr">
        <is>
          <t>計画なし</t>
        </is>
      </c>
      <c r="Q41" s="11" t="n"/>
      <c r="R41" s="11" t="inlineStr">
        <is>
          <t>町単独の地域公共交通計画をR5.9策定（期間は検索結果で確認できず）。同計画に基づきAI活用型オンデマンドバス「のると矢吹」導入・運行業務のプロポーザル実施（page010114/page010199）。環境基本計画は町HP内検索で見当たらず、代替として矢吹町地球温暖化対策実行計画（区域施策編）R6.3策定 https://www.town.yabuki.fukushima.jp/data/doc/1711602333_doc_34_0.pdf、事務事業編も改定済（page009922）。</t>
        </is>
      </c>
      <c r="S41" s="15" t="inlineStr">
        <is>
          <t>調査済</t>
        </is>
      </c>
    </row>
    <row r="42">
      <c r="A42" s="11" t="n">
        <v>39</v>
      </c>
      <c r="B42" s="11" t="inlineStr">
        <is>
          <t>棚倉町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福島県地域公共交通計画（県全域の広域計画）</t>
        </is>
      </c>
      <c r="G42" s="11" t="inlineStr">
        <is>
          <t>R6〜R12</t>
        </is>
      </c>
      <c r="H42" s="13" t="n">
        <v>12</v>
      </c>
      <c r="I42" s="13" t="inlineStr">
        <is>
          <t>確認済</t>
        </is>
      </c>
      <c r="J42" s="13" t="inlineStr">
        <is>
          <t>未確認</t>
        </is>
      </c>
      <c r="K42" s="14" t="inlineStr">
        <is>
          <t>https://www.pref.fukushima.lg.jp/uploaded/attachment/622613.pdf</t>
        </is>
      </c>
      <c r="L42" s="11" t="inlineStr">
        <is>
          <t>棚倉町環境基本計画－SDGsと環境共生圏づくりを目指して－</t>
        </is>
      </c>
      <c r="M42" s="11" t="inlineStr">
        <is>
          <t>不明</t>
        </is>
      </c>
      <c r="N42" s="13" t="n"/>
      <c r="O42" s="13" t="inlineStr">
        <is>
          <t>不明</t>
        </is>
      </c>
      <c r="P42" s="13" t="inlineStr">
        <is>
          <t>未確認</t>
        </is>
      </c>
      <c r="Q42" s="14" t="inlineStr">
        <is>
          <t>https://www.town.tanagura.fukushima.jp/page/page001917.html</t>
        </is>
      </c>
      <c r="R42" s="11" t="inlineStr">
        <is>
          <t>町村単独の地域公共交通計画は検索で確認できず、県計画（R6.3策定、R7.2等に一部改定）が対象範囲。環境基本計画はR3.3策定（本編PDF https://www.town.tanagura.fukushima.jp/data/doc/1617153691_doc_15_0.pdf）。計画期間は検索結果で確認できず（10年ならR3〜R12、5年ならR3〜R7→改定期の可能性）。要PDF確認。</t>
        </is>
      </c>
      <c r="S42" s="15" t="inlineStr">
        <is>
          <t>調査済</t>
        </is>
      </c>
    </row>
    <row r="43">
      <c r="A43" s="11" t="n">
        <v>40</v>
      </c>
      <c r="B43" s="11" t="inlineStr">
        <is>
          <t>矢祭町</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inlineStr">
        <is>
          <t>福島県地域公共交通計画（県全域の広域計画）</t>
        </is>
      </c>
      <c r="G43" s="11" t="inlineStr">
        <is>
          <t>R6〜R12</t>
        </is>
      </c>
      <c r="H43" s="13" t="n">
        <v>12</v>
      </c>
      <c r="I43" s="13" t="inlineStr">
        <is>
          <t>確認済</t>
        </is>
      </c>
      <c r="J43" s="13" t="inlineStr">
        <is>
          <t>未確認</t>
        </is>
      </c>
      <c r="K43" s="14" t="inlineStr">
        <is>
          <t>https://www.pref.fukushima.lg.jp/uploaded/attachment/622613.pdf</t>
        </is>
      </c>
      <c r="L43" s="11" t="n"/>
      <c r="M43" s="11" t="inlineStr">
        <is>
          <t>不明</t>
        </is>
      </c>
      <c r="N43" s="13" t="n"/>
      <c r="O43" s="13" t="inlineStr">
        <is>
          <t>不明</t>
        </is>
      </c>
      <c r="P43" s="13" t="inlineStr">
        <is>
          <t>未確認</t>
        </is>
      </c>
      <c r="Q43" s="11" t="n"/>
      <c r="R43" s="11" t="inlineStr">
        <is>
          <t>町村単独の地域公共交通計画は検索で確認できず、県計画（R6.3策定、R7.2等に一部改定）が対象範囲。町は「地域の公共交通網整備に向けた基本調査研究」を公表（https://www.town.yamatsuri.fukushima.jp/sp/page/page000235.html）。環境基本計画は町HPドメイン検索でも確認できず（総合計画・太陽光条例等のみ）。第7次総合計画R8〜R12策定。</t>
        </is>
      </c>
      <c r="S43" s="17" t="inlineStr">
        <is>
          <t>交通のみ調査</t>
        </is>
      </c>
    </row>
    <row r="44">
      <c r="A44" s="11" t="n">
        <v>41</v>
      </c>
      <c r="B44" s="11" t="inlineStr">
        <is>
          <t>塙町</t>
        </is>
      </c>
      <c r="C44" s="12">
        <f>IF(OR(D44="◎",E44="◎"),"◎ 営業",IF(OR(D44="△",E44="△"),"△ 着手済・要確認",IF(OR(D44="？",E44="？"),"？ 期間要確認","✕ 対象外")))</f>
        <v/>
      </c>
      <c r="D44" s="13">
        <f>IF(J44="計画なし","－",IF(J44="策定済","✕",IF(H44="","？",IF(AND(H44&gt;='集計・設定'!$C$4,H44&lt;='集計・設定'!$C$5),IF(J44="着手済","△","◎"),"✕"))))</f>
        <v/>
      </c>
      <c r="E44" s="13">
        <f>IF(P44="計画なし","－",IF(P44="策定済","✕",IF(N44="","？",IF(AND(N44&gt;='集計・設定'!$C$4,N44&lt;='集計・設定'!$C$5),IF(P44="着手済","△","◎"),"✕"))))</f>
        <v/>
      </c>
      <c r="F44" s="11" t="inlineStr">
        <is>
          <t>福島県地域公共交通計画（県全域の広域計画）</t>
        </is>
      </c>
      <c r="G44" s="11" t="inlineStr">
        <is>
          <t>R6〜R12</t>
        </is>
      </c>
      <c r="H44" s="13" t="n">
        <v>12</v>
      </c>
      <c r="I44" s="13" t="inlineStr">
        <is>
          <t>確認済</t>
        </is>
      </c>
      <c r="J44" s="13" t="inlineStr">
        <is>
          <t>未確認</t>
        </is>
      </c>
      <c r="K44" s="14" t="inlineStr">
        <is>
          <t>https://www.pref.fukushima.lg.jp/uploaded/attachment/622613.pdf</t>
        </is>
      </c>
      <c r="L44" s="11" t="n"/>
      <c r="M44" s="11" t="inlineStr">
        <is>
          <t>不明</t>
        </is>
      </c>
      <c r="N44" s="13" t="n"/>
      <c r="O44" s="13" t="inlineStr">
        <is>
          <t>不明</t>
        </is>
      </c>
      <c r="P44" s="13" t="inlineStr">
        <is>
          <t>計画なし</t>
        </is>
      </c>
      <c r="Q44" s="11" t="n"/>
      <c r="R44" s="11" t="inlineStr">
        <is>
          <t>町村単独の地域公共交通計画は検索で確認できず、県計画（R6.3策定、R7.2等に一部改定）が対象範囲。町は地域公共交通網形成計画をH30.3策定（https://www.town.hanawa.fukushima.jp/page/page000688.html、期間未確認・満了の可能性）、旧「塙町地域公共交通総合連携計画」（H23.3, https://www.town.hanawa.fukushima.jp/data/doc/1503288674_doc_30_0.pdf）。環境基本計画は町HP「各種計画」ページ等で見当たらず、温暖化対策実行計画（事務事業編）（page000922）と「地域まるごと省エネ計画」（page001462、区域施策編相当）が代替。</t>
        </is>
      </c>
      <c r="S44" s="15" t="inlineStr">
        <is>
          <t>調査済</t>
        </is>
      </c>
    </row>
    <row r="45">
      <c r="A45" s="11" t="n">
        <v>42</v>
      </c>
      <c r="B45" s="11" t="inlineStr">
        <is>
          <t>鮫川村</t>
        </is>
      </c>
      <c r="C45" s="12">
        <f>IF(OR(D45="◎",E45="◎"),"◎ 営業",IF(OR(D45="△",E45="△"),"△ 着手済・要確認",IF(OR(D45="？",E45="？"),"？ 期間要確認","✕ 対象外")))</f>
        <v/>
      </c>
      <c r="D45" s="13">
        <f>IF(J45="計画なし","－",IF(J45="策定済","✕",IF(H45="","？",IF(AND(H45&gt;='集計・設定'!$C$4,H45&lt;='集計・設定'!$C$5),IF(J45="着手済","△","◎"),"✕"))))</f>
        <v/>
      </c>
      <c r="E45" s="13">
        <f>IF(P45="計画なし","－",IF(P45="策定済","✕",IF(N45="","？",IF(AND(N45&gt;='集計・設定'!$C$4,N45&lt;='集計・設定'!$C$5),IF(P45="着手済","△","◎"),"✕"))))</f>
        <v/>
      </c>
      <c r="F45" s="11" t="inlineStr">
        <is>
          <t>鮫川村地域公共交通計画</t>
        </is>
      </c>
      <c r="G45" s="11" t="inlineStr">
        <is>
          <t>R5〜R9</t>
        </is>
      </c>
      <c r="H45" s="13" t="n">
        <v>9</v>
      </c>
      <c r="I45" s="13" t="inlineStr">
        <is>
          <t>確認済</t>
        </is>
      </c>
      <c r="J45" s="13" t="inlineStr">
        <is>
          <t>未確認</t>
        </is>
      </c>
      <c r="K45" s="14" t="inlineStr">
        <is>
          <t>https://www.vill.samegawa.fukushima.jp/sp/page/page002592.html</t>
        </is>
      </c>
      <c r="L45" s="11" t="n"/>
      <c r="M45" s="11" t="inlineStr">
        <is>
          <t>不明</t>
        </is>
      </c>
      <c r="N45" s="13" t="n"/>
      <c r="O45" s="13" t="inlineStr">
        <is>
          <t>不明</t>
        </is>
      </c>
      <c r="P45" s="13" t="inlineStr">
        <is>
          <t>未確認</t>
        </is>
      </c>
      <c r="Q45" s="11" t="n"/>
      <c r="R45" s="11" t="inlineStr">
        <is>
          <t>交通計画はR5.2.21協議会で策定、デマンド交通導入を位置付け。R9年度末で満了→R8〜R9に次期計画検討が見込まれる。R7年度協議会会議録が村HP（上記協議会ページ）に公開、次期計画への言及は未確認。環境基本計画は検索（村/町HPドメイン指定含む）で確認できず。（バイオマスヴィレッジ構想・公害対策条例のみ確認）</t>
        </is>
      </c>
      <c r="S45" s="17" t="inlineStr">
        <is>
          <t>交通のみ調査</t>
        </is>
      </c>
    </row>
    <row r="46">
      <c r="A46" s="11" t="n">
        <v>43</v>
      </c>
      <c r="B46" s="11" t="inlineStr">
        <is>
          <t>石川町</t>
        </is>
      </c>
      <c r="C46" s="12">
        <f>IF(OR(D46="◎",E46="◎"),"◎ 営業",IF(OR(D46="△",E46="△"),"△ 着手済・要確認",IF(OR(D46="？",E46="？"),"？ 期間要確認","✕ 対象外")))</f>
        <v/>
      </c>
      <c r="D46" s="13">
        <f>IF(J46="計画なし","－",IF(J46="策定済","✕",IF(H46="","？",IF(AND(H46&gt;='集計・設定'!$C$4,H46&lt;='集計・設定'!$C$5),IF(J46="着手済","△","◎"),"✕"))))</f>
        <v/>
      </c>
      <c r="E46" s="13">
        <f>IF(P46="計画なし","－",IF(P46="策定済","✕",IF(N46="","？",IF(AND(N46&gt;='集計・設定'!$C$4,N46&lt;='集計・設定'!$C$5),IF(P46="着手済","△","◎"),"✕"))))</f>
        <v/>
      </c>
      <c r="F46" s="11" t="inlineStr">
        <is>
          <t>石川町地域公共交通計画</t>
        </is>
      </c>
      <c r="G46" s="11" t="inlineStr">
        <is>
          <t>R5〜R10</t>
        </is>
      </c>
      <c r="H46" s="13" t="n">
        <v>10</v>
      </c>
      <c r="I46" s="13" t="inlineStr">
        <is>
          <t>確認済</t>
        </is>
      </c>
      <c r="J46" s="13" t="inlineStr">
        <is>
          <t>未確認</t>
        </is>
      </c>
      <c r="K46" s="14" t="inlineStr">
        <is>
          <t>https://www.town.ishikawa.fukushima.jp/admin/project/03/24.html</t>
        </is>
      </c>
      <c r="L46" s="11" t="n"/>
      <c r="M46" s="11" t="inlineStr">
        <is>
          <t>不明</t>
        </is>
      </c>
      <c r="N46" s="13" t="n"/>
      <c r="O46" s="13" t="inlineStr">
        <is>
          <t>不明</t>
        </is>
      </c>
      <c r="P46" s="13" t="inlineStr">
        <is>
          <t>未確認</t>
        </is>
      </c>
      <c r="Q46" s="11" t="n"/>
      <c r="R46" s="11" t="inlineStr">
        <is>
          <t>H29.3策定の石川町地域公共交通網形成計画の後継計画（2023〜2028年度）。環境基本計画は検索（村/町HPドメイン指定含む）で確認できず。第2次石川町地球温暖化防止実行計画（事務事業編、2023〜2028年度）https://www.town.ishikawa.fukushima.jp/admin/ishikawa/info/005930.html のみ確認。</t>
        </is>
      </c>
      <c r="S46" s="17" t="inlineStr">
        <is>
          <t>交通のみ調査</t>
        </is>
      </c>
    </row>
    <row r="47">
      <c r="A47" s="11" t="n">
        <v>44</v>
      </c>
      <c r="B47" s="11" t="inlineStr">
        <is>
          <t>玉川村</t>
        </is>
      </c>
      <c r="C47" s="12">
        <f>IF(OR(D47="◎",E47="◎"),"◎ 営業",IF(OR(D47="△",E47="△"),"△ 着手済・要確認",IF(OR(D47="？",E47="？"),"？ 期間要確認","✕ 対象外")))</f>
        <v/>
      </c>
      <c r="D47" s="13">
        <f>IF(J47="計画なし","－",IF(J47="策定済","✕",IF(H47="","？",IF(AND(H47&gt;='集計・設定'!$C$4,H47&lt;='集計・設定'!$C$5),IF(J47="着手済","△","◎"),"✕"))))</f>
        <v/>
      </c>
      <c r="E47" s="13">
        <f>IF(P47="計画なし","－",IF(P47="策定済","✕",IF(N47="","？",IF(AND(N47&gt;='集計・設定'!$C$4,N47&lt;='集計・設定'!$C$5),IF(P47="着手済","△","◎"),"✕"))))</f>
        <v/>
      </c>
      <c r="F47" s="11" t="inlineStr">
        <is>
          <t>福島県地域公共交通計画（県全域の広域計画）</t>
        </is>
      </c>
      <c r="G47" s="11" t="inlineStr">
        <is>
          <t>R6〜R12</t>
        </is>
      </c>
      <c r="H47" s="13" t="n">
        <v>12</v>
      </c>
      <c r="I47" s="13" t="inlineStr">
        <is>
          <t>確認済</t>
        </is>
      </c>
      <c r="J47" s="13" t="inlineStr">
        <is>
          <t>未確認</t>
        </is>
      </c>
      <c r="K47" s="14" t="inlineStr">
        <is>
          <t>https://www.pref.fukushima.lg.jp/uploaded/attachment/622613.pdf</t>
        </is>
      </c>
      <c r="L47" s="11" t="n"/>
      <c r="M47" s="11" t="inlineStr">
        <is>
          <t>不明</t>
        </is>
      </c>
      <c r="N47" s="13" t="n"/>
      <c r="O47" s="13" t="inlineStr">
        <is>
          <t>不明</t>
        </is>
      </c>
      <c r="P47" s="13" t="inlineStr">
        <is>
          <t>未確認</t>
        </is>
      </c>
      <c r="Q47" s="11" t="n"/>
      <c r="R47"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住宅用太陽光補助等のみ確認。</t>
        </is>
      </c>
      <c r="S47" s="17" t="inlineStr">
        <is>
          <t>交通のみ調査</t>
        </is>
      </c>
    </row>
    <row r="48">
      <c r="A48" s="11" t="n">
        <v>45</v>
      </c>
      <c r="B48" s="11" t="inlineStr">
        <is>
          <t>平田村</t>
        </is>
      </c>
      <c r="C48" s="12">
        <f>IF(OR(D48="◎",E48="◎"),"◎ 営業",IF(OR(D48="△",E48="△"),"△ 着手済・要確認",IF(OR(D48="？",E48="？"),"？ 期間要確認","✕ 対象外")))</f>
        <v/>
      </c>
      <c r="D48" s="13">
        <f>IF(J48="計画なし","－",IF(J48="策定済","✕",IF(H48="","？",IF(AND(H48&gt;='集計・設定'!$C$4,H48&lt;='集計・設定'!$C$5),IF(J48="着手済","△","◎"),"✕"))))</f>
        <v/>
      </c>
      <c r="E48" s="13">
        <f>IF(P48="計画なし","－",IF(P48="策定済","✕",IF(N48="","？",IF(AND(N48&gt;='集計・設定'!$C$4,N48&lt;='集計・設定'!$C$5),IF(P48="着手済","△","◎"),"✕"))))</f>
        <v/>
      </c>
      <c r="F48" s="11" t="inlineStr">
        <is>
          <t>福島県地域公共交通計画（県全域の広域計画）</t>
        </is>
      </c>
      <c r="G48" s="11" t="inlineStr">
        <is>
          <t>R6〜R12</t>
        </is>
      </c>
      <c r="H48" s="13" t="n">
        <v>12</v>
      </c>
      <c r="I48" s="13" t="inlineStr">
        <is>
          <t>確認済</t>
        </is>
      </c>
      <c r="J48" s="13" t="inlineStr">
        <is>
          <t>未確認</t>
        </is>
      </c>
      <c r="K48" s="14" t="inlineStr">
        <is>
          <t>https://www.pref.fukushima.lg.jp/uploaded/attachment/622613.pdf</t>
        </is>
      </c>
      <c r="L48" s="11" t="n"/>
      <c r="M48" s="11" t="inlineStr">
        <is>
          <t>不明</t>
        </is>
      </c>
      <c r="N48" s="13" t="n"/>
      <c r="O48" s="13" t="inlineStr">
        <is>
          <t>不明</t>
        </is>
      </c>
      <c r="P48" s="13" t="inlineStr">
        <is>
          <t>未確認</t>
        </is>
      </c>
      <c r="Q48" s="11" t="n"/>
      <c r="R48"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平田村地球温暖化対策実施計画が情報公開ページ（https://www.vill.hirata.fukushima.jp/soshiki/2/174.html）に掲載、一般廃棄物処理基本計画（R4.4, R7.4変更）あり。</t>
        </is>
      </c>
      <c r="S48" s="17" t="inlineStr">
        <is>
          <t>交通のみ調査</t>
        </is>
      </c>
    </row>
    <row r="49">
      <c r="A49" s="11" t="n">
        <v>46</v>
      </c>
      <c r="B49" s="11" t="inlineStr">
        <is>
          <t>浅川町</t>
        </is>
      </c>
      <c r="C49" s="12">
        <f>IF(OR(D49="◎",E49="◎"),"◎ 営業",IF(OR(D49="△",E49="△"),"△ 着手済・要確認",IF(OR(D49="？",E49="？"),"？ 期間要確認","✕ 対象外")))</f>
        <v/>
      </c>
      <c r="D49" s="13">
        <f>IF(J49="計画なし","－",IF(J49="策定済","✕",IF(H49="","？",IF(AND(H49&gt;='集計・設定'!$C$4,H49&lt;='集計・設定'!$C$5),IF(J49="着手済","△","◎"),"✕"))))</f>
        <v/>
      </c>
      <c r="E49" s="13">
        <f>IF(P49="計画なし","－",IF(P49="策定済","✕",IF(N49="","？",IF(AND(N49&gt;='集計・設定'!$C$4,N49&lt;='集計・設定'!$C$5),IF(P49="着手済","△","◎"),"✕"))))</f>
        <v/>
      </c>
      <c r="F49" s="11" t="inlineStr">
        <is>
          <t>福島県地域公共交通計画（県全域の広域計画）</t>
        </is>
      </c>
      <c r="G49" s="11" t="inlineStr">
        <is>
          <t>R6〜R12</t>
        </is>
      </c>
      <c r="H49" s="13" t="n">
        <v>12</v>
      </c>
      <c r="I49" s="13" t="inlineStr">
        <is>
          <t>確認済</t>
        </is>
      </c>
      <c r="J49" s="13" t="inlineStr">
        <is>
          <t>未確認</t>
        </is>
      </c>
      <c r="K49" s="14" t="inlineStr">
        <is>
          <t>https://www.pref.fukushima.lg.jp/uploaded/attachment/622613.pdf</t>
        </is>
      </c>
      <c r="L49" s="11" t="n"/>
      <c r="M49" s="11" t="inlineStr">
        <is>
          <t>不明</t>
        </is>
      </c>
      <c r="N49" s="13" t="n"/>
      <c r="O49" s="13" t="inlineStr">
        <is>
          <t>不明</t>
        </is>
      </c>
      <c r="P49" s="13" t="inlineStr">
        <is>
          <t>計画なし</t>
        </is>
      </c>
      <c r="Q49" s="11" t="n"/>
      <c r="R49" s="11" t="inlineStr">
        <is>
          <t>町村単独の地域公共交通計画は検索で確認できず、県計画（R6.3策定、R7.2等に一部改定）が対象範囲。こおりやま広域連携中枢都市圏構成団体（圏域の交通計画は確認できず）。環境基本計画は町HP検索で見当たらず、代替として浅川町地域まるごと省エネ計画【地球温暖化対策実行計画（区域施策編）・気候変動適応計画】（https://www.town.asakawa.fukushima.jp/health/kankyou/001486.html、案PDF R7.2公表）。</t>
        </is>
      </c>
      <c r="S49" s="15" t="inlineStr">
        <is>
          <t>調査済</t>
        </is>
      </c>
    </row>
    <row r="50">
      <c r="A50" s="11" t="n">
        <v>47</v>
      </c>
      <c r="B50" s="11" t="inlineStr">
        <is>
          <t>古殿町</t>
        </is>
      </c>
      <c r="C50" s="12">
        <f>IF(OR(D50="◎",E50="◎"),"◎ 営業",IF(OR(D50="△",E50="△"),"△ 着手済・要確認",IF(OR(D50="？",E50="？"),"？ 期間要確認","✕ 対象外")))</f>
        <v/>
      </c>
      <c r="D50" s="13">
        <f>IF(J50="計画なし","－",IF(J50="策定済","✕",IF(H50="","？",IF(AND(H50&gt;='集計・設定'!$C$4,H50&lt;='集計・設定'!$C$5),IF(J50="着手済","△","◎"),"✕"))))</f>
        <v/>
      </c>
      <c r="E50" s="13">
        <f>IF(P50="計画なし","－",IF(P50="策定済","✕",IF(N50="","？",IF(AND(N50&gt;='集計・設定'!$C$4,N50&lt;='集計・設定'!$C$5),IF(P50="着手済","△","◎"),"✕"))))</f>
        <v/>
      </c>
      <c r="F50" s="11" t="inlineStr">
        <is>
          <t>福島県地域公共交通計画（県全域の広域計画）</t>
        </is>
      </c>
      <c r="G50" s="11" t="inlineStr">
        <is>
          <t>R6〜R12</t>
        </is>
      </c>
      <c r="H50" s="13" t="n">
        <v>12</v>
      </c>
      <c r="I50" s="13" t="inlineStr">
        <is>
          <t>確認済</t>
        </is>
      </c>
      <c r="J50" s="13" t="inlineStr">
        <is>
          <t>未確認</t>
        </is>
      </c>
      <c r="K50" s="14" t="inlineStr">
        <is>
          <t>https://www.pref.fukushima.lg.jp/uploaded/attachment/622613.pdf</t>
        </is>
      </c>
      <c r="L50" s="11" t="n"/>
      <c r="M50" s="11" t="inlineStr">
        <is>
          <t>不明</t>
        </is>
      </c>
      <c r="N50" s="13" t="n"/>
      <c r="O50" s="13" t="inlineStr">
        <is>
          <t>不明</t>
        </is>
      </c>
      <c r="P50" s="13" t="inlineStr">
        <is>
          <t>未確認</t>
        </is>
      </c>
      <c r="Q50" s="11" t="n"/>
      <c r="R50"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町HP「各種計画」ページ（https://www.town.furudono.fukushima.jp/chouseijyouhou/torikumikeikaku/keikaku/760）に記載ある可能性は低いが未確認。</t>
        </is>
      </c>
      <c r="S50" s="17" t="inlineStr">
        <is>
          <t>交通のみ調査</t>
        </is>
      </c>
    </row>
    <row r="51">
      <c r="A51" s="11" t="n">
        <v>48</v>
      </c>
      <c r="B51" s="11" t="inlineStr">
        <is>
          <t>三春町</t>
        </is>
      </c>
      <c r="C51" s="12">
        <f>IF(OR(D51="◎",E51="◎"),"◎ 営業",IF(OR(D51="△",E51="△"),"△ 着手済・要確認",IF(OR(D51="？",E51="？"),"？ 期間要確認","✕ 対象外")))</f>
        <v/>
      </c>
      <c r="D51" s="13">
        <f>IF(J51="計画なし","－",IF(J51="策定済","✕",IF(H51="","？",IF(AND(H51&gt;='集計・設定'!$C$4,H51&lt;='集計・設定'!$C$5),IF(J51="着手済","△","◎"),"✕"))))</f>
        <v/>
      </c>
      <c r="E51" s="13">
        <f>IF(P51="計画なし","－",IF(P51="策定済","✕",IF(N51="","？",IF(AND(N51&gt;='集計・設定'!$C$4,N51&lt;='集計・設定'!$C$5),IF(P51="着手済","△","◎"),"✕"))))</f>
        <v/>
      </c>
      <c r="F51" s="11" t="inlineStr">
        <is>
          <t>福島県地域公共交通計画（県全域）</t>
        </is>
      </c>
      <c r="G51" s="11" t="inlineStr">
        <is>
          <t>R6〜R12</t>
        </is>
      </c>
      <c r="H51" s="13" t="n">
        <v>12</v>
      </c>
      <c r="I51" s="13" t="inlineStr">
        <is>
          <t>確認済</t>
        </is>
      </c>
      <c r="J51" s="13" t="inlineStr">
        <is>
          <t>未確認</t>
        </is>
      </c>
      <c r="K51" s="14" t="inlineStr">
        <is>
          <t>https://www.pref.fukushima.lg.jp/sec/16005d/chiikikoukyoukasseikakyougikai.html</t>
        </is>
      </c>
      <c r="L51" s="11" t="n"/>
      <c r="M51" s="11" t="inlineStr">
        <is>
          <t>不明</t>
        </is>
      </c>
      <c r="N51" s="13" t="n"/>
      <c r="O51" s="13" t="inlineStr">
        <is>
          <t>不明</t>
        </is>
      </c>
      <c r="P51" s="13" t="inlineStr">
        <is>
          <t>計画なし</t>
        </is>
      </c>
      <c r="Q51" s="11" t="n"/>
      <c r="R51" s="11" t="inlineStr">
        <is>
          <t>交通：町単独計画は再検索でも確認できず(R8.3にユニ・トランドと交通データ活用の包括連携協定締結 https://www.logi-today.com/930374)、県全域の福島県地域公共交通計画(R6〜R12)が該当。県中・県南圏域地域公共交通利便増進実施計画(R7.10〜R13.3)にも含まれる(https://www.mlit.go.jp/sogoseisaku/transport/content/001895410.pdf)。環境：三春町環境条例(H12)はあるが環境基本計画は検索で確認できず。</t>
        </is>
      </c>
      <c r="S51" s="15" t="inlineStr">
        <is>
          <t>調査済</t>
        </is>
      </c>
    </row>
    <row r="52">
      <c r="A52" s="11" t="n">
        <v>49</v>
      </c>
      <c r="B52" s="11" t="inlineStr">
        <is>
          <t>小野町</t>
        </is>
      </c>
      <c r="C52" s="12">
        <f>IF(OR(D52="◎",E52="◎"),"◎ 営業",IF(OR(D52="△",E52="△"),"△ 着手済・要確認",IF(OR(D52="？",E52="？"),"？ 期間要確認","✕ 対象外")))</f>
        <v/>
      </c>
      <c r="D52" s="13">
        <f>IF(J52="計画なし","－",IF(J52="策定済","✕",IF(H52="","？",IF(AND(H52&gt;='集計・設定'!$C$4,H52&lt;='集計・設定'!$C$5),IF(J52="着手済","△","◎"),"✕"))))</f>
        <v/>
      </c>
      <c r="E52" s="13">
        <f>IF(P52="計画なし","－",IF(P52="策定済","✕",IF(N52="","？",IF(AND(N52&gt;='集計・設定'!$C$4,N52&lt;='集計・設定'!$C$5),IF(P52="着手済","△","◎"),"✕"))))</f>
        <v/>
      </c>
      <c r="F52" s="11" t="inlineStr">
        <is>
          <t>福島県地域公共交通計画（県全域）</t>
        </is>
      </c>
      <c r="G52" s="11" t="inlineStr">
        <is>
          <t>R6〜R12</t>
        </is>
      </c>
      <c r="H52" s="13" t="n">
        <v>12</v>
      </c>
      <c r="I52" s="13" t="inlineStr">
        <is>
          <t>確認済</t>
        </is>
      </c>
      <c r="J52" s="13" t="inlineStr">
        <is>
          <t>未確認</t>
        </is>
      </c>
      <c r="K52" s="14" t="inlineStr">
        <is>
          <t>https://www.pref.fukushima.lg.jp/sec/16005d/chiikikoukyoukasseikakyougikai.html</t>
        </is>
      </c>
      <c r="L52" s="11" t="n"/>
      <c r="M52" s="11" t="inlineStr">
        <is>
          <t>不明</t>
        </is>
      </c>
      <c r="N52" s="13" t="n"/>
      <c r="O52" s="13" t="inlineStr">
        <is>
          <t>不明</t>
        </is>
      </c>
      <c r="P52" s="13" t="inlineStr">
        <is>
          <t>計画なし</t>
        </is>
      </c>
      <c r="Q52" s="11" t="n"/>
      <c r="R52" s="11" t="inlineStr">
        <is>
          <t>交通：町単独計画は再検索でも確認できず、県全域の福島県地域公共交通計画(R6〜R12)が該当。県中・県南圏域地域公共交通利便増進実施計画(R7.10〜R13.3)にも含まれる(https://www.mlit.go.jp/sogoseisaku/transport/content/001895410.pdf)。環境：環境基本計画は検索で確認できず。</t>
        </is>
      </c>
      <c r="S52" s="15" t="inlineStr">
        <is>
          <t>調査済</t>
        </is>
      </c>
    </row>
    <row r="53">
      <c r="A53" s="11" t="n">
        <v>50</v>
      </c>
      <c r="B53" s="11" t="inlineStr">
        <is>
          <t>広野町</t>
        </is>
      </c>
      <c r="C53" s="12">
        <f>IF(OR(D53="◎",E53="◎"),"◎ 営業",IF(OR(D53="△",E53="△"),"△ 着手済・要確認",IF(OR(D53="？",E53="？"),"？ 期間要確認","✕ 対象外")))</f>
        <v/>
      </c>
      <c r="D53" s="13">
        <f>IF(J53="計画なし","－",IF(J53="策定済","✕",IF(H53="","？",IF(AND(H53&gt;='集計・設定'!$C$4,H53&lt;='集計・設定'!$C$5),IF(J53="着手済","△","◎"),"✕"))))</f>
        <v/>
      </c>
      <c r="E53" s="13">
        <f>IF(P53="計画なし","－",IF(P53="策定済","✕",IF(N53="","？",IF(AND(N53&gt;='集計・設定'!$C$4,N53&lt;='集計・設定'!$C$5),IF(P53="着手済","△","◎"),"✕"))))</f>
        <v/>
      </c>
      <c r="F53" s="11" t="inlineStr">
        <is>
          <t>福島県避難地域広域公共交通計画（避難12市町村対象・県策定）</t>
        </is>
      </c>
      <c r="G53" s="11" t="inlineStr">
        <is>
          <t>R5〜R9</t>
        </is>
      </c>
      <c r="H53" s="13" t="n">
        <v>9</v>
      </c>
      <c r="I53" s="13" t="inlineStr">
        <is>
          <t>確認済</t>
        </is>
      </c>
      <c r="J53" s="13" t="inlineStr">
        <is>
          <t>着手済</t>
        </is>
      </c>
      <c r="K53" s="14" t="inlineStr">
        <is>
          <t>https://www.pref.fukushima.lg.jp/sec/16005d/hinan-koutsuu-keikaku.html</t>
        </is>
      </c>
      <c r="L53" s="11" t="inlineStr">
        <is>
          <t>広野町環境基本計画</t>
        </is>
      </c>
      <c r="M53" s="11" t="inlineStr">
        <is>
          <t>R7〜R17</t>
        </is>
      </c>
      <c r="N53" s="13" t="n">
        <v>17</v>
      </c>
      <c r="O53" s="13" t="inlineStr">
        <is>
          <t>確認済</t>
        </is>
      </c>
      <c r="P53" s="13" t="inlineStr">
        <is>
          <t>策定済</t>
        </is>
      </c>
      <c r="Q53" s="14" t="inlineStr">
        <is>
          <t>https://www.town.hirono.fukushima.jp/chousei/machidukuri/1003877/1005075.html</t>
        </is>
      </c>
      <c r="R53"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https://www.pref.fukushima.lg.jp/uploaded/attachment/756357.pdf)。町村単独の交通計画は未確認。環境：広野町環境基本計画をR7.3策定(計画期間R7〜R17の11年間、R12に必要に応じ見直し)(PDF https://www.town.hirono.fukushima.jp/_res/projects/default_project/_page_/001/005/075/kankyokihonkeikaku.pdf)。他に地球温暖化対策実行計画(事務事業編・区域施策編、R5〜R12)、ゼロカーボンビジョンあり。</t>
        </is>
      </c>
      <c r="S53" s="15" t="inlineStr">
        <is>
          <t>調査済</t>
        </is>
      </c>
    </row>
    <row r="54">
      <c r="A54" s="11" t="n">
        <v>51</v>
      </c>
      <c r="B54" s="11" t="inlineStr">
        <is>
          <t>楢葉町</t>
        </is>
      </c>
      <c r="C54" s="12">
        <f>IF(OR(D54="◎",E54="◎"),"◎ 営業",IF(OR(D54="△",E54="△"),"△ 着手済・要確認",IF(OR(D54="？",E54="？"),"？ 期間要確認","✕ 対象外")))</f>
        <v/>
      </c>
      <c r="D54" s="13">
        <f>IF(J54="計画なし","－",IF(J54="策定済","✕",IF(H54="","？",IF(AND(H54&gt;='集計・設定'!$C$4,H54&lt;='集計・設定'!$C$5),IF(J54="着手済","△","◎"),"✕"))))</f>
        <v/>
      </c>
      <c r="E54" s="13">
        <f>IF(P54="計画なし","－",IF(P54="策定済","✕",IF(N54="","？",IF(AND(N54&gt;='集計・設定'!$C$4,N54&lt;='集計・設定'!$C$5),IF(P54="着手済","△","◎"),"✕"))))</f>
        <v/>
      </c>
      <c r="F54" s="11" t="inlineStr">
        <is>
          <t>福島県避難地域広域公共交通計画（避難12市町村対象・県策定）</t>
        </is>
      </c>
      <c r="G54" s="11" t="inlineStr">
        <is>
          <t>R5〜R9</t>
        </is>
      </c>
      <c r="H54" s="13" t="n">
        <v>9</v>
      </c>
      <c r="I54" s="13" t="inlineStr">
        <is>
          <t>確認済</t>
        </is>
      </c>
      <c r="J54" s="13" t="inlineStr">
        <is>
          <t>着手済</t>
        </is>
      </c>
      <c r="K54" s="14" t="inlineStr">
        <is>
          <t>https://www.pref.fukushima.lg.jp/sec/16005d/hinan-koutsuu-keikaku.html</t>
        </is>
      </c>
      <c r="L54" s="11" t="n"/>
      <c r="M54" s="11" t="inlineStr">
        <is>
          <t>不明</t>
        </is>
      </c>
      <c r="N54" s="13" t="n"/>
      <c r="O54" s="13" t="inlineStr">
        <is>
          <t>不明</t>
        </is>
      </c>
      <c r="P54" s="13" t="inlineStr">
        <is>
          <t>計画なし</t>
        </is>
      </c>
      <c r="Q54" s="11" t="n"/>
      <c r="R54"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楢葉町ゼロカーボンビジョン(R5.3策定、区域施策編＋地域気候変動適応計画を兼ねる)(https://www.town.naraha.lg.jp/life/cat309/cat331/008538.html)。</t>
        </is>
      </c>
      <c r="S54" s="15" t="inlineStr">
        <is>
          <t>調査済</t>
        </is>
      </c>
    </row>
    <row r="55">
      <c r="A55" s="11" t="n">
        <v>52</v>
      </c>
      <c r="B55" s="11" t="inlineStr">
        <is>
          <t>富岡町</t>
        </is>
      </c>
      <c r="C55" s="12">
        <f>IF(OR(D55="◎",E55="◎"),"◎ 営業",IF(OR(D55="△",E55="△"),"△ 着手済・要確認",IF(OR(D55="？",E55="？"),"？ 期間要確認","✕ 対象外")))</f>
        <v/>
      </c>
      <c r="D55" s="13">
        <f>IF(J55="計画なし","－",IF(J55="策定済","✕",IF(H55="","？",IF(AND(H55&gt;='集計・設定'!$C$4,H55&lt;='集計・設定'!$C$5),IF(J55="着手済","△","◎"),"✕"))))</f>
        <v/>
      </c>
      <c r="E55" s="13">
        <f>IF(P55="計画なし","－",IF(P55="策定済","✕",IF(N55="","？",IF(AND(N55&gt;='集計・設定'!$C$4,N55&lt;='集計・設定'!$C$5),IF(P55="着手済","△","◎"),"✕"))))</f>
        <v/>
      </c>
      <c r="F55" s="11" t="inlineStr">
        <is>
          <t>福島県避難地域広域公共交通計画（避難12市町村対象・県策定）</t>
        </is>
      </c>
      <c r="G55" s="11" t="inlineStr">
        <is>
          <t>R5〜R9</t>
        </is>
      </c>
      <c r="H55" s="13" t="n">
        <v>9</v>
      </c>
      <c r="I55" s="13" t="inlineStr">
        <is>
          <t>確認済</t>
        </is>
      </c>
      <c r="J55" s="13" t="inlineStr">
        <is>
          <t>着手済</t>
        </is>
      </c>
      <c r="K55" s="14" t="inlineStr">
        <is>
          <t>https://www.pref.fukushima.lg.jp/sec/16005d/hinan-koutsuu-keikaku.html</t>
        </is>
      </c>
      <c r="L55" s="11" t="n"/>
      <c r="M55" s="11" t="inlineStr">
        <is>
          <t>不明</t>
        </is>
      </c>
      <c r="N55" s="13" t="n"/>
      <c r="O55" s="13" t="inlineStr">
        <is>
          <t>不明</t>
        </is>
      </c>
      <c r="P55" s="13" t="inlineStr">
        <is>
          <t>計画なし</t>
        </is>
      </c>
      <c r="Q55" s="11" t="n"/>
      <c r="R55"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https://www.pref.fukushima.lg.jp/uploaded/attachment/756357.pdf)。町村単独の交通計画は未確認。環境：環境基本計画は検索で確認できず（復興推進計画のみ）。</t>
        </is>
      </c>
      <c r="S55" s="15" t="inlineStr">
        <is>
          <t>調査済</t>
        </is>
      </c>
    </row>
    <row r="56">
      <c r="A56" s="11" t="n">
        <v>53</v>
      </c>
      <c r="B56" s="11" t="inlineStr">
        <is>
          <t>川内村</t>
        </is>
      </c>
      <c r="C56" s="12">
        <f>IF(OR(D56="◎",E56="◎"),"◎ 営業",IF(OR(D56="△",E56="△"),"△ 着手済・要確認",IF(OR(D56="？",E56="？"),"？ 期間要確認","✕ 対象外")))</f>
        <v/>
      </c>
      <c r="D56" s="13">
        <f>IF(J56="計画なし","－",IF(J56="策定済","✕",IF(H56="","？",IF(AND(H56&gt;='集計・設定'!$C$4,H56&lt;='集計・設定'!$C$5),IF(J56="着手済","△","◎"),"✕"))))</f>
        <v/>
      </c>
      <c r="E56" s="13">
        <f>IF(P56="計画なし","－",IF(P56="策定済","✕",IF(N56="","？",IF(AND(N56&gt;='集計・設定'!$C$4,N56&lt;='集計・設定'!$C$5),IF(P56="着手済","△","◎"),"✕"))))</f>
        <v/>
      </c>
      <c r="F56" s="11" t="inlineStr">
        <is>
          <t>福島県避難地域広域公共交通計画（避難12市町村対象・県策定）</t>
        </is>
      </c>
      <c r="G56" s="11" t="inlineStr">
        <is>
          <t>R5〜R9</t>
        </is>
      </c>
      <c r="H56" s="13" t="n">
        <v>9</v>
      </c>
      <c r="I56" s="13" t="inlineStr">
        <is>
          <t>確認済</t>
        </is>
      </c>
      <c r="J56" s="13" t="inlineStr">
        <is>
          <t>着手済</t>
        </is>
      </c>
      <c r="K56" s="14" t="inlineStr">
        <is>
          <t>https://www.pref.fukushima.lg.jp/sec/16005d/hinan-koutsuu-keikaku.html</t>
        </is>
      </c>
      <c r="L56" s="11" t="n"/>
      <c r="M56" s="11" t="inlineStr">
        <is>
          <t>不明</t>
        </is>
      </c>
      <c r="N56" s="13" t="n"/>
      <c r="O56" s="13" t="inlineStr">
        <is>
          <t>不明</t>
        </is>
      </c>
      <c r="P56" s="13" t="inlineStr">
        <is>
          <t>未確認</t>
        </is>
      </c>
      <c r="Q56" s="11" t="n"/>
      <c r="R56"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で脱炭素ビジョン策定業務および「地球温暖化対策実行計画(区域施策編)策定業務委託」の公募型プロポーザル実施の記載あり(時期未確認、https://www.kawauchimura.jp/)。</t>
        </is>
      </c>
      <c r="S56" s="17" t="inlineStr">
        <is>
          <t>交通のみ調査</t>
        </is>
      </c>
    </row>
    <row r="57">
      <c r="A57" s="11" t="n">
        <v>54</v>
      </c>
      <c r="B57" s="11" t="inlineStr">
        <is>
          <t>大熊町</t>
        </is>
      </c>
      <c r="C57" s="12">
        <f>IF(OR(D57="◎",E57="◎"),"◎ 営業",IF(OR(D57="△",E57="△"),"△ 着手済・要確認",IF(OR(D57="？",E57="？"),"？ 期間要確認","✕ 対象外")))</f>
        <v/>
      </c>
      <c r="D57" s="13">
        <f>IF(J57="計画なし","－",IF(J57="策定済","✕",IF(H57="","？",IF(AND(H57&gt;='集計・設定'!$C$4,H57&lt;='集計・設定'!$C$5),IF(J57="着手済","△","◎"),"✕"))))</f>
        <v/>
      </c>
      <c r="E57" s="13">
        <f>IF(P57="計画なし","－",IF(P57="策定済","✕",IF(N57="","？",IF(AND(N57&gt;='集計・設定'!$C$4,N57&lt;='集計・設定'!$C$5),IF(P57="着手済","△","◎"),"✕"))))</f>
        <v/>
      </c>
      <c r="F57" s="11" t="inlineStr">
        <is>
          <t>福島県避難地域広域公共交通計画（避難12市町村対象・県策定）</t>
        </is>
      </c>
      <c r="G57" s="11" t="inlineStr">
        <is>
          <t>R5〜R9</t>
        </is>
      </c>
      <c r="H57" s="13" t="n">
        <v>9</v>
      </c>
      <c r="I57" s="13" t="inlineStr">
        <is>
          <t>確認済</t>
        </is>
      </c>
      <c r="J57" s="13" t="inlineStr">
        <is>
          <t>着手済</t>
        </is>
      </c>
      <c r="K57" s="14" t="inlineStr">
        <is>
          <t>https://www.pref.fukushima.lg.jp/sec/16005d/hinan-koutsuu-keikaku.html</t>
        </is>
      </c>
      <c r="L57" s="11" t="n"/>
      <c r="M57" s="11" t="inlineStr">
        <is>
          <t>不明</t>
        </is>
      </c>
      <c r="N57" s="13" t="n"/>
      <c r="O57" s="13" t="inlineStr">
        <is>
          <t>不明</t>
        </is>
      </c>
      <c r="P57" s="13" t="inlineStr">
        <is>
          <t>計画なし</t>
        </is>
      </c>
      <c r="Q57" s="11" t="n"/>
      <c r="R57"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大熊町ゼロカーボンビジョン(R3.2策定、区域施策編に位置付け、R3〜R32、Ver.3 R5.3 https://www.town.okuma.fukushima.jp/uploaded/attachment/8103.pdf)、ゼロカーボン推進ロードマップあり(https://www.town.okuma.fukushima.jp/site/zerocarbon/24388.html)。</t>
        </is>
      </c>
      <c r="S57" s="15" t="inlineStr">
        <is>
          <t>調査済</t>
        </is>
      </c>
    </row>
    <row r="58">
      <c r="A58" s="11" t="n">
        <v>55</v>
      </c>
      <c r="B58" s="11" t="inlineStr">
        <is>
          <t>双葉町</t>
        </is>
      </c>
      <c r="C58" s="12">
        <f>IF(OR(D58="◎",E58="◎"),"◎ 営業",IF(OR(D58="△",E58="△"),"△ 着手済・要確認",IF(OR(D58="？",E58="？"),"？ 期間要確認","✕ 対象外")))</f>
        <v/>
      </c>
      <c r="D58" s="13">
        <f>IF(J58="計画なし","－",IF(J58="策定済","✕",IF(H58="","？",IF(AND(H58&gt;='集計・設定'!$C$4,H58&lt;='集計・設定'!$C$5),IF(J58="着手済","△","◎"),"✕"))))</f>
        <v/>
      </c>
      <c r="E58" s="13">
        <f>IF(P58="計画なし","－",IF(P58="策定済","✕",IF(N58="","？",IF(AND(N58&gt;='集計・設定'!$C$4,N58&lt;='集計・設定'!$C$5),IF(P58="着手済","△","◎"),"✕"))))</f>
        <v/>
      </c>
      <c r="F58" s="11" t="inlineStr">
        <is>
          <t>福島県避難地域広域公共交通計画（避難12市町村対象・県策定）</t>
        </is>
      </c>
      <c r="G58" s="11" t="inlineStr">
        <is>
          <t>R5〜R9</t>
        </is>
      </c>
      <c r="H58" s="13" t="n">
        <v>9</v>
      </c>
      <c r="I58" s="13" t="inlineStr">
        <is>
          <t>確認済</t>
        </is>
      </c>
      <c r="J58" s="13" t="inlineStr">
        <is>
          <t>着手済</t>
        </is>
      </c>
      <c r="K58" s="14" t="inlineStr">
        <is>
          <t>https://www.pref.fukushima.lg.jp/sec/16005d/hinan-koutsuu-keikaku.html</t>
        </is>
      </c>
      <c r="L58" s="11" t="n"/>
      <c r="M58" s="11" t="inlineStr">
        <is>
          <t>不明</t>
        </is>
      </c>
      <c r="N58" s="13" t="n"/>
      <c r="O58" s="13" t="inlineStr">
        <is>
          <t>不明</t>
        </is>
      </c>
      <c r="P58" s="13" t="inlineStr">
        <is>
          <t>未確認</t>
        </is>
      </c>
      <c r="Q58" s="11" t="n"/>
      <c r="R58"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双葉町再生可能エネルギー活用・推進計画(H28.3)あり(https://www.town.fukushima-futaba.lg.jp/secure/7318/201603_renewable-energy-promotion-plan.pdf)。</t>
        </is>
      </c>
      <c r="S58" s="17" t="inlineStr">
        <is>
          <t>交通のみ調査</t>
        </is>
      </c>
    </row>
    <row r="59">
      <c r="A59" s="11" t="n">
        <v>56</v>
      </c>
      <c r="B59" s="11" t="inlineStr">
        <is>
          <t>浪江町</t>
        </is>
      </c>
      <c r="C59" s="12">
        <f>IF(OR(D59="◎",E59="◎"),"◎ 営業",IF(OR(D59="△",E59="△"),"△ 着手済・要確認",IF(OR(D59="？",E59="？"),"？ 期間要確認","✕ 対象外")))</f>
        <v/>
      </c>
      <c r="D59" s="13">
        <f>IF(J59="計画なし","－",IF(J59="策定済","✕",IF(H59="","？",IF(AND(H59&gt;='集計・設定'!$C$4,H59&lt;='集計・設定'!$C$5),IF(J59="着手済","△","◎"),"✕"))))</f>
        <v/>
      </c>
      <c r="E59" s="13">
        <f>IF(P59="計画なし","－",IF(P59="策定済","✕",IF(N59="","？",IF(AND(N59&gt;='集計・設定'!$C$4,N59&lt;='集計・設定'!$C$5),IF(P59="着手済","△","◎"),"✕"))))</f>
        <v/>
      </c>
      <c r="F59" s="11" t="inlineStr">
        <is>
          <t>福島県避難地域広域公共交通計画（避難12市町村対象・県策定）</t>
        </is>
      </c>
      <c r="G59" s="11" t="inlineStr">
        <is>
          <t>R5〜R9</t>
        </is>
      </c>
      <c r="H59" s="13" t="n">
        <v>9</v>
      </c>
      <c r="I59" s="13" t="inlineStr">
        <is>
          <t>確認済</t>
        </is>
      </c>
      <c r="J59" s="13" t="inlineStr">
        <is>
          <t>着手済</t>
        </is>
      </c>
      <c r="K59" s="14" t="inlineStr">
        <is>
          <t>https://www.pref.fukushima.lg.jp/sec/16005d/hinan-koutsuu-keikaku.html</t>
        </is>
      </c>
      <c r="L59" s="11" t="n"/>
      <c r="M59" s="11" t="inlineStr">
        <is>
          <t>不明</t>
        </is>
      </c>
      <c r="N59" s="13" t="n"/>
      <c r="O59" s="13" t="inlineStr">
        <is>
          <t>不明</t>
        </is>
      </c>
      <c r="P59" s="13" t="inlineStr">
        <is>
          <t>計画なし</t>
        </is>
      </c>
      <c r="Q59" s="11" t="n"/>
      <c r="R59"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https://www.pref.fukushima.lg.jp/uploaded/attachment/756357.pdf)。町村単独の交通計画は未確認。環境：環境基本計画は検索で確認できず（復興計画・里山再生等のみ）。</t>
        </is>
      </c>
      <c r="S59" s="15" t="inlineStr">
        <is>
          <t>調査済</t>
        </is>
      </c>
    </row>
    <row r="60">
      <c r="A60" s="11" t="n">
        <v>57</v>
      </c>
      <c r="B60" s="11" t="inlineStr">
        <is>
          <t>葛尾村</t>
        </is>
      </c>
      <c r="C60" s="12">
        <f>IF(OR(D60="◎",E60="◎"),"◎ 営業",IF(OR(D60="△",E60="△"),"△ 着手済・要確認",IF(OR(D60="？",E60="？"),"？ 期間要確認","✕ 対象外")))</f>
        <v/>
      </c>
      <c r="D60" s="13">
        <f>IF(J60="計画なし","－",IF(J60="策定済","✕",IF(H60="","？",IF(AND(H60&gt;='集計・設定'!$C$4,H60&lt;='集計・設定'!$C$5),IF(J60="着手済","△","◎"),"✕"))))</f>
        <v/>
      </c>
      <c r="E60" s="13">
        <f>IF(P60="計画なし","－",IF(P60="策定済","✕",IF(N60="","？",IF(AND(N60&gt;='集計・設定'!$C$4,N60&lt;='集計・設定'!$C$5),IF(P60="着手済","△","◎"),"✕"))))</f>
        <v/>
      </c>
      <c r="F60" s="11" t="inlineStr">
        <is>
          <t>福島県避難地域広域公共交通計画（避難12市町村対象・県策定）</t>
        </is>
      </c>
      <c r="G60" s="11" t="inlineStr">
        <is>
          <t>R5〜R9</t>
        </is>
      </c>
      <c r="H60" s="13" t="n">
        <v>9</v>
      </c>
      <c r="I60" s="13" t="inlineStr">
        <is>
          <t>確認済</t>
        </is>
      </c>
      <c r="J60" s="13" t="inlineStr">
        <is>
          <t>着手済</t>
        </is>
      </c>
      <c r="K60" s="14" t="inlineStr">
        <is>
          <t>https://www.pref.fukushima.lg.jp/sec/16005d/hinan-koutsuu-keikaku.html</t>
        </is>
      </c>
      <c r="L60" s="11" t="n"/>
      <c r="M60" s="11" t="inlineStr">
        <is>
          <t>不明</t>
        </is>
      </c>
      <c r="N60" s="13" t="n"/>
      <c r="O60" s="13" t="inlineStr">
        <is>
          <t>不明</t>
        </is>
      </c>
      <c r="P60" s="13" t="inlineStr">
        <is>
          <t>未確認</t>
        </is>
      </c>
      <c r="Q60" s="11" t="n"/>
      <c r="R60"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https://www.pref.fukushima.lg.jp/uploaded/attachment/756357.pdf)。町村単独の交通計画は未確認。環境：環境基本計画は検索で確認できず(村HP計画一覧 https://www.katsurao.org/life/3/17/52/ 参照)。第五次葛尾村振興計画(2023)、スマートコミュニティ事業あり。</t>
        </is>
      </c>
      <c r="S60" s="17" t="inlineStr">
        <is>
          <t>交通のみ調査</t>
        </is>
      </c>
    </row>
    <row r="61">
      <c r="A61" s="11" t="n">
        <v>58</v>
      </c>
      <c r="B61" s="11" t="inlineStr">
        <is>
          <t>新地町</t>
        </is>
      </c>
      <c r="C61" s="12">
        <f>IF(OR(D61="◎",E61="◎"),"◎ 営業",IF(OR(D61="△",E61="△"),"△ 着手済・要確認",IF(OR(D61="？",E61="？"),"？ 期間要確認","✕ 対象外")))</f>
        <v/>
      </c>
      <c r="D61" s="13">
        <f>IF(J61="計画なし","－",IF(J61="策定済","✕",IF(H61="","？",IF(AND(H61&gt;='集計・設定'!$C$4,H61&lt;='集計・設定'!$C$5),IF(J61="着手済","△","◎"),"✕"))))</f>
        <v/>
      </c>
      <c r="E61" s="13">
        <f>IF(P61="計画なし","－",IF(P61="策定済","✕",IF(N61="","？",IF(AND(N61&gt;='集計・設定'!$C$4,N61&lt;='集計・設定'!$C$5),IF(P61="着手済","△","◎"),"✕"))))</f>
        <v/>
      </c>
      <c r="F61" s="11" t="inlineStr">
        <is>
          <t>福島県地域公共交通計画（県全域）</t>
        </is>
      </c>
      <c r="G61" s="11" t="inlineStr">
        <is>
          <t>R6〜R12</t>
        </is>
      </c>
      <c r="H61" s="13" t="n">
        <v>12</v>
      </c>
      <c r="I61" s="13" t="inlineStr">
        <is>
          <t>確認済</t>
        </is>
      </c>
      <c r="J61" s="13" t="inlineStr">
        <is>
          <t>未確認</t>
        </is>
      </c>
      <c r="K61" s="14" t="inlineStr">
        <is>
          <t>https://www.pref.fukushima.lg.jp/sec/16005d/chiikikoukyoukasseikakyougikai.html</t>
        </is>
      </c>
      <c r="L61" s="11" t="n"/>
      <c r="M61" s="11" t="inlineStr">
        <is>
          <t>不明</t>
        </is>
      </c>
      <c r="N61" s="13" t="n"/>
      <c r="O61" s="13" t="inlineStr">
        <is>
          <t>不明</t>
        </is>
      </c>
      <c r="P61" s="13" t="inlineStr">
        <is>
          <t>未確認</t>
        </is>
      </c>
      <c r="Q61" s="11" t="n"/>
      <c r="R61" s="11" t="inlineStr">
        <is>
          <t>交通：町単独の地域公共交通計画は検索で確認できず、県全域の福島県地域公共交通計画(R6〜R12)が該当。環境：環境基本計画は検索で確認できず。新地町環境未来都市計画(H24.5策定、R7.1・R7.7・R8.7改定、https://future-city.go.jp/pdf/torikumi_city/shinchi_plan.pdf)、地球温暖化対策実行計画(事務事業編)(https://www.shinchi-town.jp/uploaded/attachment/7983.pdf)あり。</t>
        </is>
      </c>
      <c r="S61" s="17" t="inlineStr">
        <is>
          <t>交通のみ調査</t>
        </is>
      </c>
    </row>
    <row r="62">
      <c r="A62" s="11" t="n">
        <v>59</v>
      </c>
      <c r="B62" s="11" t="inlineStr">
        <is>
          <t>飯舘村</t>
        </is>
      </c>
      <c r="C62" s="12">
        <f>IF(OR(D62="◎",E62="◎"),"◎ 営業",IF(OR(D62="△",E62="△"),"△ 着手済・要確認",IF(OR(D62="？",E62="？"),"？ 期間要確認","✕ 対象外")))</f>
        <v/>
      </c>
      <c r="D62" s="13">
        <f>IF(J62="計画なし","－",IF(J62="策定済","✕",IF(H62="","？",IF(AND(H62&gt;='集計・設定'!$C$4,H62&lt;='集計・設定'!$C$5),IF(J62="着手済","△","◎"),"✕"))))</f>
        <v/>
      </c>
      <c r="E62" s="13">
        <f>IF(P62="計画なし","－",IF(P62="策定済","✕",IF(N62="","？",IF(AND(N62&gt;='集計・設定'!$C$4,N62&lt;='集計・設定'!$C$5),IF(P62="着手済","△","◎"),"✕"))))</f>
        <v/>
      </c>
      <c r="F62" s="11" t="inlineStr">
        <is>
          <t>福島県避難地域広域公共交通計画（避難12市町村対象・県策定）</t>
        </is>
      </c>
      <c r="G62" s="11" t="inlineStr">
        <is>
          <t>R5〜R9</t>
        </is>
      </c>
      <c r="H62" s="13" t="n">
        <v>9</v>
      </c>
      <c r="I62" s="13" t="inlineStr">
        <is>
          <t>確認済</t>
        </is>
      </c>
      <c r="J62" s="13" t="inlineStr">
        <is>
          <t>着手済</t>
        </is>
      </c>
      <c r="K62" s="14" t="inlineStr">
        <is>
          <t>https://www.pref.fukushima.lg.jp/sec/16005d/hinan-koutsuu-keikaku.html</t>
        </is>
      </c>
      <c r="L62" s="11" t="n"/>
      <c r="M62" s="11" t="inlineStr">
        <is>
          <t>不明</t>
        </is>
      </c>
      <c r="N62" s="13" t="n"/>
      <c r="O62" s="13" t="inlineStr">
        <is>
          <t>不明</t>
        </is>
      </c>
      <c r="P62" s="13" t="inlineStr">
        <is>
          <t>計画なし</t>
        </is>
      </c>
      <c r="Q62" s="11" t="n"/>
      <c r="R62"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ゼロカーボンビレッジいいたて実行計画(R6.3策定、区域施策編目標年2030)(https://www.vill.iitate.fukushima.jp/life/5/20/126/)、同事務事業編(R7〜R12)あり。</t>
        </is>
      </c>
      <c r="S62" s="15" t="inlineStr">
        <is>
          <t>調査済</t>
        </is>
      </c>
    </row>
  </sheetData>
  <autoFilter ref="A3:S62"/>
  <conditionalFormatting sqref="A4:S62">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62 P4:P62"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K12" r:id="rId14"/>
    <hyperlink xmlns:r="http://schemas.openxmlformats.org/officeDocument/2006/relationships" ref="Q12" r:id="rId15"/>
    <hyperlink xmlns:r="http://schemas.openxmlformats.org/officeDocument/2006/relationships" ref="K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K20" r:id="rId22"/>
    <hyperlink xmlns:r="http://schemas.openxmlformats.org/officeDocument/2006/relationships" ref="K26" r:id="rId23"/>
    <hyperlink xmlns:r="http://schemas.openxmlformats.org/officeDocument/2006/relationships" ref="Q26" r:id="rId24"/>
    <hyperlink xmlns:r="http://schemas.openxmlformats.org/officeDocument/2006/relationships" ref="K31" r:id="rId25"/>
    <hyperlink xmlns:r="http://schemas.openxmlformats.org/officeDocument/2006/relationships" ref="K32" r:id="rId26"/>
    <hyperlink xmlns:r="http://schemas.openxmlformats.org/officeDocument/2006/relationships" ref="K33" r:id="rId27"/>
    <hyperlink xmlns:r="http://schemas.openxmlformats.org/officeDocument/2006/relationships" ref="K37" r:id="rId28"/>
    <hyperlink xmlns:r="http://schemas.openxmlformats.org/officeDocument/2006/relationships" ref="K38" r:id="rId29"/>
    <hyperlink xmlns:r="http://schemas.openxmlformats.org/officeDocument/2006/relationships" ref="Q38" r:id="rId30"/>
    <hyperlink xmlns:r="http://schemas.openxmlformats.org/officeDocument/2006/relationships" ref="K39" r:id="rId31"/>
    <hyperlink xmlns:r="http://schemas.openxmlformats.org/officeDocument/2006/relationships" ref="K40" r:id="rId32"/>
    <hyperlink xmlns:r="http://schemas.openxmlformats.org/officeDocument/2006/relationships" ref="K41" r:id="rId33"/>
    <hyperlink xmlns:r="http://schemas.openxmlformats.org/officeDocument/2006/relationships" ref="K42" r:id="rId34"/>
    <hyperlink xmlns:r="http://schemas.openxmlformats.org/officeDocument/2006/relationships" ref="Q42" r:id="rId35"/>
    <hyperlink xmlns:r="http://schemas.openxmlformats.org/officeDocument/2006/relationships" ref="K43" r:id="rId36"/>
    <hyperlink xmlns:r="http://schemas.openxmlformats.org/officeDocument/2006/relationships" ref="K44" r:id="rId37"/>
    <hyperlink xmlns:r="http://schemas.openxmlformats.org/officeDocument/2006/relationships" ref="K45" r:id="rId38"/>
    <hyperlink xmlns:r="http://schemas.openxmlformats.org/officeDocument/2006/relationships" ref="K46" r:id="rId39"/>
    <hyperlink xmlns:r="http://schemas.openxmlformats.org/officeDocument/2006/relationships" ref="K47" r:id="rId40"/>
    <hyperlink xmlns:r="http://schemas.openxmlformats.org/officeDocument/2006/relationships" ref="K48" r:id="rId41"/>
    <hyperlink xmlns:r="http://schemas.openxmlformats.org/officeDocument/2006/relationships" ref="K49" r:id="rId42"/>
    <hyperlink xmlns:r="http://schemas.openxmlformats.org/officeDocument/2006/relationships" ref="K50" r:id="rId43"/>
    <hyperlink xmlns:r="http://schemas.openxmlformats.org/officeDocument/2006/relationships" ref="K51" r:id="rId44"/>
    <hyperlink xmlns:r="http://schemas.openxmlformats.org/officeDocument/2006/relationships" ref="K52" r:id="rId45"/>
    <hyperlink xmlns:r="http://schemas.openxmlformats.org/officeDocument/2006/relationships" ref="K53" r:id="rId46"/>
    <hyperlink xmlns:r="http://schemas.openxmlformats.org/officeDocument/2006/relationships" ref="Q53" r:id="rId47"/>
    <hyperlink xmlns:r="http://schemas.openxmlformats.org/officeDocument/2006/relationships" ref="K54" r:id="rId48"/>
    <hyperlink xmlns:r="http://schemas.openxmlformats.org/officeDocument/2006/relationships" ref="K55" r:id="rId49"/>
    <hyperlink xmlns:r="http://schemas.openxmlformats.org/officeDocument/2006/relationships" ref="K56" r:id="rId50"/>
    <hyperlink xmlns:r="http://schemas.openxmlformats.org/officeDocument/2006/relationships" ref="K57" r:id="rId51"/>
    <hyperlink xmlns:r="http://schemas.openxmlformats.org/officeDocument/2006/relationships" ref="K58" r:id="rId52"/>
    <hyperlink xmlns:r="http://schemas.openxmlformats.org/officeDocument/2006/relationships" ref="K59" r:id="rId53"/>
    <hyperlink xmlns:r="http://schemas.openxmlformats.org/officeDocument/2006/relationships" ref="K60" r:id="rId54"/>
    <hyperlink xmlns:r="http://schemas.openxmlformats.org/officeDocument/2006/relationships" ref="K61" r:id="rId55"/>
    <hyperlink xmlns:r="http://schemas.openxmlformats.org/officeDocument/2006/relationships" ref="K62" r:id="rId5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4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茨城県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水戸市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水戸市地域公共交通計画</t>
        </is>
      </c>
      <c r="G4" s="11" t="inlineStr">
        <is>
          <t>R6〜R10</t>
        </is>
      </c>
      <c r="H4" s="13" t="n">
        <v>10</v>
      </c>
      <c r="I4" s="13" t="inlineStr">
        <is>
          <t>確認済</t>
        </is>
      </c>
      <c r="J4" s="13" t="inlineStr">
        <is>
          <t>未確認</t>
        </is>
      </c>
      <c r="K4" s="14" t="inlineStr">
        <is>
          <t>https://www.city.mito.lg.jp/page/117784.html</t>
        </is>
      </c>
      <c r="L4" s="11" t="inlineStr">
        <is>
          <t>水戸市環境基本計画（第3次）</t>
        </is>
      </c>
      <c r="M4" s="11" t="inlineStr">
        <is>
          <t>R7〜R16（推定）</t>
        </is>
      </c>
      <c r="N4" s="16" t="n">
        <v>16</v>
      </c>
      <c r="O4" s="13" t="inlineStr">
        <is>
          <t>推定</t>
        </is>
      </c>
      <c r="P4" s="13" t="inlineStr">
        <is>
          <t>未確認</t>
        </is>
      </c>
      <c r="Q4" s="14" t="inlineStr">
        <is>
          <t>https://www.city.mito.lg.jp/page/3982.html</t>
        </is>
      </c>
      <c r="R4" s="11" t="inlineStr">
        <is>
          <t>交通計画本文PDF: https://www.city.mito.lg.jp/uploaded/attachment/51687.pdf（素案パブコメ結果 https://www.city.mito.lg.jp/page/93836.html）。環境基本計画第3次は2024年12月策定との検索結果あり、期間は未確認（10年と推定）。次期計画作業は未確認。</t>
        </is>
      </c>
      <c r="S4" s="15" t="inlineStr">
        <is>
          <t>調査済</t>
        </is>
      </c>
    </row>
    <row r="5">
      <c r="A5" s="11" t="n">
        <v>2</v>
      </c>
      <c r="B5" s="11" t="inlineStr">
        <is>
          <t>日立市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日立市地域公共交通計画</t>
        </is>
      </c>
      <c r="G5" s="11" t="inlineStr">
        <is>
          <t>R6〜R10</t>
        </is>
      </c>
      <c r="H5" s="13" t="n">
        <v>10</v>
      </c>
      <c r="I5" s="13" t="inlineStr">
        <is>
          <t>確認済</t>
        </is>
      </c>
      <c r="J5" s="13" t="inlineStr">
        <is>
          <t>未確認</t>
        </is>
      </c>
      <c r="K5" s="14" t="inlineStr">
        <is>
          <t>https://www.city.hitachi.lg.jp/machizukuri_kankyo/kotsu_doro/1002832/1012175.html</t>
        </is>
      </c>
      <c r="L5" s="11" t="inlineStr">
        <is>
          <t>第4次日立市環境基本計画</t>
        </is>
      </c>
      <c r="M5" s="11" t="inlineStr">
        <is>
          <t>R5〜R12</t>
        </is>
      </c>
      <c r="N5" s="13" t="n">
        <v>12</v>
      </c>
      <c r="O5" s="13" t="inlineStr">
        <is>
          <t>確認済</t>
        </is>
      </c>
      <c r="P5" s="13" t="inlineStr">
        <is>
          <t>未確認</t>
        </is>
      </c>
      <c r="Q5" s="14" t="inlineStr">
        <is>
          <t>https://www.city.hitachi.lg.jp/_res/projects/default_project/_page_/001/011/987/keikakuhonpen.pdf</t>
        </is>
      </c>
      <c r="R5" s="11" t="inlineStr">
        <is>
          <t>交通計画PDF: https://www.city.hitachi.lg.jp/_res/projects/default_project/_page_/001/012/175/hitachikotukeikaku.pdf 。日立製作所と2035年公共交通グランドデザインを策定（https://www.city.hitachi.lg.jp/machizukuri_kankyo/kotsu_doro/1002832/1014747.html）。次期計画作業は未確認。</t>
        </is>
      </c>
      <c r="S5" s="15" t="inlineStr">
        <is>
          <t>調査済</t>
        </is>
      </c>
    </row>
    <row r="6">
      <c r="A6" s="11" t="n">
        <v>3</v>
      </c>
      <c r="B6" s="11" t="inlineStr">
        <is>
          <t>土浦市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土浦市地域公共交通計画</t>
        </is>
      </c>
      <c r="G6" s="11" t="inlineStr">
        <is>
          <t>R4〜R8</t>
        </is>
      </c>
      <c r="H6" s="16" t="n">
        <v>8</v>
      </c>
      <c r="I6" s="13" t="inlineStr">
        <is>
          <t>推定</t>
        </is>
      </c>
      <c r="J6" s="13" t="inlineStr">
        <is>
          <t>未確認</t>
        </is>
      </c>
      <c r="K6" s="14" t="inlineStr">
        <is>
          <t>https://www.city.tsuchiura.lg.jp/page/page009677.html</t>
        </is>
      </c>
      <c r="L6" s="11" t="inlineStr">
        <is>
          <t>第三期土浦市環境基本計画</t>
        </is>
      </c>
      <c r="M6" s="11" t="inlineStr">
        <is>
          <t>R4〜R13</t>
        </is>
      </c>
      <c r="N6" s="13" t="n">
        <v>13</v>
      </c>
      <c r="O6" s="13" t="inlineStr">
        <is>
          <t>確認済</t>
        </is>
      </c>
      <c r="P6" s="13" t="inlineStr">
        <is>
          <t>未確認</t>
        </is>
      </c>
      <c r="Q6" s="14" t="inlineStr">
        <is>
          <t>https://www.city.tsuchiura.lg.jp/shisei/shinokeikaku/kankyo-kotsu-machizukuri/page017189.html</t>
        </is>
      </c>
      <c r="R6" s="11" t="inlineStr">
        <is>
          <t>交通計画はR4年3月策定（網形成計画の後継）。期間R4〜R8は5年と推定（検索要約で示唆されたが原文未確認）。R8終了なら次期計画作業が今年度進行中の可能性大だが、検索上限到達のため未確認。要確認。</t>
        </is>
      </c>
      <c r="S6" s="15" t="inlineStr">
        <is>
          <t>調査済</t>
        </is>
      </c>
    </row>
    <row r="7">
      <c r="A7" s="11" t="n">
        <v>4</v>
      </c>
      <c r="B7" s="11" t="inlineStr">
        <is>
          <t>古河市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古河市地域公共交通計画</t>
        </is>
      </c>
      <c r="G7" s="11" t="inlineStr">
        <is>
          <t>R6〜R10</t>
        </is>
      </c>
      <c r="H7" s="13" t="n">
        <v>10</v>
      </c>
      <c r="I7" s="13" t="inlineStr">
        <is>
          <t>確認済</t>
        </is>
      </c>
      <c r="J7" s="13" t="inlineStr">
        <is>
          <t>未確認</t>
        </is>
      </c>
      <c r="K7" s="14" t="inlineStr">
        <is>
          <t>https://www.city.ibaraki-koga.lg.jp/material/files/group/80/kogasikoukyoukoutuukeikaku2.pdf</t>
        </is>
      </c>
      <c r="L7" s="11" t="inlineStr">
        <is>
          <t>第2次古河市環境基本計画</t>
        </is>
      </c>
      <c r="M7" s="11" t="inlineStr">
        <is>
          <t>R4〜R13</t>
        </is>
      </c>
      <c r="N7" s="13" t="n">
        <v>13</v>
      </c>
      <c r="O7" s="13" t="inlineStr">
        <is>
          <t>確認済</t>
        </is>
      </c>
      <c r="P7" s="13" t="inlineStr">
        <is>
          <t>未確認</t>
        </is>
      </c>
      <c r="Q7" s="14" t="inlineStr">
        <is>
          <t>https://www.city.ibaraki-koga.lg.jp/material/files/group/21/kankyoukeikakuhyousi.pdf</t>
        </is>
      </c>
      <c r="R7" s="11" t="inlineStr">
        <is>
          <t>交通計画はR6.3策定・R7.2変更（概要版 https://www.city.ibaraki-koga.lg.jp/material/files/group/80/kogasitiikikoukyoukoutuukeikakugaiyou.pdf）。環境基本計画はR4〜R13の10年（第1次はH23〜R3）。R7実績報告 https://www.city.ibaraki-koga.lg.jp/material/files/group/21/R7_jisseki.pdf。いずれもR9終了ではない。次期計画作業は見当たらず。</t>
        </is>
      </c>
      <c r="S7" s="15" t="inlineStr">
        <is>
          <t>調査済</t>
        </is>
      </c>
    </row>
    <row r="8">
      <c r="A8" s="11" t="n">
        <v>5</v>
      </c>
      <c r="B8" s="11" t="inlineStr">
        <is>
          <t>石岡市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石岡市地域公共交通計画</t>
        </is>
      </c>
      <c r="G8" s="11" t="inlineStr">
        <is>
          <t>R6〜R10</t>
        </is>
      </c>
      <c r="H8" s="13" t="n">
        <v>10</v>
      </c>
      <c r="I8" s="13" t="inlineStr">
        <is>
          <t>確認済</t>
        </is>
      </c>
      <c r="J8" s="13" t="inlineStr">
        <is>
          <t>未確認</t>
        </is>
      </c>
      <c r="K8" s="14" t="inlineStr">
        <is>
          <t>https://www.city.ishioka.lg.jp/data/doc/1712650110_doc_103_0.pdf</t>
        </is>
      </c>
      <c r="L8" s="11" t="inlineStr">
        <is>
          <t>石岡市環境基本計画（いしおかスタイル）</t>
        </is>
      </c>
      <c r="M8" s="11" t="inlineStr">
        <is>
          <t>R4〜R13</t>
        </is>
      </c>
      <c r="N8" s="13" t="n">
        <v>13</v>
      </c>
      <c r="O8" s="13" t="inlineStr">
        <is>
          <t>確認済</t>
        </is>
      </c>
      <c r="P8" s="13" t="inlineStr">
        <is>
          <t>未確認</t>
        </is>
      </c>
      <c r="Q8" s="14" t="inlineStr">
        <is>
          <t>https://www.city.ishioka.lg.jp/data/doc/1749196597_doc_45_0.pdf</t>
        </is>
      </c>
      <c r="R8" s="11" t="inlineStr">
        <is>
          <t>交通計画は網形成計画(H31.3策定,〜R5)の後継でR6〜R10。環境基本計画はR4〜R13の10年（前計画H25.3）。URLは検索結果上位の市PDFで、どのファイルが計画本体かは要確認。R9終了ではない。</t>
        </is>
      </c>
      <c r="S8" s="15" t="inlineStr">
        <is>
          <t>調査済</t>
        </is>
      </c>
    </row>
    <row r="9">
      <c r="A9" s="11" t="n">
        <v>6</v>
      </c>
      <c r="B9" s="11" t="inlineStr">
        <is>
          <t>結城市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n"/>
      <c r="G9" s="11" t="inlineStr">
        <is>
          <t>不明</t>
        </is>
      </c>
      <c r="H9" s="13" t="n"/>
      <c r="I9" s="13" t="inlineStr">
        <is>
          <t>不明</t>
        </is>
      </c>
      <c r="J9" s="13" t="inlineStr">
        <is>
          <t>未確認</t>
        </is>
      </c>
      <c r="K9" s="11" t="n"/>
      <c r="L9" s="11" t="inlineStr">
        <is>
          <t>第2次結城市環境基本計画</t>
        </is>
      </c>
      <c r="M9" s="11" t="inlineStr">
        <is>
          <t>R3〜R12</t>
        </is>
      </c>
      <c r="N9" s="13" t="n">
        <v>12</v>
      </c>
      <c r="O9" s="13" t="inlineStr">
        <is>
          <t>確認済</t>
        </is>
      </c>
      <c r="P9" s="13" t="inlineStr">
        <is>
          <t>未確認</t>
        </is>
      </c>
      <c r="Q9" s="14" t="inlineStr">
        <is>
          <t>https://www.city.yuki.lg.jp/shisei/publiccomment/r02/page006785.html</t>
        </is>
      </c>
      <c r="R9" s="11" t="inlineStr">
        <is>
          <t>検索（計7回）で結城市の交通計画・環境基本計画とも該当資料がヒットせず。県地域交通政策推進協議会の構成員（企画政策課）であることのみ確認（https://www.pref.ibaraki.jp/kikaku/kotsuseisaku/chiikikoutsu/documents/14_r4_1_kyougikai_houkoku.pdf）。環境基本計画の有無自体未確認、要直接確認。 環境：第2次はR3.4〜R13.3（R3〜R12年度）。e_urlは計画案パブコメ結果ページ（計画本体PDFのURLは検索に出ず）。第1次はH25.3〜R3.3。</t>
        </is>
      </c>
      <c r="S9" s="17" t="inlineStr">
        <is>
          <t>環境のみ調査</t>
        </is>
      </c>
    </row>
    <row r="10">
      <c r="A10" s="11" t="n">
        <v>7</v>
      </c>
      <c r="B10" s="11" t="inlineStr">
        <is>
          <t>龍ケ崎市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龍ケ崎市地域公共交通計画</t>
        </is>
      </c>
      <c r="G10" s="11" t="inlineStr">
        <is>
          <t>R5〜R11</t>
        </is>
      </c>
      <c r="H10" s="13" t="n">
        <v>11</v>
      </c>
      <c r="I10" s="13" t="inlineStr">
        <is>
          <t>確認済</t>
        </is>
      </c>
      <c r="J10" s="13" t="inlineStr">
        <is>
          <t>未確認</t>
        </is>
      </c>
      <c r="K10" s="14" t="inlineStr">
        <is>
          <t>https://www.city.ryugasaki.ibaraki.jp/kurashi/seikatsu/kokyokotsu/keikaku/20220329131428914.files/01.pdf</t>
        </is>
      </c>
      <c r="L10" s="11" t="inlineStr">
        <is>
          <t>龍ケ崎市第2次環境基本計画</t>
        </is>
      </c>
      <c r="M10" s="11" t="inlineStr">
        <is>
          <t>H29〜R8</t>
        </is>
      </c>
      <c r="N10" s="13" t="n">
        <v>8</v>
      </c>
      <c r="O10" s="13" t="inlineStr">
        <is>
          <t>確認済</t>
        </is>
      </c>
      <c r="P10" s="13" t="inlineStr">
        <is>
          <t>着手済</t>
        </is>
      </c>
      <c r="Q10" s="14" t="inlineStr">
        <is>
          <t>https://www.city.ryugasaki.ibaraki.jp/kurashi/kankyo/kankyo/kankyohakusyo/r7-kakyohakusyo.files/R7kankyo-hakusyo.pdf</t>
        </is>
      </c>
      <c r="R10" s="11" t="inlineStr">
        <is>
          <t>【有望】第2次環境基本計画(2017〜2026年度)がR8年度末で満了のため『第3次環境基本計画』を策定する旨が市資料に記載（R7環境白書/環境審議会資料 https://www.city.ryugasaki.ibaraki.jp/shisei/johokokai/huzokukikanseido/huzokukikankaigiroku/fuzoku-kaigiroku/kankyou-shingi.files/R60927siryo.pdf）。策定支援業務プロポーザル公告は検索で未発見。交通計画はR5.4.1〜R12.3.31、別途利便増進計画あり。</t>
        </is>
      </c>
      <c r="S10" s="15" t="inlineStr">
        <is>
          <t>調査済</t>
        </is>
      </c>
    </row>
    <row r="11">
      <c r="A11" s="11" t="n">
        <v>8</v>
      </c>
      <c r="B11" s="11" t="inlineStr">
        <is>
          <t>下妻市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下妻市地域公共交通網形成計画（現行計画不明）</t>
        </is>
      </c>
      <c r="G11" s="11" t="inlineStr">
        <is>
          <t>不明</t>
        </is>
      </c>
      <c r="H11" s="13" t="n"/>
      <c r="I11" s="13" t="inlineStr">
        <is>
          <t>不明</t>
        </is>
      </c>
      <c r="J11" s="13" t="inlineStr">
        <is>
          <t>未確認</t>
        </is>
      </c>
      <c r="K11" s="11" t="n"/>
      <c r="L11" s="11" t="inlineStr">
        <is>
          <t>第2次下妻市環境基本計画</t>
        </is>
      </c>
      <c r="M11" s="11" t="inlineStr">
        <is>
          <t>不明</t>
        </is>
      </c>
      <c r="N11" s="13" t="n"/>
      <c r="O11" s="13" t="inlineStr">
        <is>
          <t>不明</t>
        </is>
      </c>
      <c r="P11" s="13" t="inlineStr">
        <is>
          <t>未確認</t>
        </is>
      </c>
      <c r="Q11" s="11" t="n"/>
      <c r="R11" s="11" t="inlineStr">
        <is>
          <t>H28.3に網形成計画を策定した記録あり（関東運輸局資料 https://wwwtb.mlit.go.jp/kanto/content/000164544.pdf）。下妻市地域公共交通活性化協議会あり。後継の地域公共交通計画の期間は未確認。環境基本条例(H24.9制定, https://www.cas.go.jp/jp/seisaku/gmpp/pdf/activities/ordinances/cases/235.pdf)に計画規定はあるが計画本体・期間は検索で未発見。 環境：第2次下妻市環境基本計画（温暖化対策実行計画を包含）の存在のみ確認、期間・本体URLは検索で確認できず。関連：下妻市環境アクションプラン https://www.city.shimotsuma.lg.jp/kurashi-tetsuzuki/kankyo/page003292.html</t>
        </is>
      </c>
      <c r="S11" s="15" t="inlineStr">
        <is>
          <t>調査済</t>
        </is>
      </c>
    </row>
    <row r="12">
      <c r="A12" s="11" t="n">
        <v>9</v>
      </c>
      <c r="B12" s="11" t="inlineStr">
        <is>
          <t>常総市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常総市地域公共交通計画</t>
        </is>
      </c>
      <c r="G12" s="11" t="inlineStr">
        <is>
          <t>不明</t>
        </is>
      </c>
      <c r="H12" s="13" t="n"/>
      <c r="I12" s="13" t="inlineStr">
        <is>
          <t>不明</t>
        </is>
      </c>
      <c r="J12" s="13" t="inlineStr">
        <is>
          <t>未確認</t>
        </is>
      </c>
      <c r="K12" s="11" t="n"/>
      <c r="L12" s="11" t="inlineStr">
        <is>
          <t>常総市環境基本計画</t>
        </is>
      </c>
      <c r="M12" s="11" t="inlineStr">
        <is>
          <t>H30〜（期間不明）</t>
        </is>
      </c>
      <c r="N12" s="13" t="n"/>
      <c r="O12" s="13" t="inlineStr">
        <is>
          <t>不明</t>
        </is>
      </c>
      <c r="P12" s="13" t="inlineStr">
        <is>
          <t>未確認</t>
        </is>
      </c>
      <c r="Q12" s="11" t="n"/>
      <c r="R12" s="11" t="inlineStr">
        <is>
          <t>関東運輸局の策定状況一覧(https://wwwtb.mlit.go.jp/kanto/content/000354212.pdf)に常総市の計画が掲載されている旨のみ確認、期間不明。環境基本条例(H25.3制定, https://www.cas.go.jp/jp/seisaku/gmpp/pdf/activities/ordinances/cases/236.pdf)はあるが環境基本計画の本体・期間は未発見。 環境：H30年度策定との検索結果のみ（期間・URL未確認）。10年計画ならR9〜R10終了の可能性があり要確認。区域施策編R6.3策定。</t>
        </is>
      </c>
      <c r="S12" s="15" t="inlineStr">
        <is>
          <t>調査済</t>
        </is>
      </c>
    </row>
    <row r="13">
      <c r="A13" s="11" t="n">
        <v>10</v>
      </c>
      <c r="B13" s="11" t="inlineStr">
        <is>
          <t>常陸太田市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常陸太田市地域公共交通計画</t>
        </is>
      </c>
      <c r="G13" s="11" t="inlineStr">
        <is>
          <t>R4〜R8（推定）</t>
        </is>
      </c>
      <c r="H13" s="16" t="n">
        <v>8</v>
      </c>
      <c r="I13" s="13" t="inlineStr">
        <is>
          <t>推定</t>
        </is>
      </c>
      <c r="J13" s="13" t="inlineStr">
        <is>
          <t>着手済</t>
        </is>
      </c>
      <c r="K13" s="14" t="inlineStr">
        <is>
          <t>https://www.city.hitachiota.ibaraki.jp/data/doc/1651137157_doc_40_0.pdf</t>
        </is>
      </c>
      <c r="L13" s="11" t="inlineStr">
        <is>
          <t>第4次常陸太田市環境基本計画</t>
        </is>
      </c>
      <c r="M13" s="11" t="inlineStr">
        <is>
          <t>R6〜R10</t>
        </is>
      </c>
      <c r="N13" s="13" t="n">
        <v>10</v>
      </c>
      <c r="O13" s="13" t="inlineStr">
        <is>
          <t>確認済</t>
        </is>
      </c>
      <c r="P13" s="13" t="inlineStr">
        <is>
          <t>未確認</t>
        </is>
      </c>
      <c r="Q13" s="14" t="inlineStr">
        <is>
          <t>https://www.city.hitachiota.ibaraki.jp/page/page009600.html</t>
        </is>
      </c>
      <c r="R13" s="11" t="inlineStr">
        <is>
          <t>利便増進実施計画(R4.3認定)はR8年度末満了、新計画策定予定との記載。日立市資料で日立市・常陸太田市の共同利便増進実施計画をR8年度に作成する必要ありとの記載（https://www-source.city.hitachi.lg.jp/_res/projects/default_project/_page_/001/020/366/3-1.pdf）。上位の地域公共交通計画の名称・期間は未確認。環境基本計画は検索で群馬県太田市ばかりヒットし未発見。 交通計画本体はR4.3策定（期間は利便増進実施計画と同じR4〜R8と推定）、利便増進実施計画 https://www.city.hitachiota.ibaraki.jp/data/doc/1711010535_doc_40_0.pdf 。環境：第4次はR6.4〜R11.3（R6〜R10年度）、第3次はH31〜R5。</t>
        </is>
      </c>
      <c r="S13" s="15" t="inlineStr">
        <is>
          <t>調査済</t>
        </is>
      </c>
    </row>
    <row r="14">
      <c r="A14" s="11" t="n">
        <v>11</v>
      </c>
      <c r="B14" s="11" t="inlineStr">
        <is>
          <t>高萩市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n"/>
      <c r="G14" s="11" t="inlineStr">
        <is>
          <t>不明</t>
        </is>
      </c>
      <c r="H14" s="13" t="n"/>
      <c r="I14" s="13" t="inlineStr">
        <is>
          <t>不明</t>
        </is>
      </c>
      <c r="J14" s="13" t="inlineStr">
        <is>
          <t>未確認</t>
        </is>
      </c>
      <c r="K14" s="11" t="n"/>
      <c r="L14" s="11" t="inlineStr">
        <is>
          <t>第2次高萩市環境基本計画</t>
        </is>
      </c>
      <c r="M14" s="11" t="inlineStr">
        <is>
          <t>R3〜R12</t>
        </is>
      </c>
      <c r="N14" s="13" t="n">
        <v>12</v>
      </c>
      <c r="O14" s="13" t="inlineStr">
        <is>
          <t>確認済</t>
        </is>
      </c>
      <c r="P14" s="13" t="inlineStr">
        <is>
          <t>未確認</t>
        </is>
      </c>
      <c r="Q14" s="14" t="inlineStr">
        <is>
          <t>https://www.city.takahagi.ibaraki.jp/kurashi/sumai/kankyou/ondanka/page004519.html</t>
        </is>
      </c>
      <c r="R14" s="11" t="inlineStr">
        <is>
          <t>交通計画・環境基本計画とも検索で該当資料なし（日高市・高崎市等の類似名ばかり）。計画の有無自体未確認、要直接確認。 環境：第2次はR3〜R12年度、ゼロカーボンシティ宣言を受け策定（e_urlのページに本編・概要版PDFあり）。第5次地球温暖化対策実行計画R7〜R12。</t>
        </is>
      </c>
      <c r="S14" s="17" t="inlineStr">
        <is>
          <t>環境のみ調査</t>
        </is>
      </c>
    </row>
    <row r="15">
      <c r="A15" s="11" t="n">
        <v>12</v>
      </c>
      <c r="B15" s="11" t="inlineStr">
        <is>
          <t>北茨城市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北茨城市地域公共交通計画</t>
        </is>
      </c>
      <c r="G15" s="11" t="inlineStr">
        <is>
          <t>R6〜R10</t>
        </is>
      </c>
      <c r="H15" s="13" t="n">
        <v>10</v>
      </c>
      <c r="I15" s="13" t="inlineStr">
        <is>
          <t>確認済</t>
        </is>
      </c>
      <c r="J15" s="13" t="inlineStr">
        <is>
          <t>未確認</t>
        </is>
      </c>
      <c r="K15" s="14" t="inlineStr">
        <is>
          <t>https://www.city.kitaibaraki.lg.jp/docs/2024013000015</t>
        </is>
      </c>
      <c r="L15" s="11" t="inlineStr">
        <is>
          <t>第2次北茨城市環境基本計画</t>
        </is>
      </c>
      <c r="M15" s="11" t="inlineStr">
        <is>
          <t>R7〜R16</t>
        </is>
      </c>
      <c r="N15" s="13" t="n">
        <v>16</v>
      </c>
      <c r="O15" s="13" t="inlineStr">
        <is>
          <t>確認済</t>
        </is>
      </c>
      <c r="P15" s="13" t="inlineStr">
        <is>
          <t>策定済</t>
        </is>
      </c>
      <c r="Q15" s="14" t="inlineStr">
        <is>
          <t>https://cms.city.kitaibaraki.lg.jp/docs/2025060500022/file_contents/file_20256113161234_1.pdf</t>
        </is>
      </c>
      <c r="R15" s="11" t="inlineStr">
        <is>
          <t>環境基本計画は2025(R7)年3月策定・2025〜2034年度。区域施策編(R3策定)・エネルギービジョン(R6.4)あり。交通計画の次期改定作業は未確認。立地適正化計画素案のパブコメ実施(2026年8月) https://www.city.kitaibaraki.lg.jp/docs/2026080500016</t>
        </is>
      </c>
      <c r="S15" s="15" t="inlineStr">
        <is>
          <t>調査済</t>
        </is>
      </c>
    </row>
    <row r="16">
      <c r="A16" s="11" t="n">
        <v>13</v>
      </c>
      <c r="B16" s="11" t="inlineStr">
        <is>
          <t>笠間市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笠間市地域公共交通計画</t>
        </is>
      </c>
      <c r="G16" s="11" t="inlineStr">
        <is>
          <t>R7〜R11</t>
        </is>
      </c>
      <c r="H16" s="13" t="n">
        <v>11</v>
      </c>
      <c r="I16" s="13" t="inlineStr">
        <is>
          <t>確認済</t>
        </is>
      </c>
      <c r="J16" s="13" t="inlineStr">
        <is>
          <t>策定済</t>
        </is>
      </c>
      <c r="K16" s="14" t="inlineStr">
        <is>
          <t>https://www.city.kasama.lg.jp/data/doc/1758843883_doc_70_0.pdf</t>
        </is>
      </c>
      <c r="L16" s="11" t="inlineStr">
        <is>
          <t>第3次笠間市環境基本計画</t>
        </is>
      </c>
      <c r="M16" s="11" t="inlineStr">
        <is>
          <t>R8〜R12</t>
        </is>
      </c>
      <c r="N16" s="13" t="n">
        <v>12</v>
      </c>
      <c r="O16" s="13" t="inlineStr">
        <is>
          <t>確認済</t>
        </is>
      </c>
      <c r="P16" s="13" t="inlineStr">
        <is>
          <t>策定済</t>
        </is>
      </c>
      <c r="Q16" s="14" t="inlineStr">
        <is>
          <t>https://www.city.kasama.lg.jp/data/doc/1774510801_doc_207_0.pdf</t>
        </is>
      </c>
      <c r="R16" s="11" t="inlineStr">
        <is>
          <t>交通計画はR7年7月策定(2025〜2029年度)。環境基本計画第3次はR8年3月策定。いずれもPDF URLは検索結果上のもので本文の同定は未検証(取得ブロック)。</t>
        </is>
      </c>
      <c r="S16" s="15" t="inlineStr">
        <is>
          <t>調査済</t>
        </is>
      </c>
    </row>
    <row r="17">
      <c r="A17" s="11" t="n">
        <v>14</v>
      </c>
      <c r="B17" s="11" t="inlineStr">
        <is>
          <t>取手市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取手市地域公共交通計画</t>
        </is>
      </c>
      <c r="G17" s="11" t="inlineStr">
        <is>
          <t>不明</t>
        </is>
      </c>
      <c r="H17" s="13" t="n"/>
      <c r="I17" s="13" t="inlineStr">
        <is>
          <t>不明</t>
        </is>
      </c>
      <c r="J17" s="13" t="inlineStr">
        <is>
          <t>未確認</t>
        </is>
      </c>
      <c r="K17" s="14" t="inlineStr">
        <is>
          <t>https://www.city.toride.ibaraki.jp/seisaku/shise/machizukuri/sogo/plan2024/kanrenkeikaku.html</t>
        </is>
      </c>
      <c r="L17" s="11" t="inlineStr">
        <is>
          <t>第二次取手市環境基本計画</t>
        </is>
      </c>
      <c r="M17" s="11" t="inlineStr">
        <is>
          <t>R1〜R10</t>
        </is>
      </c>
      <c r="N17" s="13" t="n">
        <v>10</v>
      </c>
      <c r="O17" s="13" t="inlineStr">
        <is>
          <t>確認済</t>
        </is>
      </c>
      <c r="P17" s="13" t="inlineStr">
        <is>
          <t>未確認</t>
        </is>
      </c>
      <c r="Q17" s="14" t="inlineStr">
        <is>
          <t>https://www.city.toride.ibaraki.jp/seisaku/shise/machizukuri/sogo/plan2024/documents/33dai2jikannkyoukihonkeikaku.pdf</t>
        </is>
      </c>
      <c r="R17" s="11" t="inlineStr">
        <is>
          <t>交通計画は総合計画関連計画ページで存在のみ確認、期間不明(t_urlは関連計画一覧ページ)。環境基本計画は2019〜2028年度(2024年度中間見直し予定)。区域施策編R5〜R12あり。緑の基本計画R8.3改訂。</t>
        </is>
      </c>
      <c r="S17" s="15" t="inlineStr">
        <is>
          <t>調査済</t>
        </is>
      </c>
    </row>
    <row r="18">
      <c r="A18" s="11" t="n">
        <v>15</v>
      </c>
      <c r="B18" s="11" t="inlineStr">
        <is>
          <t>牛久市</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第2次牛久市地域公共交通計画</t>
        </is>
      </c>
      <c r="G18" s="11" t="inlineStr">
        <is>
          <t>R8〜R11</t>
        </is>
      </c>
      <c r="H18" s="13" t="n">
        <v>11</v>
      </c>
      <c r="I18" s="13" t="inlineStr">
        <is>
          <t>確認済</t>
        </is>
      </c>
      <c r="J18" s="13" t="inlineStr">
        <is>
          <t>策定済</t>
        </is>
      </c>
      <c r="K18" s="14" t="inlineStr">
        <is>
          <t>https://www.city.ushiku.lg.jp/kurashi-tetsuduki/seikatsu/kokyokotsu/page014651.html</t>
        </is>
      </c>
      <c r="L18" s="11" t="inlineStr">
        <is>
          <t>牛久市第4期環境基本計画</t>
        </is>
      </c>
      <c r="M18" s="11" t="inlineStr">
        <is>
          <t>R4〜R8</t>
        </is>
      </c>
      <c r="N18" s="13" t="n">
        <v>8</v>
      </c>
      <c r="O18" s="13" t="inlineStr">
        <is>
          <t>確認済</t>
        </is>
      </c>
      <c r="P18" s="13" t="inlineStr">
        <is>
          <t>未確認</t>
        </is>
      </c>
      <c r="Q18" s="14" t="inlineStr">
        <is>
          <t>https://www.city.ushiku.lg.jp/page/page002088.html</t>
        </is>
      </c>
      <c r="R18" s="11" t="inlineStr">
        <is>
          <t>交通計画第2次は素案R8.1→策定済(R8〜R11)、R8.10バス路線再編予定。環境基本計画(第4期)はR8年度末で終了→第5期策定作業がR8年度進行中の可能性大だが検索上限で未確認。e_urlは環境政策課ページ。</t>
        </is>
      </c>
      <c r="S18" s="15" t="inlineStr">
        <is>
          <t>調査済</t>
        </is>
      </c>
    </row>
    <row r="19">
      <c r="A19" s="11" t="n">
        <v>16</v>
      </c>
      <c r="B19" s="11" t="inlineStr">
        <is>
          <t>つくば市</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第2次つくば市地域公共交通計画</t>
        </is>
      </c>
      <c r="G19" s="11" t="inlineStr">
        <is>
          <t>R8〜R12</t>
        </is>
      </c>
      <c r="H19" s="13" t="n">
        <v>12</v>
      </c>
      <c r="I19" s="13" t="inlineStr">
        <is>
          <t>確認済</t>
        </is>
      </c>
      <c r="J19" s="13" t="inlineStr">
        <is>
          <t>策定済</t>
        </is>
      </c>
      <c r="K19" s="11" t="n"/>
      <c r="L19" s="11" t="inlineStr">
        <is>
          <t>第3次つくば市環境基本計画</t>
        </is>
      </c>
      <c r="M19" s="11" t="inlineStr">
        <is>
          <t>R2〜R11</t>
        </is>
      </c>
      <c r="N19" s="13" t="n">
        <v>11</v>
      </c>
      <c r="O19" s="13" t="inlineStr">
        <is>
          <t>確認済</t>
        </is>
      </c>
      <c r="P19" s="13" t="inlineStr">
        <is>
          <t>未確認</t>
        </is>
      </c>
      <c r="Q19" s="14" t="inlineStr">
        <is>
          <t>https://www.city.tsukuba.lg.jp/material/files/group/137/3honpen.pdf</t>
        </is>
      </c>
      <c r="R19" s="11" t="inlineStr">
        <is>
          <t>交通：検索結果テキストで『第2次つくば市地域公共交通計画 対象期間 令和8年度〜令和12年度』を確認（前計画は2021年3月策定）。R8開始のためR7年度末策定と推定し策定済扱い。市公式の計画URLは検索結果に出ず（出典はmlit.go.jp系PDF https://www.mlit.go.jp/sogoseisaku/soukou/soukou-magazine/134-1.pdf 等の検索結果）。環境基本計画は検索で期間・URLとも確認できず（要追加調査）。 環境：第3次は対象期間R2〜R11（2020〜2029年度）。R7年度に環境審議会で中間見直し実施 https://www.city.tsukuba.lg.jp/material/files/group/7/kankyoiinkaiR7_3-4.pdf 。R9終了ではない。</t>
        </is>
      </c>
      <c r="S19" s="15" t="inlineStr">
        <is>
          <t>調査済</t>
        </is>
      </c>
    </row>
    <row r="20">
      <c r="A20" s="11" t="n">
        <v>17</v>
      </c>
      <c r="B20" s="11" t="inlineStr">
        <is>
          <t>ひたちなか市</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ひたちなか市地域公共交通計画</t>
        </is>
      </c>
      <c r="G20" s="11" t="inlineStr">
        <is>
          <t>R8〜R12</t>
        </is>
      </c>
      <c r="H20" s="13" t="n">
        <v>12</v>
      </c>
      <c r="I20" s="13" t="inlineStr">
        <is>
          <t>確認済</t>
        </is>
      </c>
      <c r="J20" s="13" t="inlineStr">
        <is>
          <t>策定済</t>
        </is>
      </c>
      <c r="K20" s="14" t="inlineStr">
        <is>
          <t>https://www.city.hitachinaka.lg.jp/_res/projects/default_project/_page_/001/016/190/hitachinakashi_chiikikoukyoukoutuukeikakuan.pdf</t>
        </is>
      </c>
      <c r="L20" s="11" t="inlineStr">
        <is>
          <t>ひたちなか市第3次環境基本計画（改定）</t>
        </is>
      </c>
      <c r="M20" s="11" t="inlineStr">
        <is>
          <t>R8〜R12</t>
        </is>
      </c>
      <c r="N20" s="13" t="n">
        <v>12</v>
      </c>
      <c r="O20" s="13" t="inlineStr">
        <is>
          <t>確認済</t>
        </is>
      </c>
      <c r="P20" s="13" t="inlineStr">
        <is>
          <t>策定済</t>
        </is>
      </c>
      <c r="Q20" s="14" t="inlineStr">
        <is>
          <t>https://www.city.hitachinaka.lg.jp/_res/projects/default_project/_page_/001/017/041/kaiteigaiyoubann.pdf</t>
        </is>
      </c>
      <c r="R20" s="11" t="inlineStr">
        <is>
          <t>交通：旧網形成計画（H29〜R7）の後継。パブコメR7.12.25〜R8.1.23、第47回公共交通活性化協議会R8.2.16で結果協議、R8.3策定予定（https://www-source.city.hitachinaka.lg.jp/_res/projects/default_project/_page_/001/015/394/20260216shiryo.pdf）。t_urlは計画案PDF。環境：第3次環境基本計画（改定）R8〜R12、地域気候変動適応計画を統合（改定素案 .../001/015/858/kannkyoukihonnkeikakukaiteisoann.pdf）。いずれもR9終了ではない。</t>
        </is>
      </c>
      <c r="S20" s="15" t="inlineStr">
        <is>
          <t>調査済</t>
        </is>
      </c>
    </row>
    <row r="21">
      <c r="A21" s="11" t="n">
        <v>18</v>
      </c>
      <c r="B21" s="11" t="inlineStr">
        <is>
          <t>鹿嶋市</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鹿嶋市地域公共交通計画</t>
        </is>
      </c>
      <c r="G21" s="11" t="inlineStr">
        <is>
          <t>R6〜R10</t>
        </is>
      </c>
      <c r="H21" s="13" t="n">
        <v>10</v>
      </c>
      <c r="I21" s="13" t="inlineStr">
        <is>
          <t>確認済</t>
        </is>
      </c>
      <c r="J21" s="13" t="inlineStr">
        <is>
          <t>未確認</t>
        </is>
      </c>
      <c r="K21" s="14" t="inlineStr">
        <is>
          <t>https://www.city.kashima.ibaraki.jp/uploaded/attachment/60268.pdf</t>
        </is>
      </c>
      <c r="L21" s="11" t="inlineStr">
        <is>
          <t>鹿嶋市環境基本計画</t>
        </is>
      </c>
      <c r="M21" s="11" t="inlineStr">
        <is>
          <t>R3〜R12</t>
        </is>
      </c>
      <c r="N21" s="16" t="n">
        <v>12</v>
      </c>
      <c r="O21" s="13" t="inlineStr">
        <is>
          <t>推定</t>
        </is>
      </c>
      <c r="P21" s="13" t="inlineStr">
        <is>
          <t>未確認</t>
        </is>
      </c>
      <c r="Q21" s="14" t="inlineStr">
        <is>
          <t>https://www.city.kashima.ibaraki.jp/uploaded/life/87842_130084_misc.pdf</t>
        </is>
      </c>
      <c r="R21" s="11" t="inlineStr">
        <is>
          <t>交通：令和6年度〜令和10年度の5年間を検索結果で確認（URLは市サイト上の計画PDF候補、59545.pdfも関連）。環境：進捗報告書（R7年8月）が存在し、目標年度R12(2030)。期間R3〜R12は検索要約で示唆されたが確証弱く推定。e_urlは進捗報告書PDF。次期計画作業は未確認。</t>
        </is>
      </c>
      <c r="S21" s="15" t="inlineStr">
        <is>
          <t>調査済</t>
        </is>
      </c>
    </row>
    <row r="22">
      <c r="A22" s="11" t="n">
        <v>19</v>
      </c>
      <c r="B22" s="11" t="inlineStr">
        <is>
          <t>潮来市</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n"/>
      <c r="G22" s="11" t="inlineStr">
        <is>
          <t>不明</t>
        </is>
      </c>
      <c r="H22" s="13" t="n"/>
      <c r="I22" s="13" t="inlineStr">
        <is>
          <t>不明</t>
        </is>
      </c>
      <c r="J22" s="13" t="inlineStr">
        <is>
          <t>未確認</t>
        </is>
      </c>
      <c r="K22" s="11" t="n"/>
      <c r="L22" s="11" t="n"/>
      <c r="M22" s="11" t="inlineStr">
        <is>
          <t>不明</t>
        </is>
      </c>
      <c r="N22" s="13" t="n"/>
      <c r="O22" s="13" t="inlineStr">
        <is>
          <t>不明</t>
        </is>
      </c>
      <c r="P22" s="13" t="inlineStr">
        <is>
          <t>未確認</t>
        </is>
      </c>
      <c r="Q22" s="11" t="n"/>
      <c r="R22" s="11" t="inlineStr">
        <is>
          <t>検索で潮来市の地域公共交通計画・環境基本計画とも情報が得られず（検索インデックスに市サイトがほぼ出ない）。要公式サイト直接確認。</t>
        </is>
      </c>
      <c r="S22" s="17" t="inlineStr">
        <is>
          <t>未調査</t>
        </is>
      </c>
    </row>
    <row r="23">
      <c r="A23" s="11" t="n">
        <v>20</v>
      </c>
      <c r="B23" s="11" t="inlineStr">
        <is>
          <t>守谷市</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inlineStr">
        <is>
          <t>第2次守谷市環境基本計画</t>
        </is>
      </c>
      <c r="M23" s="11" t="inlineStr">
        <is>
          <t>〜R7（推定）</t>
        </is>
      </c>
      <c r="N23" s="16" t="n">
        <v>7</v>
      </c>
      <c r="O23" s="13" t="inlineStr">
        <is>
          <t>推定</t>
        </is>
      </c>
      <c r="P23" s="13" t="inlineStr">
        <is>
          <t>着手済</t>
        </is>
      </c>
      <c r="Q23" s="14" t="inlineStr">
        <is>
          <t>https://www.city.moriya.ibaraki.jp/kurashi_tetsuzuki/kankyo_gomi/1001993/1002006.html</t>
        </is>
      </c>
      <c r="R23" s="11" t="inlineStr">
        <is>
          <t>守谷市地域公共交通活性化協議会の存在と実証運行（コミュニティバス等）は確認したが、計画名・期間・URLは検索で確認できず。茨城県の協議会資料（https://www.pref.ibaraki.jp/kikaku/kotsuseisaku/chiikikoutsu/documents/r8dai1kaikyougikaigian.pdf）に言及あり。環境基本計画も不明。要追加調査。 環境：第3次守谷市環境基本計画（R8〜R17＝2026〜2035年度）を策定中との検索結果（生活環境課 https://www.city.moriya.ibaraki.jp/shisei/profile/1004324/1004328/1004339/1004340.html ）。策定に向け市民・事業者・中学生意識調査を実施。第3次の策定完了は未確認。</t>
        </is>
      </c>
      <c r="S23" s="17" t="inlineStr">
        <is>
          <t>環境のみ調査</t>
        </is>
      </c>
    </row>
    <row r="24">
      <c r="A24" s="11" t="n">
        <v>21</v>
      </c>
      <c r="B24" s="11" t="inlineStr">
        <is>
          <t>常陸大宮市</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常陸大宮市地域公共交通計画</t>
        </is>
      </c>
      <c r="G24" s="11" t="inlineStr">
        <is>
          <t>R5〜R9</t>
        </is>
      </c>
      <c r="H24" s="13" t="n">
        <v>9</v>
      </c>
      <c r="I24" s="13" t="inlineStr">
        <is>
          <t>確認済</t>
        </is>
      </c>
      <c r="J24" s="13" t="inlineStr">
        <is>
          <t>未確認</t>
        </is>
      </c>
      <c r="K24" s="14" t="inlineStr">
        <is>
          <t>https://www.city.hitachiomiya.lg.jp/data/doc/1685520960_doc_100_0.pdf</t>
        </is>
      </c>
      <c r="L24" s="11" t="inlineStr">
        <is>
          <t>第2次常陸大宮市環境基本計画（後期計画）</t>
        </is>
      </c>
      <c r="M24" s="11" t="inlineStr">
        <is>
          <t>R5〜R9</t>
        </is>
      </c>
      <c r="N24" s="13" t="n">
        <v>9</v>
      </c>
      <c r="O24" s="13" t="inlineStr">
        <is>
          <t>確認済</t>
        </is>
      </c>
      <c r="P24" s="13" t="inlineStr">
        <is>
          <t>未確認</t>
        </is>
      </c>
      <c r="Q24" s="14" t="inlineStr">
        <is>
          <t>https://www.city.hitachiomiya.lg.jp/data/doc/1673312876_doc_1_0.pdf</t>
        </is>
      </c>
      <c r="R24" s="11" t="inlineStr">
        <is>
          <t>【交通・環境ともR9終了】交通：網形成計画満了に伴い策定、令和5年度〜令和9年度（概要版 1685520956_doc_100_0.pdf も）。環境：第2次環境基本計画はH30〜R9、前期満了により後期計画R5〜R9を策定（関連PDF https://www.city.hitachiomiya.lg.jp/data/doc/1703489725_doc_27_0.pdf）。R8.9時点で次期計画（策定支援委託・アンケート等）の情報は検索で見つからず→R8〜R9に改定作業発生見込み。</t>
        </is>
      </c>
      <c r="S24" s="15" t="inlineStr">
        <is>
          <t>調査済</t>
        </is>
      </c>
    </row>
    <row r="25">
      <c r="A25" s="11" t="n">
        <v>22</v>
      </c>
      <c r="B25" s="11" t="inlineStr">
        <is>
          <t>那珂市</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inlineStr">
        <is>
          <t>第3次那珂市環境基本計画</t>
        </is>
      </c>
      <c r="M25" s="11" t="inlineStr">
        <is>
          <t>R5〜R14</t>
        </is>
      </c>
      <c r="N25" s="13" t="n">
        <v>14</v>
      </c>
      <c r="O25" s="13" t="inlineStr">
        <is>
          <t>確認済</t>
        </is>
      </c>
      <c r="P25" s="13" t="inlineStr">
        <is>
          <t>未確認</t>
        </is>
      </c>
      <c r="Q25" s="14" t="inlineStr">
        <is>
          <t>https://www.city.naka.lg.jp/gyousei/keikaku/page009444.html</t>
        </is>
      </c>
      <c r="R25" s="11" t="inlineStr">
        <is>
          <t>検索で那珂市の地域公共交通計画・環境基本計画とも確認できず（那珂川・ひたちなか市等の類似名が混入）。要公式サイト直接確認。 環境：第3次はR5〜R14（2023〜2032年度）の10年間。区域施策編あり https://www.city.naka.lg.jp/kurashi-tetsuduki/kankyou/page010908.html</t>
        </is>
      </c>
      <c r="S25" s="17" t="inlineStr">
        <is>
          <t>環境のみ調査</t>
        </is>
      </c>
    </row>
    <row r="26">
      <c r="A26" s="11" t="n">
        <v>23</v>
      </c>
      <c r="B26" s="11" t="inlineStr">
        <is>
          <t>筑西市</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筑西市地域公共交通計画</t>
        </is>
      </c>
      <c r="G26" s="11" t="inlineStr">
        <is>
          <t>不明</t>
        </is>
      </c>
      <c r="H26" s="13" t="n"/>
      <c r="I26" s="13" t="inlineStr">
        <is>
          <t>不明</t>
        </is>
      </c>
      <c r="J26" s="13" t="inlineStr">
        <is>
          <t>着手済</t>
        </is>
      </c>
      <c r="K26" s="14" t="inlineStr">
        <is>
          <t>https://www.city.chikusei.lg.jp/machidukuri/traffic/page009177.html</t>
        </is>
      </c>
      <c r="L26" s="11" t="inlineStr">
        <is>
          <t>第2次筑西市環境基本計画</t>
        </is>
      </c>
      <c r="M26" s="11" t="inlineStr">
        <is>
          <t>不明</t>
        </is>
      </c>
      <c r="N26" s="13" t="n"/>
      <c r="O26" s="13" t="inlineStr">
        <is>
          <t>不明</t>
        </is>
      </c>
      <c r="P26" s="13" t="inlineStr">
        <is>
          <t>未確認</t>
        </is>
      </c>
      <c r="Q26" s="11" t="n"/>
      <c r="R26" s="11" t="inlineStr">
        <is>
          <t>「第2次筑西市地域公共交通計画策定支援業務委託」公募型プロポーザル実施（事業者選定済）https://www.city.chikusei.lg.jp/jigyousha/proposal/proposal-project/page012557.html 。現行交通計画の期間は検索結果で確認できず（目標達成状況をR6末時点で公表）。環境基本計画は第2次策定済だが期間・URL未確認（所管：環境課）。 【R8.9再調査】環境：筑西市環境基本条例（平成27年3月25日条例第6号）は確認（https://www.cas.go.jp/jp/seisaku/gmpp/pdf/activities/ordinances/cases/254.pdf）が、第2次環境基本計画の期間・URL・次期計画作業は検索結果で確認できず（6回検索、筑後市等の類似名のみ）。</t>
        </is>
      </c>
      <c r="S26" s="15" t="inlineStr">
        <is>
          <t>調査済</t>
        </is>
      </c>
    </row>
    <row r="27">
      <c r="A27" s="11" t="n">
        <v>24</v>
      </c>
      <c r="B27" s="11" t="inlineStr">
        <is>
          <t>坂東市</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坂東市地域公共交通網形成計画</t>
        </is>
      </c>
      <c r="G27" s="11" t="inlineStr">
        <is>
          <t>R2〜R11</t>
        </is>
      </c>
      <c r="H27" s="13" t="n">
        <v>11</v>
      </c>
      <c r="I27" s="13" t="inlineStr">
        <is>
          <t>確認済</t>
        </is>
      </c>
      <c r="J27" s="13" t="inlineStr">
        <is>
          <t>未確認</t>
        </is>
      </c>
      <c r="K27" s="14" t="inlineStr">
        <is>
          <t>https://www.city.bando.lg.jp/page/page006076.html</t>
        </is>
      </c>
      <c r="L27" s="11" t="inlineStr">
        <is>
          <t>坂東市環境基本計画（第2期）</t>
        </is>
      </c>
      <c r="M27" s="11" t="inlineStr">
        <is>
          <t>R6〜R15</t>
        </is>
      </c>
      <c r="N27" s="16" t="n">
        <v>15</v>
      </c>
      <c r="O27" s="13" t="inlineStr">
        <is>
          <t>推定</t>
        </is>
      </c>
      <c r="P27" s="13" t="inlineStr">
        <is>
          <t>未確認</t>
        </is>
      </c>
      <c r="Q27" s="14" t="inlineStr">
        <is>
          <t>https://www.city.bando.lg.jp/page/page010074.html</t>
        </is>
      </c>
      <c r="R27" s="11" t="inlineStr">
        <is>
          <t>交通は網形成計画（R2.3策定、10年）のまま。旧環境基本計画はH25〜（10年）で期間終了に伴い新計画策定（パブコメ結果 https://www.city.bando.lg.jp/page/page009872.html ）。新計画の期間は推定。</t>
        </is>
      </c>
      <c r="S27" s="15" t="inlineStr">
        <is>
          <t>調査済</t>
        </is>
      </c>
    </row>
    <row r="28">
      <c r="A28" s="11" t="n">
        <v>25</v>
      </c>
      <c r="B28" s="11" t="inlineStr">
        <is>
          <t>稲敷市</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稲敷市地域公共交通計画</t>
        </is>
      </c>
      <c r="G28" s="11" t="inlineStr">
        <is>
          <t>不明</t>
        </is>
      </c>
      <c r="H28" s="13" t="n"/>
      <c r="I28" s="13" t="inlineStr">
        <is>
          <t>不明</t>
        </is>
      </c>
      <c r="J28" s="13" t="inlineStr">
        <is>
          <t>未確認</t>
        </is>
      </c>
      <c r="K28" s="14" t="inlineStr">
        <is>
          <t>https://www.city.inashiki.lg.jp/page/page004756.html</t>
        </is>
      </c>
      <c r="L28" s="11" t="inlineStr">
        <is>
          <t>稲敷市環境基本計画</t>
        </is>
      </c>
      <c r="M28" s="11" t="inlineStr">
        <is>
          <t>R3〜</t>
        </is>
      </c>
      <c r="N28" s="16" t="n"/>
      <c r="O28" s="13" t="inlineStr">
        <is>
          <t>推定</t>
        </is>
      </c>
      <c r="P28" s="13" t="inlineStr">
        <is>
          <t>未確認</t>
        </is>
      </c>
      <c r="Q28" s="14" t="inlineStr">
        <is>
          <t>https://www.city.inashiki.lg.jp/page/page007577.html</t>
        </is>
      </c>
      <c r="R28" s="11" t="inlineStr">
        <is>
          <t>交通計画はH28網形成計画の後継として策定、R5.4一部改訂（あずまコミュニティバス再編）。期間未確認。環境基本計画はR3.3策定（期間未確認）。次期計画作業は未確認（検索上限で深掘り不可）。</t>
        </is>
      </c>
      <c r="S28" s="15" t="inlineStr">
        <is>
          <t>調査済</t>
        </is>
      </c>
    </row>
    <row r="29">
      <c r="A29" s="11" t="n">
        <v>26</v>
      </c>
      <c r="B29" s="11" t="inlineStr">
        <is>
          <t>かすみがうら市</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かすみがうら市地域公共交通計画</t>
        </is>
      </c>
      <c r="G29" s="11" t="inlineStr">
        <is>
          <t>R3〜R7（R8まで1年延長を検討）</t>
        </is>
      </c>
      <c r="H29" s="16" t="n">
        <v>8</v>
      </c>
      <c r="I29" s="13" t="inlineStr">
        <is>
          <t>推定</t>
        </is>
      </c>
      <c r="J29" s="13" t="inlineStr">
        <is>
          <t>着手済</t>
        </is>
      </c>
      <c r="K29" s="14" t="inlineStr">
        <is>
          <t>https://www.city.kasumigaura.lg.jp/data/doc/1605678793_doc_10_1.pdf</t>
        </is>
      </c>
      <c r="L29" s="11" t="inlineStr">
        <is>
          <t>かすみがうら市第Ⅱ期環境基本計画（気候変動適応計画・生物多様性地域戦略を包含）</t>
        </is>
      </c>
      <c r="M29" s="11" t="inlineStr">
        <is>
          <t>R7〜R16</t>
        </is>
      </c>
      <c r="N29" s="13" t="n">
        <v>16</v>
      </c>
      <c r="O29" s="13" t="inlineStr">
        <is>
          <t>確認済</t>
        </is>
      </c>
      <c r="P29" s="13" t="inlineStr">
        <is>
          <t>策定済</t>
        </is>
      </c>
      <c r="Q29" s="14" t="inlineStr">
        <is>
          <t>https://www.city.kasumigaura.lg.jp/data/doc/1736999768_doc_11_0.pdf</t>
        </is>
      </c>
      <c r="R29" s="11" t="inlineStr">
        <is>
          <t>交通: 現計画R3〜R7を、交通環境の変化を次期(第2次)計画へ反映させるため1年延長する方向で地域公共交通会議で検討（R7秋頃資料 https://www.city.kasumigaura.lg.jp/data/doc/1761039730_doc_36_0.pdf）→第2次計画はR8年度策定作業中と推定。t_urlは現計画関連PDFと推定（内容未検証）。前身は網形成計画H28〜R2。環境: 第Ⅱ期R7〜R16で策定済、R9終了ではない。</t>
        </is>
      </c>
      <c r="S29" s="15" t="inlineStr">
        <is>
          <t>調査済</t>
        </is>
      </c>
    </row>
    <row r="30">
      <c r="A30" s="11" t="n">
        <v>27</v>
      </c>
      <c r="B30" s="11" t="inlineStr">
        <is>
          <t>桜川市</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桜川市地域公共交通計画</t>
        </is>
      </c>
      <c r="G30" s="11" t="inlineStr">
        <is>
          <t>R4〜R8</t>
        </is>
      </c>
      <c r="H30" s="16" t="n">
        <v>8</v>
      </c>
      <c r="I30" s="13" t="inlineStr">
        <is>
          <t>推定</t>
        </is>
      </c>
      <c r="J30" s="13" t="inlineStr">
        <is>
          <t>未確認</t>
        </is>
      </c>
      <c r="K30" s="14" t="inlineStr">
        <is>
          <t>https://www.city.sakuragawa.lg.jp/sys/public/data/doc/1641257134_0.pdf</t>
        </is>
      </c>
      <c r="L30" s="11" t="inlineStr">
        <is>
          <t>第2次桜川市環境基本計画</t>
        </is>
      </c>
      <c r="M30" s="11" t="inlineStr">
        <is>
          <t>R2〜R11</t>
        </is>
      </c>
      <c r="N30" s="13" t="n">
        <v>11</v>
      </c>
      <c r="O30" s="13" t="inlineStr">
        <is>
          <t>確認済</t>
        </is>
      </c>
      <c r="P30" s="13" t="inlineStr">
        <is>
          <t>未確認</t>
        </is>
      </c>
      <c r="Q30" s="14" t="inlineStr">
        <is>
          <t>https://www.city.sakuragawa.lg.jp/sys/public/data/doc/1578273137_0.pdf</t>
        </is>
      </c>
      <c r="R30" s="11" t="inlineStr">
        <is>
          <t>交通: 令和4年1月策定（期間は5年と推定、終期R8なら次期計画策定がR8に進行中の可能性あるが根拠未確認）。前身は網形成計画(H28.3)。環境: 第2次R2〜R11（2020〜2029年度）。</t>
        </is>
      </c>
      <c r="S30" s="15" t="inlineStr">
        <is>
          <t>調査済</t>
        </is>
      </c>
    </row>
    <row r="31">
      <c r="A31" s="11" t="n">
        <v>28</v>
      </c>
      <c r="B31" s="11" t="inlineStr">
        <is>
          <t>神栖市</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inlineStr">
        <is>
          <t>神栖市地域公共交通計画（第2期）</t>
        </is>
      </c>
      <c r="G31" s="11" t="inlineStr">
        <is>
          <t>R8〜R12</t>
        </is>
      </c>
      <c r="H31" s="16" t="n">
        <v>12</v>
      </c>
      <c r="I31" s="13" t="inlineStr">
        <is>
          <t>推定</t>
        </is>
      </c>
      <c r="J31" s="13" t="inlineStr">
        <is>
          <t>策定済</t>
        </is>
      </c>
      <c r="K31" s="14" t="inlineStr">
        <is>
          <t>https://www.city.kamisu.ibaraki.jp/_res/projects/default_project/_page_/001/003/540/kokeikaku2.pdf</t>
        </is>
      </c>
      <c r="L31" s="11" t="inlineStr">
        <is>
          <t>神栖市環境基本計画</t>
        </is>
      </c>
      <c r="M31" s="11" t="inlineStr">
        <is>
          <t>R1〜R10</t>
        </is>
      </c>
      <c r="N31" s="16" t="n">
        <v>10</v>
      </c>
      <c r="O31" s="13" t="inlineStr">
        <is>
          <t>推定</t>
        </is>
      </c>
      <c r="P31" s="13" t="inlineStr">
        <is>
          <t>未確認</t>
        </is>
      </c>
      <c r="Q31" s="14" t="inlineStr">
        <is>
          <t>https://www.city.kamisu.ibaraki.jp/_res/projects/default_project/_page_/001/004/216/kamisushikankyoukihonkeikaku.pdf</t>
        </is>
      </c>
      <c r="R31" s="11" t="inlineStr">
        <is>
          <t>交通: 第1期R3〜R7満了に伴い第2期を令和8年3月策定（素案R8.1、パブコメR8.2.2〜3.3 https://www.city.kamisu.ibaraki.jp/_res/projects/default_project/_page_/001/013/467/public.pdf）。第2期の期間は5年と推定。環境: 平成31年3月策定・目標年度2028(R10)、中間見直し版あり https://www.city.kamisu.ibaraki.jp/_res/projects/default_project/_page_/001/004/216/kaitei_zentai.pdf 。R10終了ならR9に次期策定着手の可能性。</t>
        </is>
      </c>
      <c r="S31" s="15" t="inlineStr">
        <is>
          <t>調査済</t>
        </is>
      </c>
    </row>
    <row r="32">
      <c r="A32" s="11" t="n">
        <v>29</v>
      </c>
      <c r="B32" s="11" t="inlineStr">
        <is>
          <t>行方市</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行方市地域公共交通計画</t>
        </is>
      </c>
      <c r="G32" s="11" t="inlineStr">
        <is>
          <t>不明</t>
        </is>
      </c>
      <c r="H32" s="13" t="n"/>
      <c r="I32" s="13" t="inlineStr">
        <is>
          <t>不明</t>
        </is>
      </c>
      <c r="J32" s="13" t="inlineStr">
        <is>
          <t>未確認</t>
        </is>
      </c>
      <c r="K32" s="11" t="n"/>
      <c r="L32" s="11" t="inlineStr">
        <is>
          <t>行方市環境基本計画</t>
        </is>
      </c>
      <c r="M32" s="11" t="inlineStr">
        <is>
          <t>H28〜R7（推定）</t>
        </is>
      </c>
      <c r="N32" s="16" t="n">
        <v>7</v>
      </c>
      <c r="O32" s="13" t="inlineStr">
        <is>
          <t>推定</t>
        </is>
      </c>
      <c r="P32" s="13" t="inlineStr">
        <is>
          <t>未確認</t>
        </is>
      </c>
      <c r="Q32" s="14" t="inlineStr">
        <is>
          <t>https://www.city.namegata.ibaraki.jp/page/page010706.html</t>
        </is>
      </c>
      <c r="R32" s="11" t="inlineStr">
        <is>
          <t>交通: 県資料で行方市は地域公共交通計画を策定し国交大臣へ送付済(R7.6末時点)とされるが名称・期間・URLは検索で確認できず。環境基本計画も検索でヒットせず（存否不明）。県の茨城県地域公共交通計画（R5〜R9、地域間幹線中心）が県全域を対象 https://www.pref.ibaraki.jp/kikaku/kotsuseisaku/chiikikoutsu/documents/2koukyoukoutuukeikaku.pdf 環境：H28.3策定・10年間、R3年度に中間見直し（期間は推定）。地域気候変動適応計画はR4〜R7。R7終了なら次期計画の状況要確認（検索では未確認）。</t>
        </is>
      </c>
      <c r="S32" s="15" t="inlineStr">
        <is>
          <t>調査済</t>
        </is>
      </c>
    </row>
    <row r="33">
      <c r="A33" s="11" t="n">
        <v>30</v>
      </c>
      <c r="B33" s="11" t="inlineStr">
        <is>
          <t>鉾田市</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n"/>
      <c r="G33" s="11" t="inlineStr">
        <is>
          <t>不明</t>
        </is>
      </c>
      <c r="H33" s="13" t="n"/>
      <c r="I33" s="13" t="inlineStr">
        <is>
          <t>不明</t>
        </is>
      </c>
      <c r="J33" s="13" t="inlineStr">
        <is>
          <t>未確認</t>
        </is>
      </c>
      <c r="K33" s="11" t="n"/>
      <c r="L33" s="11" t="inlineStr">
        <is>
          <t>鉾田市環境基本計画（改定）</t>
        </is>
      </c>
      <c r="M33" s="11" t="inlineStr">
        <is>
          <t>H29〜R8</t>
        </is>
      </c>
      <c r="N33" s="13" t="n">
        <v>8</v>
      </c>
      <c r="O33" s="13" t="inlineStr">
        <is>
          <t>確認済</t>
        </is>
      </c>
      <c r="P33" s="13" t="inlineStr">
        <is>
          <t>未確認</t>
        </is>
      </c>
      <c r="Q33" s="14" t="inlineStr">
        <is>
          <t>https://www.city.hokota.lg.jp/data/doc/1654669803_doc_37_0.pdf</t>
        </is>
      </c>
      <c r="R33"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環境：H29〜R8（2017〜2026年度）の10年間、R4.3に中間見直し・地域気候変動適応計画(R4〜R8)を策定 https://www.city.hokota.lg.jp/page/page004956.html 。R8年度末で満了→次期計画の作業がR8に進行中の可能性大だが検索では未確認。</t>
        </is>
      </c>
      <c r="S33" s="17" t="inlineStr">
        <is>
          <t>環境のみ調査</t>
        </is>
      </c>
    </row>
    <row r="34">
      <c r="A34" s="11" t="n">
        <v>31</v>
      </c>
      <c r="B34" s="11" t="inlineStr">
        <is>
          <t>つくばみらい市</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未確認</t>
        </is>
      </c>
      <c r="K34" s="11" t="n"/>
      <c r="L34" s="11" t="inlineStr">
        <is>
          <t>つくばみらい市環境基本計画（改訂版）</t>
        </is>
      </c>
      <c r="M34" s="11" t="inlineStr">
        <is>
          <t>H29〜R8（推定）</t>
        </is>
      </c>
      <c r="N34" s="16" t="n">
        <v>8</v>
      </c>
      <c r="O34" s="13" t="inlineStr">
        <is>
          <t>推定</t>
        </is>
      </c>
      <c r="P34" s="13" t="inlineStr">
        <is>
          <t>未確認</t>
        </is>
      </c>
      <c r="Q34" s="14" t="inlineStr">
        <is>
          <t>https://www.city.tsukubamirai.lg.jp/jyumin/gomi-kankyou-doubutsu/kankyouhozen/page000080.html</t>
        </is>
      </c>
      <c r="R34"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環境：H19.3策定、10年経過でH28年度に見直し改訂（改訂版の期間は10年と推定＝R8終了の可能性）。区域施策編はR8.3策定・R8〜R12 https://www.city.tsukubamirai.lg.jp/data/doc/1772670871_doc_25_0.pdf 。次期環境基本計画の作業は未確認。</t>
        </is>
      </c>
      <c r="S34" s="17" t="inlineStr">
        <is>
          <t>環境のみ調査</t>
        </is>
      </c>
    </row>
    <row r="35">
      <c r="A35" s="11" t="n">
        <v>32</v>
      </c>
      <c r="B35" s="11" t="inlineStr">
        <is>
          <t>小美玉市</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n"/>
      <c r="G35" s="11" t="inlineStr">
        <is>
          <t>不明</t>
        </is>
      </c>
      <c r="H35" s="13" t="n"/>
      <c r="I35" s="13" t="inlineStr">
        <is>
          <t>不明</t>
        </is>
      </c>
      <c r="J35" s="13" t="inlineStr">
        <is>
          <t>未確認</t>
        </is>
      </c>
      <c r="K35" s="11" t="n"/>
      <c r="L35" s="11" t="inlineStr">
        <is>
          <t>小美玉市環境基本計画</t>
        </is>
      </c>
      <c r="M35" s="11" t="inlineStr">
        <is>
          <t>R3〜R12（推定）</t>
        </is>
      </c>
      <c r="N35" s="16" t="n">
        <v>12</v>
      </c>
      <c r="O35" s="13" t="inlineStr">
        <is>
          <t>推定</t>
        </is>
      </c>
      <c r="P35" s="13" t="inlineStr">
        <is>
          <t>未確認</t>
        </is>
      </c>
      <c r="Q35" s="14" t="inlineStr">
        <is>
          <t>https://www.city.omitama.lg.jp/manage/contents/upload/602de700e73ca.pdf</t>
        </is>
      </c>
      <c r="R35"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環境：R3年3月策定（期間は10年と推定、原文未確認）。</t>
        </is>
      </c>
      <c r="S35" s="17" t="inlineStr">
        <is>
          <t>環境のみ調査</t>
        </is>
      </c>
    </row>
    <row r="36">
      <c r="A36" s="11" t="n">
        <v>33</v>
      </c>
      <c r="B36" s="11" t="inlineStr">
        <is>
          <t>茨城町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inlineStr">
        <is>
          <t>茨城町環境基本計画</t>
        </is>
      </c>
      <c r="M36" s="11" t="inlineStr">
        <is>
          <t>H25〜R4</t>
        </is>
      </c>
      <c r="N36" s="13" t="n">
        <v>4</v>
      </c>
      <c r="O36" s="13" t="inlineStr">
        <is>
          <t>確認済</t>
        </is>
      </c>
      <c r="P36" s="13" t="inlineStr">
        <is>
          <t>未確認</t>
        </is>
      </c>
      <c r="Q36" s="14" t="inlineStr">
        <is>
          <t>https://www.town.ibaraki.lg.jp/gyousei/kurashitetuduki/gomirisaikle/keikaku/index.html</t>
        </is>
      </c>
      <c r="R36" s="11" t="inlineStr">
        <is>
          <t>交通計画・環境基本計画とも検索で町の資料を確認できず（存否不明）。循環型社会形成推進地域計画R2.4〜R7.3は確認 https://www.env.go.jp/recycle/waste/3r_network/5_region/project_list/08_ibaraki/09_ibarakimachi_r2.pdf 。県の茨城県地域公共交通計画（R5〜R9、地域間幹線中心）が県全域を対象 https://www.pref.ibaraki.jp/kikaku/kotsuseisaku/chiikikoutsu/documents/2koukyoukoutuukeikaku.pdf 環境：計画期間H25〜R4で満了済。後継（第2次）計画の有無・期間は検索で未確認。再生可能エネルギービジョンR6〜R15あり。</t>
        </is>
      </c>
      <c r="S36" s="17" t="inlineStr">
        <is>
          <t>環境のみ調査</t>
        </is>
      </c>
    </row>
    <row r="37">
      <c r="A37" s="11" t="n">
        <v>34</v>
      </c>
      <c r="B37" s="11" t="inlineStr">
        <is>
          <t>大洗町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大洗町地域公共交通計画</t>
        </is>
      </c>
      <c r="G37" s="11" t="inlineStr">
        <is>
          <t>R6〜R10</t>
        </is>
      </c>
      <c r="H37" s="16" t="n">
        <v>10</v>
      </c>
      <c r="I37" s="13" t="inlineStr">
        <is>
          <t>推定</t>
        </is>
      </c>
      <c r="J37" s="13" t="inlineStr">
        <is>
          <t>着手済</t>
        </is>
      </c>
      <c r="K37" s="14" t="inlineStr">
        <is>
          <t>https://www.town.oarai.lg.jp/wp/wp-content/uploads/2023/07/%E5%A4%A7%E6%B4%97%E7%94%BA%E5%9C%B0%E5%9F%9F%E5%85%AC%E5%85%B1%E4%BA%A4%E9%80%9A%E8%A8%88%E7%94%BB.pdf</t>
        </is>
      </c>
      <c r="L37" s="11" t="inlineStr">
        <is>
          <t>第2次大洗町環境基本計画</t>
        </is>
      </c>
      <c r="M37" s="11" t="inlineStr">
        <is>
          <t>R1〜R10</t>
        </is>
      </c>
      <c r="N37" s="13" t="n">
        <v>10</v>
      </c>
      <c r="O37" s="13" t="inlineStr">
        <is>
          <t>確認済</t>
        </is>
      </c>
      <c r="P37" s="13" t="inlineStr">
        <is>
          <t>未確認</t>
        </is>
      </c>
      <c r="Q37" s="14" t="inlineStr">
        <is>
          <t>https://www.town.oarai.lg.jp/wp/wp-content/uploads/2021/03/%E7%AC%AC2%E6%AC%A1%E5%A4%A7%E6%B4%97%E7%94%BA%E7%92%B0%E5%A2%83%E5%9F%BA%E6%9C%AC%E8%A8%88%E7%94%BB%EF%BC%88PDF%EF%BC%89.pdf</t>
        </is>
      </c>
      <c r="R37" s="11" t="inlineStr">
        <is>
          <t>交通計画は2024年3月策定（期間はR6〜R10と推定、本文未確認）。町循環バス再編に伴い計画一部改定（案）のパブコメ実施・結果公表済、R8.10.1施行予定 https://www.town.oarai.lg.jp/cat1/koutsuu/ooaraimachichiikikoukyoukoutuukaigi/32819/ 。環境基本計画は第2次（2019.3策定、R1〜R10）で次期作業は未確認。</t>
        </is>
      </c>
      <c r="S37" s="15" t="inlineStr">
        <is>
          <t>調査済</t>
        </is>
      </c>
    </row>
    <row r="38">
      <c r="A38" s="11" t="n">
        <v>35</v>
      </c>
      <c r="B38" s="11" t="inlineStr">
        <is>
          <t>城里町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城里町地域公共交通計画</t>
        </is>
      </c>
      <c r="G38" s="11" t="inlineStr">
        <is>
          <t>R8〜R12</t>
        </is>
      </c>
      <c r="H38" s="16" t="n">
        <v>12</v>
      </c>
      <c r="I38" s="13" t="inlineStr">
        <is>
          <t>推定</t>
        </is>
      </c>
      <c r="J38" s="13" t="inlineStr">
        <is>
          <t>策定済</t>
        </is>
      </c>
      <c r="K38" s="14" t="inlineStr">
        <is>
          <t>https://www.town.shirosato.lg.jp/page/page006784.html</t>
        </is>
      </c>
      <c r="L38" s="11" t="inlineStr">
        <is>
          <t>城里町環境基本計画</t>
        </is>
      </c>
      <c r="M38" s="11" t="inlineStr">
        <is>
          <t>R3〜R12</t>
        </is>
      </c>
      <c r="N38" s="16" t="n">
        <v>12</v>
      </c>
      <c r="O38" s="13" t="inlineStr">
        <is>
          <t>推定</t>
        </is>
      </c>
      <c r="P38" s="13" t="inlineStr">
        <is>
          <t>未確認</t>
        </is>
      </c>
      <c r="Q38" s="14" t="inlineStr">
        <is>
          <t>https://www.town.shirosato.lg.jp/data/doc/1630301878_doc_711_0.pdf</t>
        </is>
      </c>
      <c r="R38" s="11" t="inlineStr">
        <is>
          <t>旧網形成計画（H28策定）がR7年度で満了したため、新しい地域公共交通計画を策定・公表済（期間R8〜R12はまだ推定） https://www.town.shirosato.lg.jp/page/page006764.html 。国交省関東運輸局の計画策定事業リストにも掲載あり https://wwwtb.mlit.go.jp/kanto/content/000322403.pdf 。環境基本計画はR3.3策定（期間R3〜R12は推定）。</t>
        </is>
      </c>
      <c r="S38" s="15" t="inlineStr">
        <is>
          <t>調査済</t>
        </is>
      </c>
    </row>
    <row r="39">
      <c r="A39" s="11" t="n">
        <v>36</v>
      </c>
      <c r="B39" s="11" t="inlineStr">
        <is>
          <t>東海村</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東海村地域公共交通計画</t>
        </is>
      </c>
      <c r="G39" s="11" t="inlineStr">
        <is>
          <t>不明</t>
        </is>
      </c>
      <c r="H39" s="13" t="n"/>
      <c r="I39" s="13" t="inlineStr">
        <is>
          <t>不明</t>
        </is>
      </c>
      <c r="J39" s="13" t="inlineStr">
        <is>
          <t>未確認</t>
        </is>
      </c>
      <c r="K39" s="14" t="inlineStr">
        <is>
          <t>https://www.vill.tokai.ibaraki.jp/soshikikarasagasu/sangyobu/sangyoseisakuka/1/1_2/2/5673.html</t>
        </is>
      </c>
      <c r="L39" s="11" t="inlineStr">
        <is>
          <t>第4次東海村環境基本計画</t>
        </is>
      </c>
      <c r="M39" s="11" t="inlineStr">
        <is>
          <t>R8〜R17</t>
        </is>
      </c>
      <c r="N39" s="13" t="n">
        <v>17</v>
      </c>
      <c r="O39" s="13" t="inlineStr">
        <is>
          <t>確認済</t>
        </is>
      </c>
      <c r="P39" s="13" t="inlineStr">
        <is>
          <t>策定済</t>
        </is>
      </c>
      <c r="Q39" s="14" t="inlineStr">
        <is>
          <t>https://www.vill.tokai.ibaraki.jp/soshikikarasagasu/somminseikatsubu/kankyoseisakuka/1/1/4/11386.html</t>
        </is>
      </c>
      <c r="R39" s="11" t="inlineStr">
        <is>
          <t>交通計画はR3年2月にパブコメを行い策定。期間は未確認（旧網形成計画はH27〜H32）。第3次環境基本計画はR3〜R7で満了。第4次（R8〜R17）の案内ページあり https://www.vill.tokai.ibaraki.jp/soshikikarasagasu/somminseikatsubu/kankyoseisakuka/1/1/4/11386.html 。策定済と判断したが、策定時期は要確認。</t>
        </is>
      </c>
      <c r="S39" s="15" t="inlineStr">
        <is>
          <t>調査済</t>
        </is>
      </c>
    </row>
    <row r="40">
      <c r="A40" s="11" t="n">
        <v>37</v>
      </c>
      <c r="B40" s="11" t="inlineStr">
        <is>
          <t>大子町</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n"/>
      <c r="G40" s="11" t="inlineStr">
        <is>
          <t>不明</t>
        </is>
      </c>
      <c r="H40" s="13" t="n"/>
      <c r="I40" s="13" t="inlineStr">
        <is>
          <t>不明</t>
        </is>
      </c>
      <c r="J40" s="13" t="inlineStr">
        <is>
          <t>未確認</t>
        </is>
      </c>
      <c r="K40" s="11" t="n"/>
      <c r="L40" s="11" t="n"/>
      <c r="M40" s="11" t="inlineStr">
        <is>
          <t>不明</t>
        </is>
      </c>
      <c r="N40" s="13" t="n"/>
      <c r="O40" s="13" t="inlineStr">
        <is>
          <t>不明</t>
        </is>
      </c>
      <c r="P40" s="13" t="inlineStr">
        <is>
          <t>未確認</t>
        </is>
      </c>
      <c r="Q40" s="11" t="n"/>
      <c r="R40" s="11" t="inlineStr">
        <is>
          <t>検索では町独自の地域公共交通計画・環境基本計画とも確認できず（町サイトはインデックス少）。環境関連は循環型社会形成推進地域計画(H29〜R3)のみ確認 https://www.env.go.jp/recycle/waste/3r_network/5_region/project_list/08_ibaraki/10_daigo_h29.pdf 。環境基本計画は未策定の可能性。要町サイト直接確認。</t>
        </is>
      </c>
      <c r="S40" s="17" t="inlineStr">
        <is>
          <t>未調査</t>
        </is>
      </c>
    </row>
    <row r="41">
      <c r="A41" s="11" t="n">
        <v>38</v>
      </c>
      <c r="B41" s="11" t="inlineStr">
        <is>
          <t>美浦村</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n"/>
      <c r="G41" s="11" t="inlineStr">
        <is>
          <t>不明</t>
        </is>
      </c>
      <c r="H41" s="13" t="n"/>
      <c r="I41" s="13" t="inlineStr">
        <is>
          <t>不明</t>
        </is>
      </c>
      <c r="J41" s="13" t="inlineStr">
        <is>
          <t>未確認</t>
        </is>
      </c>
      <c r="K41" s="11" t="n"/>
      <c r="L41" s="11" t="n"/>
      <c r="M41" s="11" t="inlineStr">
        <is>
          <t>不明</t>
        </is>
      </c>
      <c r="N41" s="13" t="n"/>
      <c r="O41" s="13" t="inlineStr">
        <is>
          <t>不明</t>
        </is>
      </c>
      <c r="P41" s="13" t="inlineStr">
        <is>
          <t>未確認</t>
        </is>
      </c>
      <c r="Q41" s="11" t="n"/>
      <c r="R41" s="11" t="inlineStr">
        <is>
          <t>村独自の地域公共交通計画・環境基本計画とも検索で確認できず（「美浦村環境基本計画」ヒットなし、未策定の可能性）。要村サイト直接確認。</t>
        </is>
      </c>
      <c r="S41" s="17" t="inlineStr">
        <is>
          <t>未調査</t>
        </is>
      </c>
    </row>
    <row r="42">
      <c r="A42" s="11" t="n">
        <v>39</v>
      </c>
      <c r="B42" s="11" t="inlineStr">
        <is>
          <t>阿見町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阿見町地域公共交通計画</t>
        </is>
      </c>
      <c r="G42" s="11" t="inlineStr">
        <is>
          <t>R5〜R9</t>
        </is>
      </c>
      <c r="H42" s="13" t="n">
        <v>9</v>
      </c>
      <c r="I42" s="13" t="inlineStr">
        <is>
          <t>確認済</t>
        </is>
      </c>
      <c r="J42" s="13" t="inlineStr">
        <is>
          <t>未確認</t>
        </is>
      </c>
      <c r="K42" s="14" t="inlineStr">
        <is>
          <t>https://www.town.ami.lg.jp/cmsfiles/contents/0000009/9640/keikaku.pdf</t>
        </is>
      </c>
      <c r="L42" s="11" t="inlineStr">
        <is>
          <t>第2次阿見町環境基本計画</t>
        </is>
      </c>
      <c r="M42" s="11" t="inlineStr">
        <is>
          <t>R3〜R12</t>
        </is>
      </c>
      <c r="N42" s="13" t="n">
        <v>12</v>
      </c>
      <c r="O42" s="13" t="inlineStr">
        <is>
          <t>確認済</t>
        </is>
      </c>
      <c r="P42" s="13" t="inlineStr">
        <is>
          <t>未確認</t>
        </is>
      </c>
      <c r="Q42" s="14" t="inlineStr">
        <is>
          <t>https://www.town.ami.lg.jp/cmsfiles/contents/0000012/12659/1syou.pdf</t>
        </is>
      </c>
      <c r="R42" s="11" t="inlineStr">
        <is>
          <t>交通計画はR5.2策定・R5〜R9年度でR9終了＝次期計画はR8〜R9に策定作業が必要。R8第1回活性化協議会(2026/6/1)資料 https://www.town.ami.lg.jp/cmsfiles/contents/0000009/9640/R8_dai1kaikyougikai_siryo.pdf ・会議録 R8_dai1kai_kaigiroku.pdf の検索要約ではR9確保維持事業計画が議題で、次期計画策定の明記は確認できず（資料内に含まれる可能性大、要確認）。環境基本計画は第1次がR3.3終了、第2次はR3年度から10年間。</t>
        </is>
      </c>
      <c r="S42" s="15" t="inlineStr">
        <is>
          <t>調査済</t>
        </is>
      </c>
    </row>
    <row r="43">
      <c r="A43" s="11" t="n">
        <v>40</v>
      </c>
      <c r="B43" s="11" t="inlineStr">
        <is>
          <t>河内町</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n"/>
      <c r="G43" s="11" t="inlineStr">
        <is>
          <t>不明</t>
        </is>
      </c>
      <c r="H43" s="13" t="n"/>
      <c r="I43" s="13" t="inlineStr">
        <is>
          <t>不明</t>
        </is>
      </c>
      <c r="J43" s="13" t="inlineStr">
        <is>
          <t>未確認</t>
        </is>
      </c>
      <c r="K43" s="11" t="n"/>
      <c r="L43" s="11" t="n"/>
      <c r="M43" s="11" t="inlineStr">
        <is>
          <t>不明</t>
        </is>
      </c>
      <c r="N43" s="13" t="n"/>
      <c r="O43" s="13" t="inlineStr">
        <is>
          <t>不明</t>
        </is>
      </c>
      <c r="P43" s="13" t="inlineStr">
        <is>
          <t>未確認</t>
        </is>
      </c>
      <c r="Q43" s="11" t="n"/>
      <c r="R43" s="11" t="inlineStr">
        <is>
          <t>町独自の地域公共交通計画・環境基本計画とも検索で確認できず（県計画・地域再生計画のみヒット）。未策定の可能性。大阪府河内長野市等の誤ヒットに注意。</t>
        </is>
      </c>
      <c r="S43" s="17" t="inlineStr">
        <is>
          <t>未調査</t>
        </is>
      </c>
    </row>
    <row r="44">
      <c r="A44" s="11" t="n">
        <v>41</v>
      </c>
      <c r="B44" s="11" t="inlineStr">
        <is>
          <t>八千代町</t>
        </is>
      </c>
      <c r="C44" s="12">
        <f>IF(OR(D44="◎",E44="◎"),"◎ 営業",IF(OR(D44="△",E44="△"),"△ 着手済・要確認",IF(OR(D44="？",E44="？"),"？ 期間要確認","✕ 対象外")))</f>
        <v/>
      </c>
      <c r="D44" s="13">
        <f>IF(J44="計画なし","－",IF(J44="策定済","✕",IF(H44="","？",IF(AND(H44&gt;='集計・設定'!$C$4,H44&lt;='集計・設定'!$C$5),IF(J44="着手済","△","◎"),"✕"))))</f>
        <v/>
      </c>
      <c r="E44" s="13">
        <f>IF(P44="計画なし","－",IF(P44="策定済","✕",IF(N44="","？",IF(AND(N44&gt;='集計・設定'!$C$4,N44&lt;='集計・設定'!$C$5),IF(P44="着手済","△","◎"),"✕"))))</f>
        <v/>
      </c>
      <c r="F44" s="11" t="inlineStr">
        <is>
          <t>八千代町地域公共交通計画（策定事業・名称未確認）</t>
        </is>
      </c>
      <c r="G44" s="11" t="inlineStr">
        <is>
          <t>不明</t>
        </is>
      </c>
      <c r="H44" s="13" t="n"/>
      <c r="I44" s="13" t="inlineStr">
        <is>
          <t>不明</t>
        </is>
      </c>
      <c r="J44" s="13" t="inlineStr">
        <is>
          <t>着手済</t>
        </is>
      </c>
      <c r="K44" s="11" t="n"/>
      <c r="L44" s="11" t="n"/>
      <c r="M44" s="11" t="inlineStr">
        <is>
          <t>不明</t>
        </is>
      </c>
      <c r="N44" s="13" t="n"/>
      <c r="O44" s="13" t="inlineStr">
        <is>
          <t>不明</t>
        </is>
      </c>
      <c r="P44" s="13" t="inlineStr">
        <is>
          <t>未確認</t>
        </is>
      </c>
      <c r="Q44" s="11" t="n"/>
      <c r="R44" s="11" t="inlineStr">
        <is>
          <t>関東運輸局「地域公共交通計画策定事業」一覧に八千代町公共交通会議が掲載 https://wwwtb.mlit.go.jp/kanto/content/000322403.pdf（R6.1頃）→計画策定作業中または策定済の可能性。計画期間・本文URLは未確認。千葉県八千代市（計画R6〜R10）の誤ヒット多数に注意。環境基本計画は検索で確認できず。</t>
        </is>
      </c>
      <c r="S44" s="17" t="inlineStr">
        <is>
          <t>交通のみ調査</t>
        </is>
      </c>
    </row>
    <row r="45">
      <c r="A45" s="11" t="n">
        <v>42</v>
      </c>
      <c r="B45" s="11" t="inlineStr">
        <is>
          <t>五霞町</t>
        </is>
      </c>
      <c r="C45" s="12">
        <f>IF(OR(D45="◎",E45="◎"),"◎ 営業",IF(OR(D45="△",E45="△"),"△ 着手済・要確認",IF(OR(D45="？",E45="？"),"？ 期間要確認","✕ 対象外")))</f>
        <v/>
      </c>
      <c r="D45" s="13">
        <f>IF(J45="計画なし","－",IF(J45="策定済","✕",IF(H45="","？",IF(AND(H45&gt;='集計・設定'!$C$4,H45&lt;='集計・設定'!$C$5),IF(J45="着手済","△","◎"),"✕"))))</f>
        <v/>
      </c>
      <c r="E45" s="13">
        <f>IF(P45="計画なし","－",IF(P45="策定済","✕",IF(N45="","？",IF(AND(N45&gt;='集計・設定'!$C$4,N45&lt;='集計・設定'!$C$5),IF(P45="着手済","△","◎"),"✕"))))</f>
        <v/>
      </c>
      <c r="F45" s="11" t="inlineStr">
        <is>
          <t>五霞町地域公共交通計画</t>
        </is>
      </c>
      <c r="G45" s="11" t="inlineStr">
        <is>
          <t>R5〜R9</t>
        </is>
      </c>
      <c r="H45" s="16" t="n">
        <v>9</v>
      </c>
      <c r="I45" s="13" t="inlineStr">
        <is>
          <t>推定</t>
        </is>
      </c>
      <c r="J45" s="13" t="inlineStr">
        <is>
          <t>未確認</t>
        </is>
      </c>
      <c r="K45" s="14" t="inlineStr">
        <is>
          <t>https://www.town.goka.lg.jp/data/doc/1690350530_doc_20_0.pdf</t>
        </is>
      </c>
      <c r="L45" s="11" t="inlineStr">
        <is>
          <t>五霞町環境基本計画（改定版）</t>
        </is>
      </c>
      <c r="M45" s="11" t="inlineStr">
        <is>
          <t>R5〜R14</t>
        </is>
      </c>
      <c r="N45" s="13" t="n">
        <v>14</v>
      </c>
      <c r="O45" s="13" t="inlineStr">
        <is>
          <t>確認済</t>
        </is>
      </c>
      <c r="P45" s="13" t="inlineStr">
        <is>
          <t>未確認</t>
        </is>
      </c>
      <c r="Q45" s="14" t="inlineStr">
        <is>
          <t>https://www.town.goka.lg.jp/data/doc/1684388643_doc_20_0.pdf</t>
        </is>
      </c>
      <c r="R45" s="11" t="inlineStr">
        <is>
          <t>交通計画はR5.3策定・R6.5変更（変更版とみられるPDF https://www.town.goka.lg.jp/data/doc/1737593680_doc_20_0.pdf ）。期間は5年と推定しR9終了の可能性→要確認。前身はH26網形成計画。環境基本計画はH25版を改定しR5〜R14の10年間（検索要約で確認、根拠PDFはgoka.lg.jp内の候補の一つで特定不十分）。</t>
        </is>
      </c>
      <c r="S45" s="15" t="inlineStr">
        <is>
          <t>調査済</t>
        </is>
      </c>
    </row>
    <row r="46">
      <c r="A46" s="11" t="n">
        <v>43</v>
      </c>
      <c r="B46" s="11" t="inlineStr">
        <is>
          <t>境町</t>
        </is>
      </c>
      <c r="C46" s="12">
        <f>IF(OR(D46="◎",E46="◎"),"◎ 営業",IF(OR(D46="△",E46="△"),"△ 着手済・要確認",IF(OR(D46="？",E46="？"),"？ 期間要確認","✕ 対象外")))</f>
        <v/>
      </c>
      <c r="D46" s="13">
        <f>IF(J46="計画なし","－",IF(J46="策定済","✕",IF(H46="","？",IF(AND(H46&gt;='集計・設定'!$C$4,H46&lt;='集計・設定'!$C$5),IF(J46="着手済","△","◎"),"✕"))))</f>
        <v/>
      </c>
      <c r="E46" s="13">
        <f>IF(P46="計画なし","－",IF(P46="策定済","✕",IF(N46="","？",IF(AND(N46&gt;='集計・設定'!$C$4,N46&lt;='集計・設定'!$C$5),IF(P46="着手済","△","◎"),"✕"))))</f>
        <v/>
      </c>
      <c r="F46" s="11" t="n"/>
      <c r="G46" s="11" t="inlineStr">
        <is>
          <t>不明</t>
        </is>
      </c>
      <c r="H46" s="13" t="n"/>
      <c r="I46" s="13" t="inlineStr">
        <is>
          <t>不明</t>
        </is>
      </c>
      <c r="J46" s="13" t="inlineStr">
        <is>
          <t>未確認</t>
        </is>
      </c>
      <c r="K46" s="11" t="n"/>
      <c r="L46" s="11" t="n"/>
      <c r="M46" s="11" t="inlineStr">
        <is>
          <t>不明</t>
        </is>
      </c>
      <c r="N46" s="13" t="n"/>
      <c r="O46" s="13" t="inlineStr">
        <is>
          <t>不明</t>
        </is>
      </c>
      <c r="P46" s="13" t="inlineStr">
        <is>
          <t>未確認</t>
        </is>
      </c>
      <c r="Q46" s="11" t="n"/>
      <c r="R46" s="11" t="inlineStr">
        <is>
          <t>茨城県猿島郡境町。町独自の地域公共交通計画・環境基本計画とも検索で確認できず。自動運転バス定常運行(2020.11〜)の先進事例だが法定計画は未確認。鳥取県境港市・大阪府堺市の誤ヒットに注意。</t>
        </is>
      </c>
      <c r="S46" s="17" t="inlineStr">
        <is>
          <t>未調査</t>
        </is>
      </c>
    </row>
    <row r="47">
      <c r="A47" s="11" t="n">
        <v>44</v>
      </c>
      <c r="B47" s="11" t="inlineStr">
        <is>
          <t>利根町</t>
        </is>
      </c>
      <c r="C47" s="12">
        <f>IF(OR(D47="◎",E47="◎"),"◎ 営業",IF(OR(D47="△",E47="△"),"△ 着手済・要確認",IF(OR(D47="？",E47="？"),"？ 期間要確認","✕ 対象外")))</f>
        <v/>
      </c>
      <c r="D47" s="13">
        <f>IF(J47="計画なし","－",IF(J47="策定済","✕",IF(H47="","？",IF(AND(H47&gt;='集計・設定'!$C$4,H47&lt;='集計・設定'!$C$5),IF(J47="着手済","△","◎"),"✕"))))</f>
        <v/>
      </c>
      <c r="E47" s="13">
        <f>IF(P47="計画なし","－",IF(P47="策定済","✕",IF(N47="","？",IF(AND(N47&gt;='集計・設定'!$C$4,N47&lt;='集計・設定'!$C$5),IF(P47="着手済","△","◎"),"✕"))))</f>
        <v/>
      </c>
      <c r="F47" s="11" t="inlineStr">
        <is>
          <t>利根町地域公共交通計画（策定事業・名称未確認）</t>
        </is>
      </c>
      <c r="G47" s="11" t="inlineStr">
        <is>
          <t>不明</t>
        </is>
      </c>
      <c r="H47" s="13" t="n"/>
      <c r="I47" s="13" t="inlineStr">
        <is>
          <t>不明</t>
        </is>
      </c>
      <c r="J47" s="13" t="inlineStr">
        <is>
          <t>着手済</t>
        </is>
      </c>
      <c r="K47" s="11" t="n"/>
      <c r="L47" s="11" t="n"/>
      <c r="M47" s="11" t="inlineStr">
        <is>
          <t>不明</t>
        </is>
      </c>
      <c r="N47" s="13" t="n"/>
      <c r="O47" s="13" t="inlineStr">
        <is>
          <t>不明</t>
        </is>
      </c>
      <c r="P47" s="13" t="inlineStr">
        <is>
          <t>未確認</t>
        </is>
      </c>
      <c r="Q47" s="11" t="n"/>
      <c r="R47" s="11" t="inlineStr">
        <is>
          <t>関東運輸局「地域公共交通計画策定事業」一覧(R6.1.26付)に利根町地域公共交通活性化協議会が掲載 https://wwwtb.mlit.go.jp/kanto/content/000322403.pdf →R6〜R7頃に計画策定作業（策定済の可能性あり）。計画期間・本文URLは未確認。環境基本計画は検索で確認できず。</t>
        </is>
      </c>
      <c r="S47" s="17" t="inlineStr">
        <is>
          <t>交通のみ調査</t>
        </is>
      </c>
    </row>
  </sheetData>
  <autoFilter ref="A3:S47"/>
  <conditionalFormatting sqref="A4:S47">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47 P4:P47"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Q9" r:id="rId11"/>
    <hyperlink xmlns:r="http://schemas.openxmlformats.org/officeDocument/2006/relationships" ref="K10" r:id="rId12"/>
    <hyperlink xmlns:r="http://schemas.openxmlformats.org/officeDocument/2006/relationships" ref="Q10" r:id="rId13"/>
    <hyperlink xmlns:r="http://schemas.openxmlformats.org/officeDocument/2006/relationships" ref="K13" r:id="rId14"/>
    <hyperlink xmlns:r="http://schemas.openxmlformats.org/officeDocument/2006/relationships" ref="Q13" r:id="rId15"/>
    <hyperlink xmlns:r="http://schemas.openxmlformats.org/officeDocument/2006/relationships" ref="Q14" r:id="rId16"/>
    <hyperlink xmlns:r="http://schemas.openxmlformats.org/officeDocument/2006/relationships" ref="K15" r:id="rId17"/>
    <hyperlink xmlns:r="http://schemas.openxmlformats.org/officeDocument/2006/relationships" ref="Q15" r:id="rId18"/>
    <hyperlink xmlns:r="http://schemas.openxmlformats.org/officeDocument/2006/relationships" ref="K16" r:id="rId19"/>
    <hyperlink xmlns:r="http://schemas.openxmlformats.org/officeDocument/2006/relationships" ref="Q16" r:id="rId20"/>
    <hyperlink xmlns:r="http://schemas.openxmlformats.org/officeDocument/2006/relationships" ref="K17" r:id="rId21"/>
    <hyperlink xmlns:r="http://schemas.openxmlformats.org/officeDocument/2006/relationships" ref="Q17" r:id="rId22"/>
    <hyperlink xmlns:r="http://schemas.openxmlformats.org/officeDocument/2006/relationships" ref="K18" r:id="rId23"/>
    <hyperlink xmlns:r="http://schemas.openxmlformats.org/officeDocument/2006/relationships" ref="Q18" r:id="rId24"/>
    <hyperlink xmlns:r="http://schemas.openxmlformats.org/officeDocument/2006/relationships" ref="Q19" r:id="rId25"/>
    <hyperlink xmlns:r="http://schemas.openxmlformats.org/officeDocument/2006/relationships" ref="K20" r:id="rId26"/>
    <hyperlink xmlns:r="http://schemas.openxmlformats.org/officeDocument/2006/relationships" ref="Q20" r:id="rId27"/>
    <hyperlink xmlns:r="http://schemas.openxmlformats.org/officeDocument/2006/relationships" ref="K21" r:id="rId28"/>
    <hyperlink xmlns:r="http://schemas.openxmlformats.org/officeDocument/2006/relationships" ref="Q21" r:id="rId29"/>
    <hyperlink xmlns:r="http://schemas.openxmlformats.org/officeDocument/2006/relationships" ref="Q23" r:id="rId30"/>
    <hyperlink xmlns:r="http://schemas.openxmlformats.org/officeDocument/2006/relationships" ref="K24" r:id="rId31"/>
    <hyperlink xmlns:r="http://schemas.openxmlformats.org/officeDocument/2006/relationships" ref="Q24" r:id="rId32"/>
    <hyperlink xmlns:r="http://schemas.openxmlformats.org/officeDocument/2006/relationships" ref="Q25" r:id="rId33"/>
    <hyperlink xmlns:r="http://schemas.openxmlformats.org/officeDocument/2006/relationships" ref="K26" r:id="rId34"/>
    <hyperlink xmlns:r="http://schemas.openxmlformats.org/officeDocument/2006/relationships" ref="K27" r:id="rId35"/>
    <hyperlink xmlns:r="http://schemas.openxmlformats.org/officeDocument/2006/relationships" ref="Q27" r:id="rId36"/>
    <hyperlink xmlns:r="http://schemas.openxmlformats.org/officeDocument/2006/relationships" ref="K28" r:id="rId37"/>
    <hyperlink xmlns:r="http://schemas.openxmlformats.org/officeDocument/2006/relationships" ref="Q28" r:id="rId38"/>
    <hyperlink xmlns:r="http://schemas.openxmlformats.org/officeDocument/2006/relationships" ref="K29" r:id="rId39"/>
    <hyperlink xmlns:r="http://schemas.openxmlformats.org/officeDocument/2006/relationships" ref="Q29" r:id="rId40"/>
    <hyperlink xmlns:r="http://schemas.openxmlformats.org/officeDocument/2006/relationships" ref="K30" r:id="rId41"/>
    <hyperlink xmlns:r="http://schemas.openxmlformats.org/officeDocument/2006/relationships" ref="Q30" r:id="rId42"/>
    <hyperlink xmlns:r="http://schemas.openxmlformats.org/officeDocument/2006/relationships" ref="K31" r:id="rId43"/>
    <hyperlink xmlns:r="http://schemas.openxmlformats.org/officeDocument/2006/relationships" ref="Q31" r:id="rId44"/>
    <hyperlink xmlns:r="http://schemas.openxmlformats.org/officeDocument/2006/relationships" ref="Q32" r:id="rId45"/>
    <hyperlink xmlns:r="http://schemas.openxmlformats.org/officeDocument/2006/relationships" ref="Q33" r:id="rId46"/>
    <hyperlink xmlns:r="http://schemas.openxmlformats.org/officeDocument/2006/relationships" ref="Q34" r:id="rId47"/>
    <hyperlink xmlns:r="http://schemas.openxmlformats.org/officeDocument/2006/relationships" ref="Q35" r:id="rId48"/>
    <hyperlink xmlns:r="http://schemas.openxmlformats.org/officeDocument/2006/relationships" ref="Q36" r:id="rId49"/>
    <hyperlink xmlns:r="http://schemas.openxmlformats.org/officeDocument/2006/relationships" ref="K37" r:id="rId50"/>
    <hyperlink xmlns:r="http://schemas.openxmlformats.org/officeDocument/2006/relationships" ref="Q37" r:id="rId51"/>
    <hyperlink xmlns:r="http://schemas.openxmlformats.org/officeDocument/2006/relationships" ref="K38" r:id="rId52"/>
    <hyperlink xmlns:r="http://schemas.openxmlformats.org/officeDocument/2006/relationships" ref="Q38" r:id="rId53"/>
    <hyperlink xmlns:r="http://schemas.openxmlformats.org/officeDocument/2006/relationships" ref="K39" r:id="rId54"/>
    <hyperlink xmlns:r="http://schemas.openxmlformats.org/officeDocument/2006/relationships" ref="Q39" r:id="rId55"/>
    <hyperlink xmlns:r="http://schemas.openxmlformats.org/officeDocument/2006/relationships" ref="K42" r:id="rId56"/>
    <hyperlink xmlns:r="http://schemas.openxmlformats.org/officeDocument/2006/relationships" ref="Q42" r:id="rId57"/>
    <hyperlink xmlns:r="http://schemas.openxmlformats.org/officeDocument/2006/relationships" ref="K45" r:id="rId58"/>
    <hyperlink xmlns:r="http://schemas.openxmlformats.org/officeDocument/2006/relationships" ref="Q45" r:id="rId59"/>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栃木県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宇都宮市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芳賀・宇都宮地域公共交通計画（芳賀町と共同）</t>
        </is>
      </c>
      <c r="G4" s="11" t="inlineStr">
        <is>
          <t>R6〜R15</t>
        </is>
      </c>
      <c r="H4" s="13" t="n">
        <v>15</v>
      </c>
      <c r="I4" s="13" t="inlineStr">
        <is>
          <t>確認済</t>
        </is>
      </c>
      <c r="J4" s="13" t="inlineStr">
        <is>
          <t>未確認</t>
        </is>
      </c>
      <c r="K4" s="14" t="inlineStr">
        <is>
          <t>https://www.city.utsunomiya.lg.jp/_res/projects/default_project/_page_/001/035/885/chiikikeikaku.pdf</t>
        </is>
      </c>
      <c r="L4" s="11" t="inlineStr">
        <is>
          <t>第4次宇都宮市環境基本計画</t>
        </is>
      </c>
      <c r="M4" s="11" t="inlineStr">
        <is>
          <t>R8〜R12</t>
        </is>
      </c>
      <c r="N4" s="13" t="n">
        <v>12</v>
      </c>
      <c r="O4" s="13" t="inlineStr">
        <is>
          <t>確認済</t>
        </is>
      </c>
      <c r="P4" s="13" t="inlineStr">
        <is>
          <t>策定済</t>
        </is>
      </c>
      <c r="Q4" s="14" t="inlineStr">
        <is>
          <t>https://www.city.utsunomiya.lg.jp/_res/projects/default_project/_page_/001/045/465/4ji_sasshi.pdf</t>
        </is>
      </c>
      <c r="R4" s="11" t="inlineStr">
        <is>
          <t>環境：第4次をR8.3策定済（R7.6諮問）。交通：R15まで、改定の動きなし。</t>
        </is>
      </c>
      <c r="S4" s="15" t="inlineStr">
        <is>
          <t>調査済</t>
        </is>
      </c>
    </row>
    <row r="5">
      <c r="A5" s="11" t="n">
        <v>2</v>
      </c>
      <c r="B5" s="11" t="inlineStr">
        <is>
          <t>足利市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足利市地域公共交通計画</t>
        </is>
      </c>
      <c r="G5" s="11" t="inlineStr">
        <is>
          <t>R5〜R11</t>
        </is>
      </c>
      <c r="H5" s="13" t="n">
        <v>11</v>
      </c>
      <c r="I5" s="13" t="inlineStr">
        <is>
          <t>確認済</t>
        </is>
      </c>
      <c r="J5" s="13" t="inlineStr">
        <is>
          <t>未確認</t>
        </is>
      </c>
      <c r="K5" s="14" t="inlineStr">
        <is>
          <t>https://www.city.ashikaga.tochigi.jp/manage/contents/upload/64dc71a539bc0.pdf</t>
        </is>
      </c>
      <c r="L5" s="11" t="inlineStr">
        <is>
          <t>第3次足利市環境基本計画</t>
        </is>
      </c>
      <c r="M5" s="11" t="inlineStr">
        <is>
          <t>R4〜R11</t>
        </is>
      </c>
      <c r="N5" s="13" t="n">
        <v>11</v>
      </c>
      <c r="O5" s="13" t="inlineStr">
        <is>
          <t>確認済</t>
        </is>
      </c>
      <c r="P5" s="13" t="inlineStr">
        <is>
          <t>未確認</t>
        </is>
      </c>
      <c r="Q5" s="14" t="inlineStr">
        <is>
          <t>https://www.city.ashikaga.tochigi.jp/manage/contents/upload/633fd39cd506a.pdf</t>
        </is>
      </c>
      <c r="R5" s="11" t="inlineStr">
        <is>
          <t>どちらもR11まで。改定の動きは見つからず。</t>
        </is>
      </c>
      <c r="S5" s="15" t="inlineStr">
        <is>
          <t>調査済</t>
        </is>
      </c>
    </row>
    <row r="6">
      <c r="A6" s="11" t="n">
        <v>3</v>
      </c>
      <c r="B6" s="11" t="inlineStr">
        <is>
          <t>栃木市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栃木市地域公共交通計画（R6.6改定）</t>
        </is>
      </c>
      <c r="G6" s="11" t="inlineStr">
        <is>
          <t>R6.6〜R9</t>
        </is>
      </c>
      <c r="H6" s="13" t="n">
        <v>9</v>
      </c>
      <c r="I6" s="13" t="inlineStr">
        <is>
          <t>確認済</t>
        </is>
      </c>
      <c r="J6" s="13" t="inlineStr">
        <is>
          <t>未確認</t>
        </is>
      </c>
      <c r="K6" s="14" t="inlineStr">
        <is>
          <t>https://www.city.tochigi.lg.jp/uploaded/attachment/56361.pdf</t>
        </is>
      </c>
      <c r="L6" s="11" t="inlineStr">
        <is>
          <t>第2次栃木市環境基本計画</t>
        </is>
      </c>
      <c r="M6" s="11" t="inlineStr">
        <is>
          <t>R5〜R14</t>
        </is>
      </c>
      <c r="N6" s="13" t="n">
        <v>14</v>
      </c>
      <c r="O6" s="13" t="inlineStr">
        <is>
          <t>確認済</t>
        </is>
      </c>
      <c r="P6" s="13" t="inlineStr">
        <is>
          <t>未確認</t>
        </is>
      </c>
      <c r="Q6" s="14" t="inlineStr">
        <is>
          <t>https://www.city.tochigi.lg.jp/uploaded/attachment/60576.pdf</t>
        </is>
      </c>
      <c r="R6" s="11" t="inlineStr">
        <is>
          <t>交通：次期「第2次」をR10〜R14で予定。策定業務の公告はまだ見つからず。</t>
        </is>
      </c>
      <c r="S6" s="15" t="inlineStr">
        <is>
          <t>調査済</t>
        </is>
      </c>
    </row>
    <row r="7">
      <c r="A7" s="11" t="n">
        <v>4</v>
      </c>
      <c r="B7" s="11" t="inlineStr">
        <is>
          <t>佐野市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第2次佐野市地域公共交通計画</t>
        </is>
      </c>
      <c r="G7" s="11" t="inlineStr">
        <is>
          <t>R8〜R12</t>
        </is>
      </c>
      <c r="H7" s="13" t="n">
        <v>12</v>
      </c>
      <c r="I7" s="13" t="inlineStr">
        <is>
          <t>確認済</t>
        </is>
      </c>
      <c r="J7" s="13" t="inlineStr">
        <is>
          <t>策定済</t>
        </is>
      </c>
      <c r="K7" s="14" t="inlineStr">
        <is>
          <t>https://www.city.sano.lg.jp/material/files/group/1/koutuukeikaku2.pdf</t>
        </is>
      </c>
      <c r="L7" s="11" t="inlineStr">
        <is>
          <t>第2次佐野市環境基本計画（後期計画）</t>
        </is>
      </c>
      <c r="M7" s="11" t="inlineStr">
        <is>
          <t>R8〜R11</t>
        </is>
      </c>
      <c r="N7" s="13" t="n">
        <v>11</v>
      </c>
      <c r="O7" s="13" t="inlineStr">
        <is>
          <t>確認済</t>
        </is>
      </c>
      <c r="P7" s="13" t="inlineStr">
        <is>
          <t>策定済</t>
        </is>
      </c>
      <c r="Q7" s="14" t="inlineStr">
        <is>
          <t>https://www.city.sano.lg.jp/material/files/group/1/kankyoukouki2.pdf</t>
        </is>
      </c>
      <c r="R7" s="11" t="inlineStr">
        <is>
          <t>交通・環境とも新計画をR8.3策定済。</t>
        </is>
      </c>
      <c r="S7" s="15" t="inlineStr">
        <is>
          <t>調査済</t>
        </is>
      </c>
    </row>
    <row r="8">
      <c r="A8" s="11" t="n">
        <v>5</v>
      </c>
      <c r="B8" s="11" t="inlineStr">
        <is>
          <t>鹿沼市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鹿沼市地域公共交通計画</t>
        </is>
      </c>
      <c r="G8" s="11" t="inlineStr">
        <is>
          <t>R4〜R9</t>
        </is>
      </c>
      <c r="H8" s="13" t="n">
        <v>9</v>
      </c>
      <c r="I8" s="13" t="inlineStr">
        <is>
          <t>確認済</t>
        </is>
      </c>
      <c r="J8" s="13" t="inlineStr">
        <is>
          <t>未確認</t>
        </is>
      </c>
      <c r="K8" s="14" t="inlineStr">
        <is>
          <t>https://www.city.kanuma.tochigi.jp/manage/contents/upload/623824c0af645.pdf</t>
        </is>
      </c>
      <c r="L8" s="11" t="inlineStr">
        <is>
          <t>第5次鹿沼市環境基本計画</t>
        </is>
      </c>
      <c r="M8" s="11" t="inlineStr">
        <is>
          <t>R4〜R8</t>
        </is>
      </c>
      <c r="N8" s="13" t="n">
        <v>8</v>
      </c>
      <c r="O8" s="13" t="inlineStr">
        <is>
          <t>確認済</t>
        </is>
      </c>
      <c r="P8" s="13" t="inlineStr">
        <is>
          <t>未確認</t>
        </is>
      </c>
      <c r="Q8" s="14" t="inlineStr">
        <is>
          <t>https://www.city.kanuma.tochigi.jp/0097/info-0000007871-1.html</t>
        </is>
      </c>
      <c r="R8" s="11" t="inlineStr">
        <is>
          <t>環境は今年度（R8）で終了。第6次の業務委託・パブコメ等は見つからず（延長の可能性もあり、環境課に要確認）。交通は予約バス運行事業者選定プロポ（R9〜R11）のみ。</t>
        </is>
      </c>
      <c r="S8" s="15" t="inlineStr">
        <is>
          <t>調査済</t>
        </is>
      </c>
    </row>
    <row r="9">
      <c r="A9" s="11" t="n">
        <v>6</v>
      </c>
      <c r="B9" s="11" t="inlineStr">
        <is>
          <t>日光市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日光市地域公共交通計画</t>
        </is>
      </c>
      <c r="G9" s="11" t="inlineStr">
        <is>
          <t>R5.4〜R10.3</t>
        </is>
      </c>
      <c r="H9" s="13" t="n">
        <v>9</v>
      </c>
      <c r="I9" s="13" t="inlineStr">
        <is>
          <t>確認済</t>
        </is>
      </c>
      <c r="J9" s="13" t="inlineStr">
        <is>
          <t>未確認</t>
        </is>
      </c>
      <c r="K9" s="14" t="inlineStr">
        <is>
          <t>https://www.city.nikko.lg.jp/material/files/group/33/tiikikoukyoukoutuukeikaku.pdf</t>
        </is>
      </c>
      <c r="L9" s="11" t="inlineStr">
        <is>
          <t>第2次日光市環境基本計画（R1.12策定）</t>
        </is>
      </c>
      <c r="M9" s="11" t="inlineStr">
        <is>
          <t>R2〜R11（推定）</t>
        </is>
      </c>
      <c r="N9" s="16" t="n">
        <v>11</v>
      </c>
      <c r="O9" s="13" t="inlineStr">
        <is>
          <t>推定</t>
        </is>
      </c>
      <c r="P9" s="13" t="inlineStr">
        <is>
          <t>未確認</t>
        </is>
      </c>
      <c r="Q9" s="14" t="inlineStr">
        <is>
          <t>https://www.city.nikko.lg.jp/soshiki/6/1031/5/1/1/125.html</t>
        </is>
      </c>
      <c r="R9" s="11" t="inlineStr">
        <is>
          <t>交通：R8施政方針は現計画の継続のみ。次期計画の業務委託は見つからず。</t>
        </is>
      </c>
      <c r="S9" s="15" t="inlineStr">
        <is>
          <t>調査済</t>
        </is>
      </c>
    </row>
    <row r="10">
      <c r="A10" s="11" t="n">
        <v>7</v>
      </c>
      <c r="B10" s="11" t="inlineStr">
        <is>
          <t>小山市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小山市地域公共交通計画</t>
        </is>
      </c>
      <c r="G10" s="11" t="inlineStr">
        <is>
          <t>R5.10〜R8.9</t>
        </is>
      </c>
      <c r="H10" s="13" t="n">
        <v>8</v>
      </c>
      <c r="I10" s="13" t="inlineStr">
        <is>
          <t>確認済</t>
        </is>
      </c>
      <c r="J10" s="13" t="inlineStr">
        <is>
          <t>着手済</t>
        </is>
      </c>
      <c r="K10" s="14" t="inlineStr">
        <is>
          <t>https://www.city.oyama.tochigi.jp/o-bus/news/page011195.html</t>
        </is>
      </c>
      <c r="L10" s="11" t="inlineStr">
        <is>
          <t>第4次小山市環境基本計画</t>
        </is>
      </c>
      <c r="M10" s="11" t="inlineStr">
        <is>
          <t>R5〜R14</t>
        </is>
      </c>
      <c r="N10" s="13" t="n">
        <v>14</v>
      </c>
      <c r="O10" s="13" t="inlineStr">
        <is>
          <t>確認済</t>
        </is>
      </c>
      <c r="P10" s="13" t="inlineStr">
        <is>
          <t>未確認</t>
        </is>
      </c>
      <c r="Q10" s="14" t="inlineStr">
        <is>
          <t>https://www.city.oyama.tochigi.jp/data/doc/1700382745_doc_21_0.pdf</t>
        </is>
      </c>
      <c r="R10" s="11" t="inlineStr">
        <is>
          <t>【改定作業中】交通：改訂支援業務をR7.6に公告、R8.5〜6に案のパブコメ。次期計画はR8.10〜R14.3。委託先は決定済。</t>
        </is>
      </c>
      <c r="S10" s="15" t="inlineStr">
        <is>
          <t>調査済</t>
        </is>
      </c>
    </row>
    <row r="11">
      <c r="A11" s="11" t="n">
        <v>8</v>
      </c>
      <c r="B11" s="11" t="inlineStr">
        <is>
          <t>真岡市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真岡市地域公共交通計画（R8.3策定）</t>
        </is>
      </c>
      <c r="G11" s="11" t="inlineStr">
        <is>
          <t>R8〜R12</t>
        </is>
      </c>
      <c r="H11" s="13" t="n">
        <v>12</v>
      </c>
      <c r="I11" s="13" t="inlineStr">
        <is>
          <t>確認済</t>
        </is>
      </c>
      <c r="J11" s="13" t="inlineStr">
        <is>
          <t>策定済</t>
        </is>
      </c>
      <c r="K11" s="14" t="inlineStr">
        <is>
          <t>https://www.city.moka.lg.jp/material/files/group/47/kotsu_plan_r8.pdf</t>
        </is>
      </c>
      <c r="L11" s="11" t="inlineStr">
        <is>
          <t>第3次真岡市環境基本計画</t>
        </is>
      </c>
      <c r="M11" s="11" t="inlineStr">
        <is>
          <t>R8〜R17</t>
        </is>
      </c>
      <c r="N11" s="13" t="n">
        <v>17</v>
      </c>
      <c r="O11" s="13" t="inlineStr">
        <is>
          <t>確認済</t>
        </is>
      </c>
      <c r="P11" s="13" t="inlineStr">
        <is>
          <t>策定済</t>
        </is>
      </c>
      <c r="Q11" s="14" t="inlineStr">
        <is>
          <t>https://www.city.moka.lg.jp/material/files/group/22/20260416kankyougaiyouban.pdf</t>
        </is>
      </c>
      <c r="R11" s="11" t="inlineStr">
        <is>
          <t>交通・環境とも新計画をR8策定済。</t>
        </is>
      </c>
      <c r="S11" s="15" t="inlineStr">
        <is>
          <t>調査済</t>
        </is>
      </c>
    </row>
    <row r="12">
      <c r="A12" s="11" t="n">
        <v>9</v>
      </c>
      <c r="B12" s="11" t="inlineStr">
        <is>
          <t>大田原市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大田原市地域公共交通計画</t>
        </is>
      </c>
      <c r="G12" s="11" t="inlineStr">
        <is>
          <t>R4〜R9</t>
        </is>
      </c>
      <c r="H12" s="13" t="n">
        <v>9</v>
      </c>
      <c r="I12" s="13" t="inlineStr">
        <is>
          <t>確認済</t>
        </is>
      </c>
      <c r="J12" s="13" t="inlineStr">
        <is>
          <t>着手済</t>
        </is>
      </c>
      <c r="K12" s="14" t="inlineStr">
        <is>
          <t>https://www.city.ohtawara.tochigi.jp/docs/2026073100056</t>
        </is>
      </c>
      <c r="L12" s="11" t="inlineStr">
        <is>
          <t>大田原市環境基本計画（第三次計画）</t>
        </is>
      </c>
      <c r="M12" s="11" t="inlineStr">
        <is>
          <t>R8〜（終期はR17と推定）</t>
        </is>
      </c>
      <c r="N12" s="16" t="n">
        <v>17</v>
      </c>
      <c r="O12" s="13" t="inlineStr">
        <is>
          <t>推定</t>
        </is>
      </c>
      <c r="P12" s="13" t="inlineStr">
        <is>
          <t>策定済</t>
        </is>
      </c>
      <c r="Q12" s="14" t="inlineStr">
        <is>
          <t>https://www.city.ohtawara.tochigi.jp/docs/2026013000019</t>
        </is>
      </c>
      <c r="R12" s="11" t="inlineStr">
        <is>
          <t>【改定作業中】交通：次期計画（R10〜5年間）の策定調査業務の公募型プロポを2026-07-31に公告。環境：第三次をR8策定済。</t>
        </is>
      </c>
      <c r="S12" s="15" t="inlineStr">
        <is>
          <t>調査済</t>
        </is>
      </c>
    </row>
    <row r="13">
      <c r="A13" s="11" t="n">
        <v>10</v>
      </c>
      <c r="B13" s="11" t="inlineStr">
        <is>
          <t>矢板市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矢板市地域公共交通計画（R8.4策定）</t>
        </is>
      </c>
      <c r="G13" s="11" t="inlineStr">
        <is>
          <t>R8〜（終期不明）</t>
        </is>
      </c>
      <c r="H13" s="13" t="n"/>
      <c r="I13" s="13" t="inlineStr">
        <is>
          <t>不明</t>
        </is>
      </c>
      <c r="J13" s="13" t="inlineStr">
        <is>
          <t>策定済</t>
        </is>
      </c>
      <c r="K13" s="14" t="inlineStr">
        <is>
          <t>https://www.city.yaita.tochigi.jp/soshiki/toshiseibi/koukyoukoutsu-plan.html</t>
        </is>
      </c>
      <c r="L13" s="11" t="inlineStr">
        <is>
          <t>矢板市環境基本計画（R4.3策定）</t>
        </is>
      </c>
      <c r="M13" s="11" t="inlineStr">
        <is>
          <t>R4〜（終期不明）</t>
        </is>
      </c>
      <c r="N13" s="13" t="n"/>
      <c r="O13" s="13" t="inlineStr">
        <is>
          <t>不明</t>
        </is>
      </c>
      <c r="P13" s="13" t="inlineStr">
        <is>
          <t>未確認</t>
        </is>
      </c>
      <c r="Q13" s="14" t="inlineStr">
        <is>
          <t>https://www.city.yaita.tochigi.jp/soshiki/seikatsukankyou/kankyo-kihon.html</t>
        </is>
      </c>
      <c r="R13" s="11" t="inlineStr">
        <is>
          <t>交通：新計画をR8.4策定済。環境：期間を確認できず（温暖化対策は別の気候変動対策計画 R5〜R13）。</t>
        </is>
      </c>
      <c r="S13" s="15" t="inlineStr">
        <is>
          <t>調査済</t>
        </is>
      </c>
    </row>
    <row r="14">
      <c r="A14" s="11" t="n">
        <v>11</v>
      </c>
      <c r="B14" s="11" t="inlineStr">
        <is>
          <t>那須塩原市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第2次那須塩原市地域公共交通計画／那須地域定住自立圏計画</t>
        </is>
      </c>
      <c r="G14" s="11" t="inlineStr">
        <is>
          <t>R5〜R9</t>
        </is>
      </c>
      <c r="H14" s="13" t="n">
        <v>9</v>
      </c>
      <c r="I14" s="13" t="inlineStr">
        <is>
          <t>確認済</t>
        </is>
      </c>
      <c r="J14" s="13" t="inlineStr">
        <is>
          <t>未確認</t>
        </is>
      </c>
      <c r="K14" s="14" t="inlineStr">
        <is>
          <t>https://www.city.nasushiobara.tochigi.jp/material/files/group/15/nasushiobaracity_2nd_publictransportation.pdf</t>
        </is>
      </c>
      <c r="L14" s="11" t="inlineStr">
        <is>
          <t>第2期那須塩原市環境基本計画【改定版】</t>
        </is>
      </c>
      <c r="M14" s="11" t="inlineStr">
        <is>
          <t>H29〜R12（延長）</t>
        </is>
      </c>
      <c r="N14" s="13" t="n">
        <v>12</v>
      </c>
      <c r="O14" s="13" t="inlineStr">
        <is>
          <t>確認済</t>
        </is>
      </c>
      <c r="P14" s="13" t="inlineStr">
        <is>
          <t>策定済</t>
        </is>
      </c>
      <c r="Q14" s="14" t="inlineStr">
        <is>
          <t>https://www.city.nasushiobara.tochigi.jp/material/files/group/13/dai2ki_kankyokihonkeikaku_an.pdf</t>
        </is>
      </c>
      <c r="R14" s="11" t="inlineStr">
        <is>
          <t>環境：改定版で終期をR9からR12へ延長（R7.11審議会報告。最終策定は要確認）。交通：第3次の策定業務は見つからず。定住自立圏計画（4市町共同）もR9で終了。</t>
        </is>
      </c>
      <c r="S14" s="15" t="inlineStr">
        <is>
          <t>調査済</t>
        </is>
      </c>
    </row>
    <row r="15">
      <c r="A15" s="11" t="n">
        <v>12</v>
      </c>
      <c r="B15" s="11" t="inlineStr">
        <is>
          <t>さくら市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さくら市地域公共交通計画（R6.3策定）</t>
        </is>
      </c>
      <c r="G15" s="11" t="inlineStr">
        <is>
          <t>R6〜R10（推定）</t>
        </is>
      </c>
      <c r="H15" s="16" t="n">
        <v>10</v>
      </c>
      <c r="I15" s="13" t="inlineStr">
        <is>
          <t>推定</t>
        </is>
      </c>
      <c r="J15" s="13" t="inlineStr">
        <is>
          <t>未確認</t>
        </is>
      </c>
      <c r="K15" s="14" t="inlineStr">
        <is>
          <t>https://www.city.tochigi-sakura.lg.jp/life/000017/p003140.html</t>
        </is>
      </c>
      <c r="L15" s="11" t="inlineStr">
        <is>
          <t>第2次さくら市環境基本計画</t>
        </is>
      </c>
      <c r="M15" s="11" t="inlineStr">
        <is>
          <t>H30〜R9</t>
        </is>
      </c>
      <c r="N15" s="13" t="n">
        <v>9</v>
      </c>
      <c r="O15" s="13" t="inlineStr">
        <is>
          <t>確認済</t>
        </is>
      </c>
      <c r="P15" s="13" t="inlineStr">
        <is>
          <t>未確認</t>
        </is>
      </c>
      <c r="Q15" s="14" t="inlineStr">
        <is>
          <t>https://www.city.tochigi-sakura.lg.jp/life/000014/000121/000403/p001957.html</t>
        </is>
      </c>
      <c r="R15" s="11" t="inlineStr">
        <is>
          <t>環境はR9で終了。第3次の業務委託・アンケートは見つからず。</t>
        </is>
      </c>
      <c r="S15" s="15" t="inlineStr">
        <is>
          <t>調査済</t>
        </is>
      </c>
    </row>
    <row r="16">
      <c r="A16" s="11" t="n">
        <v>13</v>
      </c>
      <c r="B16" s="11" t="inlineStr">
        <is>
          <t>那須烏山市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那須烏山市地域公共交通計画</t>
        </is>
      </c>
      <c r="G16" s="11" t="inlineStr">
        <is>
          <t>R3〜R7（推定）</t>
        </is>
      </c>
      <c r="H16" s="16" t="n">
        <v>7</v>
      </c>
      <c r="I16" s="13" t="inlineStr">
        <is>
          <t>推定</t>
        </is>
      </c>
      <c r="J16" s="13" t="inlineStr">
        <is>
          <t>未確認</t>
        </is>
      </c>
      <c r="K16" s="14" t="inlineStr">
        <is>
          <t>https://www.city.nasukarasuyama.lg.jp/page/page000722.html</t>
        </is>
      </c>
      <c r="L16" s="11" t="inlineStr">
        <is>
          <t>第2次那須烏山市環境基本計画（R4頃策定）</t>
        </is>
      </c>
      <c r="M16" s="11" t="inlineStr">
        <is>
          <t>不明</t>
        </is>
      </c>
      <c r="N16" s="13" t="n"/>
      <c r="O16" s="13" t="inlineStr">
        <is>
          <t>不明</t>
        </is>
      </c>
      <c r="P16" s="13" t="inlineStr">
        <is>
          <t>未確認</t>
        </is>
      </c>
      <c r="Q16" s="14" t="inlineStr">
        <is>
          <t>https://www.city.nasukarasuyama.lg.jp/page/page000773.html</t>
        </is>
      </c>
      <c r="R16" s="11" t="inlineStr">
        <is>
          <t>交通：R7で終了とみられるが、次の計画の状況（策定済・延長・作業中）を確認できず。直接確認が必要。</t>
        </is>
      </c>
      <c r="S16" s="15" t="inlineStr">
        <is>
          <t>調査済</t>
        </is>
      </c>
    </row>
    <row r="17">
      <c r="A17" s="11" t="n">
        <v>14</v>
      </c>
      <c r="B17" s="11" t="inlineStr">
        <is>
          <t>下野市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下野市地域公共交通計画（R8.3策定）</t>
        </is>
      </c>
      <c r="G17" s="11" t="inlineStr">
        <is>
          <t>R8〜R12（推定）</t>
        </is>
      </c>
      <c r="H17" s="16" t="n">
        <v>12</v>
      </c>
      <c r="I17" s="13" t="inlineStr">
        <is>
          <t>推定</t>
        </is>
      </c>
      <c r="J17" s="13" t="inlineStr">
        <is>
          <t>策定済</t>
        </is>
      </c>
      <c r="K17" s="14" t="inlineStr">
        <is>
          <t>https://www.city.shimotsuke.lg.jp/0170/info-0000005122-3.html</t>
        </is>
      </c>
      <c r="L17" s="11" t="inlineStr">
        <is>
          <t>第2次下野市環境基本計画</t>
        </is>
      </c>
      <c r="M17" s="11" t="inlineStr">
        <is>
          <t>不明</t>
        </is>
      </c>
      <c r="N17" s="13" t="n"/>
      <c r="O17" s="13" t="inlineStr">
        <is>
          <t>不明</t>
        </is>
      </c>
      <c r="P17" s="13" t="inlineStr">
        <is>
          <t>未確認</t>
        </is>
      </c>
      <c r="Q17" s="14" t="inlineStr">
        <is>
          <t>https://www.city.shimotsuke.lg.jp/office0109/section-3.html</t>
        </is>
      </c>
      <c r="R17" s="11" t="inlineStr">
        <is>
          <t>交通：新計画をR8.3策定済。環境：期間を確認できず。</t>
        </is>
      </c>
      <c r="S17" s="15" t="inlineStr">
        <is>
          <t>調査済</t>
        </is>
      </c>
    </row>
    <row r="18">
      <c r="A18" s="11" t="n">
        <v>15</v>
      </c>
      <c r="B18" s="11" t="inlineStr">
        <is>
          <t>上三川町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上三川町地域公共交通計画（R4.6改定）</t>
        </is>
      </c>
      <c r="G18" s="11" t="inlineStr">
        <is>
          <t>H30〜（終期不明）</t>
        </is>
      </c>
      <c r="H18" s="13" t="n"/>
      <c r="I18" s="13" t="inlineStr">
        <is>
          <t>不明</t>
        </is>
      </c>
      <c r="J18" s="13" t="inlineStr">
        <is>
          <t>未確認</t>
        </is>
      </c>
      <c r="K18" s="14" t="inlineStr">
        <is>
          <t>https://www.town.kaminokawa.lg.jp/0166/info-0000001338-0.html</t>
        </is>
      </c>
      <c r="L18" s="11" t="inlineStr">
        <is>
          <t>（環境基本計画なし）区域施策編・適応計画</t>
        </is>
      </c>
      <c r="M18" s="11" t="inlineStr">
        <is>
          <t>R6〜R12</t>
        </is>
      </c>
      <c r="N18" s="13" t="n">
        <v>12</v>
      </c>
      <c r="O18" s="13" t="inlineStr">
        <is>
          <t>確認済</t>
        </is>
      </c>
      <c r="P18" s="13" t="inlineStr">
        <is>
          <t>計画なし</t>
        </is>
      </c>
      <c r="Q18" s="14" t="inlineStr">
        <is>
          <t>https://www.town.kaminokawa.lg.jp/0003/info-0000003247-0.html</t>
        </is>
      </c>
      <c r="R18" s="11" t="inlineStr">
        <is>
          <t>交通：R7の協議会資料に計画改定の報告あり（中程度の確度・要確認）。</t>
        </is>
      </c>
      <c r="S18" s="15" t="inlineStr">
        <is>
          <t>調査済</t>
        </is>
      </c>
    </row>
    <row r="19">
      <c r="A19" s="11" t="n">
        <v>16</v>
      </c>
      <c r="B19" s="11" t="inlineStr">
        <is>
          <t>益子町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益子町地域公共交通計画（R4.3策定）</t>
        </is>
      </c>
      <c r="G19" s="11" t="inlineStr">
        <is>
          <t>R4〜R8（推定）</t>
        </is>
      </c>
      <c r="H19" s="16" t="n">
        <v>8</v>
      </c>
      <c r="I19" s="13" t="inlineStr">
        <is>
          <t>推定</t>
        </is>
      </c>
      <c r="J19" s="13" t="inlineStr">
        <is>
          <t>未確認</t>
        </is>
      </c>
      <c r="K19" s="14" t="inlineStr">
        <is>
          <t>https://www.town.mashiko.lg.jp/page/page003396.html</t>
        </is>
      </c>
      <c r="L19" s="11" t="inlineStr">
        <is>
          <t>益子町第3次環境基本計画</t>
        </is>
      </c>
      <c r="M19" s="11" t="inlineStr">
        <is>
          <t>R5〜R14</t>
        </is>
      </c>
      <c r="N19" s="13" t="n">
        <v>14</v>
      </c>
      <c r="O19" s="13" t="inlineStr">
        <is>
          <t>確認済</t>
        </is>
      </c>
      <c r="P19" s="13" t="inlineStr">
        <is>
          <t>未確認</t>
        </is>
      </c>
      <c r="Q19" s="14" t="inlineStr">
        <is>
          <t>https://www.town.mashiko.lg.jp/page/page000467.html</t>
        </is>
      </c>
      <c r="R19" s="11" t="inlineStr">
        <is>
          <t>交通：R8で終了とみられるが、次の計画の業務委託は見つからず。</t>
        </is>
      </c>
      <c r="S19" s="15" t="inlineStr">
        <is>
          <t>調査済</t>
        </is>
      </c>
    </row>
    <row r="20">
      <c r="A20" s="11" t="n">
        <v>17</v>
      </c>
      <c r="B20" s="11" t="inlineStr">
        <is>
          <t>茂木町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茂木町地域公共交通計画</t>
        </is>
      </c>
      <c r="G20" s="11" t="inlineStr">
        <is>
          <t>不明</t>
        </is>
      </c>
      <c r="H20" s="13" t="n"/>
      <c r="I20" s="13" t="inlineStr">
        <is>
          <t>不明</t>
        </is>
      </c>
      <c r="J20" s="13" t="inlineStr">
        <is>
          <t>未確認</t>
        </is>
      </c>
      <c r="K20" s="14" t="inlineStr">
        <is>
          <t>https://www.town.motegi.tochigi.jp/motegi/nextpage.php?cd=6374&amp;syurui=2</t>
        </is>
      </c>
      <c r="L20" s="11" t="inlineStr">
        <is>
          <t>（環境基本計画なし）区域施策編</t>
        </is>
      </c>
      <c r="M20" s="11" t="inlineStr">
        <is>
          <t>R6〜R12</t>
        </is>
      </c>
      <c r="N20" s="13" t="n">
        <v>12</v>
      </c>
      <c r="O20" s="13" t="inlineStr">
        <is>
          <t>確認済</t>
        </is>
      </c>
      <c r="P20" s="13" t="inlineStr">
        <is>
          <t>計画なし</t>
        </is>
      </c>
      <c r="Q20" s="14" t="inlineStr">
        <is>
          <t>https://www.town.motegi.tochigi.jp/motegi/nextpage.php?cd=7672&amp;syurui=2</t>
        </is>
      </c>
      <c r="R20" s="11" t="inlineStr">
        <is>
          <t>交通：期間を確認できず。</t>
        </is>
      </c>
      <c r="S20" s="15" t="inlineStr">
        <is>
          <t>調査済</t>
        </is>
      </c>
    </row>
    <row r="21">
      <c r="A21" s="11" t="n">
        <v>18</v>
      </c>
      <c r="B21" s="11" t="inlineStr">
        <is>
          <t>市貝町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市貝町地域公共交通計画（R6.3頃策定）</t>
        </is>
      </c>
      <c r="G21" s="11" t="inlineStr">
        <is>
          <t>不明</t>
        </is>
      </c>
      <c r="H21" s="13" t="n"/>
      <c r="I21" s="13" t="inlineStr">
        <is>
          <t>不明</t>
        </is>
      </c>
      <c r="J21" s="13" t="inlineStr">
        <is>
          <t>未確認</t>
        </is>
      </c>
      <c r="K21" s="14" t="inlineStr">
        <is>
          <t>https://www.town.ichikai.tochigi.jp/info/785</t>
        </is>
      </c>
      <c r="L21" s="11" t="inlineStr">
        <is>
          <t>市貝町環境基本計画及び地球温暖化対策実行計画</t>
        </is>
      </c>
      <c r="M21" s="11" t="inlineStr">
        <is>
          <t>不明</t>
        </is>
      </c>
      <c r="N21" s="13" t="n"/>
      <c r="O21" s="13" t="inlineStr">
        <is>
          <t>不明</t>
        </is>
      </c>
      <c r="P21" s="13" t="inlineStr">
        <is>
          <t>未確認</t>
        </is>
      </c>
      <c r="Q21" s="14" t="inlineStr">
        <is>
          <t>https://www.town.ichikai.tochigi.jp/info/1814</t>
        </is>
      </c>
      <c r="R21" s="11" t="inlineStr">
        <is>
          <t>どちらも期間を確認できず。</t>
        </is>
      </c>
      <c r="S21" s="15" t="inlineStr">
        <is>
          <t>調査済</t>
        </is>
      </c>
    </row>
    <row r="22">
      <c r="A22" s="11" t="n">
        <v>19</v>
      </c>
      <c r="B22" s="11" t="inlineStr">
        <is>
          <t>芳賀町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芳賀・宇都宮地域公共交通計画（宇都宮市と共同）</t>
        </is>
      </c>
      <c r="G22" s="11" t="inlineStr">
        <is>
          <t>R6〜R15</t>
        </is>
      </c>
      <c r="H22" s="13" t="n">
        <v>15</v>
      </c>
      <c r="I22" s="13" t="inlineStr">
        <is>
          <t>確認済</t>
        </is>
      </c>
      <c r="J22" s="13" t="inlineStr">
        <is>
          <t>未確認</t>
        </is>
      </c>
      <c r="K22" s="14" t="inlineStr">
        <is>
          <t>https://www.town.tochigi-haga.lg.jp/kurashi/sekatsu/kokyokotsu/koukyoukoutsuu/koukyoukoutsuu6.html</t>
        </is>
      </c>
      <c r="L22" s="11" t="inlineStr">
        <is>
          <t>（環境基本計画なし）2050カーボンニュートラル実現計画（R6.4）</t>
        </is>
      </c>
      <c r="M22" s="11" t="inlineStr">
        <is>
          <t>〜R12（2030目標）</t>
        </is>
      </c>
      <c r="N22" s="13" t="n"/>
      <c r="O22" s="13" t="inlineStr">
        <is>
          <t>不明</t>
        </is>
      </c>
      <c r="P22" s="13" t="inlineStr">
        <is>
          <t>計画なし</t>
        </is>
      </c>
      <c r="Q22" s="14" t="inlineStr">
        <is>
          <t>https://www.town.tochigi-haga.lg.jp/kurashi/kurashi/ka-bonnyu-toraru/documents/jitugennkeikaku1.pdf</t>
        </is>
      </c>
      <c r="R22" s="11" t="inlineStr">
        <is>
          <t>交通はR15まで。環境基本計画はなし。</t>
        </is>
      </c>
      <c r="S22" s="15" t="inlineStr">
        <is>
          <t>調査済</t>
        </is>
      </c>
    </row>
    <row r="23">
      <c r="A23" s="11" t="n">
        <v>20</v>
      </c>
      <c r="B23" s="11" t="inlineStr">
        <is>
          <t>壬生町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壬生町地域公共交通計画</t>
        </is>
      </c>
      <c r="G23" s="11" t="inlineStr">
        <is>
          <t>R4〜R8</t>
        </is>
      </c>
      <c r="H23" s="13" t="n">
        <v>8</v>
      </c>
      <c r="I23" s="13" t="inlineStr">
        <is>
          <t>確認済</t>
        </is>
      </c>
      <c r="J23" s="13" t="inlineStr">
        <is>
          <t>着手済</t>
        </is>
      </c>
      <c r="K23" s="14" t="inlineStr">
        <is>
          <t>https://www.town.mibu.tochigi.jp/docs/2026042000042</t>
        </is>
      </c>
      <c r="L23" s="11" t="inlineStr">
        <is>
          <t>壬生町環境基本計画（温対・適応計画を兼ねる）</t>
        </is>
      </c>
      <c r="M23" s="11" t="inlineStr">
        <is>
          <t>R7〜R12</t>
        </is>
      </c>
      <c r="N23" s="13" t="n">
        <v>12</v>
      </c>
      <c r="O23" s="13" t="inlineStr">
        <is>
          <t>確認済</t>
        </is>
      </c>
      <c r="P23" s="13" t="inlineStr">
        <is>
          <t>策定済</t>
        </is>
      </c>
      <c r="Q23" s="14" t="inlineStr">
        <is>
          <t>https://www.town.mibu.tochigi.jp/docs/2025032700030/file_contents/mibumachikankyokihonkeikaku.pdf</t>
        </is>
      </c>
      <c r="R23" s="11" t="inlineStr">
        <is>
          <t>【改定作業中】交通：次期計画の策定業務委託の公募型プロポをR8.4.23に公告（事業者はR8.6に選定済）。</t>
        </is>
      </c>
      <c r="S23" s="15" t="inlineStr">
        <is>
          <t>調査済</t>
        </is>
      </c>
    </row>
    <row r="24">
      <c r="A24" s="11" t="n">
        <v>21</v>
      </c>
      <c r="B24" s="11" t="inlineStr">
        <is>
          <t>野木町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野木町地域公共交通計画</t>
        </is>
      </c>
      <c r="G24" s="11" t="inlineStr">
        <is>
          <t>R6〜R10</t>
        </is>
      </c>
      <c r="H24" s="16" t="n">
        <v>10</v>
      </c>
      <c r="I24" s="13" t="inlineStr">
        <is>
          <t>推定</t>
        </is>
      </c>
      <c r="J24" s="13" t="inlineStr">
        <is>
          <t>未確認</t>
        </is>
      </c>
      <c r="K24" s="14" t="inlineStr">
        <is>
          <t>https://www.town.nogi.lg.jp/cyousei/cyousei_jyouhou/keikaku/keikaku_toshiseibi/page005745.html</t>
        </is>
      </c>
      <c r="L24" s="11" t="inlineStr">
        <is>
          <t>（環境基本計画なし）区域施策編</t>
        </is>
      </c>
      <c r="M24" s="11" t="inlineStr">
        <is>
          <t>不明</t>
        </is>
      </c>
      <c r="N24" s="13" t="n"/>
      <c r="O24" s="13" t="inlineStr">
        <is>
          <t>不明</t>
        </is>
      </c>
      <c r="P24" s="13" t="inlineStr">
        <is>
          <t>計画なし</t>
        </is>
      </c>
      <c r="Q24" s="14" t="inlineStr">
        <is>
          <t>https://www.town.nogi.lg.jp/kurashi/kankyou/ondanka/hojo/</t>
        </is>
      </c>
      <c r="R24" s="11" t="inlineStr">
        <is>
          <t>交通はR10まで（検索結果1件のみで確度は中程度）。</t>
        </is>
      </c>
      <c r="S24" s="15" t="inlineStr">
        <is>
          <t>調査済</t>
        </is>
      </c>
    </row>
    <row r="25">
      <c r="A25" s="11" t="n">
        <v>22</v>
      </c>
      <c r="B25" s="11" t="inlineStr">
        <is>
          <t>塩谷町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塩谷町地域公共交通計画</t>
        </is>
      </c>
      <c r="G25" s="11" t="inlineStr">
        <is>
          <t>不明</t>
        </is>
      </c>
      <c r="H25" s="13" t="n"/>
      <c r="I25" s="13" t="inlineStr">
        <is>
          <t>不明</t>
        </is>
      </c>
      <c r="J25" s="13" t="inlineStr">
        <is>
          <t>未確認</t>
        </is>
      </c>
      <c r="K25" s="14" t="inlineStr">
        <is>
          <t>https://www.town.shioya.tochigi.jp/info/2531</t>
        </is>
      </c>
      <c r="L25" s="11" t="inlineStr">
        <is>
          <t>（環境基本計画なし）区域施策編（R7.3改定）</t>
        </is>
      </c>
      <c r="M25" s="11" t="inlineStr">
        <is>
          <t>不明</t>
        </is>
      </c>
      <c r="N25" s="13" t="n"/>
      <c r="O25" s="13" t="inlineStr">
        <is>
          <t>不明</t>
        </is>
      </c>
      <c r="P25" s="13" t="inlineStr">
        <is>
          <t>計画なし</t>
        </is>
      </c>
      <c r="Q25" s="14" t="inlineStr">
        <is>
          <t>https://www.town.shioya.tochigi.jp/info/2490</t>
        </is>
      </c>
      <c r="R25" s="11" t="inlineStr">
        <is>
          <t>交通：R7に「地域公共交通事業支援業務」のプロポあり（約1,240万円）。計画改定を含むかは要確認。</t>
        </is>
      </c>
      <c r="S25" s="15" t="inlineStr">
        <is>
          <t>調査済</t>
        </is>
      </c>
    </row>
    <row r="26">
      <c r="A26" s="11" t="n">
        <v>23</v>
      </c>
      <c r="B26" s="11" t="inlineStr">
        <is>
          <t>高根沢町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高根沢町地域公共交通計画</t>
        </is>
      </c>
      <c r="G26" s="11" t="inlineStr">
        <is>
          <t>R8〜R12</t>
        </is>
      </c>
      <c r="H26" s="13" t="n">
        <v>12</v>
      </c>
      <c r="I26" s="13" t="inlineStr">
        <is>
          <t>確認済</t>
        </is>
      </c>
      <c r="J26" s="13" t="inlineStr">
        <is>
          <t>策定済</t>
        </is>
      </c>
      <c r="K26" s="14" t="inlineStr">
        <is>
          <t>https://www.town.takanezawa.tochigi.jp/gyosei/plan/bunya/documents/202604koutsukeikaku.pdf</t>
        </is>
      </c>
      <c r="L26" s="11" t="inlineStr">
        <is>
          <t>高根沢町環境基本計画2026</t>
        </is>
      </c>
      <c r="M26" s="11" t="inlineStr">
        <is>
          <t>R8〜R17</t>
        </is>
      </c>
      <c r="N26" s="13" t="n">
        <v>17</v>
      </c>
      <c r="O26" s="13" t="inlineStr">
        <is>
          <t>確認済</t>
        </is>
      </c>
      <c r="P26" s="13" t="inlineStr">
        <is>
          <t>策定済</t>
        </is>
      </c>
      <c r="Q26" s="14" t="inlineStr">
        <is>
          <t>https://www.town.takanezawa.tochigi.jp/life/kankyo/keikaku/documents/kankyoukihon2026gaiyou.pdf</t>
        </is>
      </c>
      <c r="R26" s="11" t="inlineStr">
        <is>
          <t>交通・環境とも新計画をR8策定済。</t>
        </is>
      </c>
      <c r="S26" s="15" t="inlineStr">
        <is>
          <t>調査済</t>
        </is>
      </c>
    </row>
    <row r="27">
      <c r="A27" s="11" t="n">
        <v>24</v>
      </c>
      <c r="B27" s="11" t="inlineStr">
        <is>
          <t>那須町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那須町地域公共交通計画／那須地域定住自立圏計画</t>
        </is>
      </c>
      <c r="G27" s="11" t="inlineStr">
        <is>
          <t>R4〜R9</t>
        </is>
      </c>
      <c r="H27" s="13" t="n">
        <v>9</v>
      </c>
      <c r="I27" s="13" t="inlineStr">
        <is>
          <t>確認済</t>
        </is>
      </c>
      <c r="J27" s="13" t="inlineStr">
        <is>
          <t>未確認</t>
        </is>
      </c>
      <c r="K27" s="14" t="inlineStr">
        <is>
          <t>https://www.town.nasu.lg.jp/manage/contents/upload/6243b2b07f368.pdf</t>
        </is>
      </c>
      <c r="L27" s="11" t="inlineStr">
        <is>
          <t>第3次那須町環境基本計画</t>
        </is>
      </c>
      <c r="M27" s="11" t="inlineStr">
        <is>
          <t>R8〜R17</t>
        </is>
      </c>
      <c r="N27" s="13" t="n">
        <v>17</v>
      </c>
      <c r="O27" s="13" t="inlineStr">
        <is>
          <t>確認済</t>
        </is>
      </c>
      <c r="P27" s="13" t="inlineStr">
        <is>
          <t>策定済</t>
        </is>
      </c>
      <c r="Q27" s="14" t="inlineStr">
        <is>
          <t>http://www.town.nasu.lg.jp/0076/info-0000004347-1.html</t>
        </is>
      </c>
      <c r="R27" s="11" t="inlineStr">
        <is>
          <t>交通：次期計画の業務委託は見つからず。環境：第3次をR8策定済。</t>
        </is>
      </c>
      <c r="S27" s="15" t="inlineStr">
        <is>
          <t>調査済</t>
        </is>
      </c>
    </row>
    <row r="28">
      <c r="A28" s="11" t="n">
        <v>25</v>
      </c>
      <c r="B28" s="11" t="inlineStr">
        <is>
          <t>那珂川町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那須地域定住自立圏地域公共交通計画＋町計画（R5.3策定）</t>
        </is>
      </c>
      <c r="G28" s="11" t="inlineStr">
        <is>
          <t>R5〜R9（定住自立圏）</t>
        </is>
      </c>
      <c r="H28" s="13" t="n">
        <v>9</v>
      </c>
      <c r="I28" s="13" t="inlineStr">
        <is>
          <t>確認済</t>
        </is>
      </c>
      <c r="J28" s="13" t="inlineStr">
        <is>
          <t>未確認</t>
        </is>
      </c>
      <c r="K28" s="14" t="inlineStr">
        <is>
          <t>https://www.city.nasushiobara.tochigi.jp/soshikikarasagasu/kb/shinoseisakutokeikaku/1/5504.html</t>
        </is>
      </c>
      <c r="L28" s="11" t="inlineStr">
        <is>
          <t>第2次那珂川町環境基本計画（後期計画）</t>
        </is>
      </c>
      <c r="M28" s="11" t="inlineStr">
        <is>
          <t>不明</t>
        </is>
      </c>
      <c r="N28" s="13" t="n"/>
      <c r="O28" s="13" t="inlineStr">
        <is>
          <t>不明</t>
        </is>
      </c>
      <c r="P28" s="13" t="inlineStr">
        <is>
          <t>未確認</t>
        </is>
      </c>
      <c r="Q28" s="14" t="inlineStr">
        <is>
          <t>https://www.town.tochigi-nakagawa.lg.jp/35kankyo/01keikaku/index.html</t>
        </is>
      </c>
      <c r="R28" s="11" t="inlineStr">
        <is>
          <t>交通：定住自立圏計画はR9で終了。町計画の期間は不明。環境：期間を確認できず。</t>
        </is>
      </c>
      <c r="S28" s="15" t="inlineStr">
        <is>
          <t>調査済</t>
        </is>
      </c>
    </row>
  </sheetData>
  <autoFilter ref="A3:S28"/>
  <conditionalFormatting sqref="A4:S2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Q16" r:id="rId26"/>
    <hyperlink xmlns:r="http://schemas.openxmlformats.org/officeDocument/2006/relationships" ref="K17" r:id="rId27"/>
    <hyperlink xmlns:r="http://schemas.openxmlformats.org/officeDocument/2006/relationships" ref="Q17" r:id="rId28"/>
    <hyperlink xmlns:r="http://schemas.openxmlformats.org/officeDocument/2006/relationships" ref="K18" r:id="rId29"/>
    <hyperlink xmlns:r="http://schemas.openxmlformats.org/officeDocument/2006/relationships" ref="Q18" r:id="rId30"/>
    <hyperlink xmlns:r="http://schemas.openxmlformats.org/officeDocument/2006/relationships" ref="K19" r:id="rId31"/>
    <hyperlink xmlns:r="http://schemas.openxmlformats.org/officeDocument/2006/relationships" ref="Q19" r:id="rId32"/>
    <hyperlink xmlns:r="http://schemas.openxmlformats.org/officeDocument/2006/relationships" ref="K20" r:id="rId33"/>
    <hyperlink xmlns:r="http://schemas.openxmlformats.org/officeDocument/2006/relationships" ref="Q20" r:id="rId34"/>
    <hyperlink xmlns:r="http://schemas.openxmlformats.org/officeDocument/2006/relationships" ref="K21" r:id="rId35"/>
    <hyperlink xmlns:r="http://schemas.openxmlformats.org/officeDocument/2006/relationships" ref="Q21" r:id="rId36"/>
    <hyperlink xmlns:r="http://schemas.openxmlformats.org/officeDocument/2006/relationships" ref="K22" r:id="rId37"/>
    <hyperlink xmlns:r="http://schemas.openxmlformats.org/officeDocument/2006/relationships" ref="Q22" r:id="rId38"/>
    <hyperlink xmlns:r="http://schemas.openxmlformats.org/officeDocument/2006/relationships" ref="K23" r:id="rId39"/>
    <hyperlink xmlns:r="http://schemas.openxmlformats.org/officeDocument/2006/relationships" ref="Q23" r:id="rId40"/>
    <hyperlink xmlns:r="http://schemas.openxmlformats.org/officeDocument/2006/relationships" ref="K24" r:id="rId41"/>
    <hyperlink xmlns:r="http://schemas.openxmlformats.org/officeDocument/2006/relationships" ref="Q24" r:id="rId42"/>
    <hyperlink xmlns:r="http://schemas.openxmlformats.org/officeDocument/2006/relationships" ref="K25" r:id="rId43"/>
    <hyperlink xmlns:r="http://schemas.openxmlformats.org/officeDocument/2006/relationships" ref="Q25" r:id="rId44"/>
    <hyperlink xmlns:r="http://schemas.openxmlformats.org/officeDocument/2006/relationships" ref="K26" r:id="rId45"/>
    <hyperlink xmlns:r="http://schemas.openxmlformats.org/officeDocument/2006/relationships" ref="Q26" r:id="rId46"/>
    <hyperlink xmlns:r="http://schemas.openxmlformats.org/officeDocument/2006/relationships" ref="K27" r:id="rId47"/>
    <hyperlink xmlns:r="http://schemas.openxmlformats.org/officeDocument/2006/relationships" ref="Q27" r:id="rId48"/>
    <hyperlink xmlns:r="http://schemas.openxmlformats.org/officeDocument/2006/relationships" ref="K28" r:id="rId49"/>
    <hyperlink xmlns:r="http://schemas.openxmlformats.org/officeDocument/2006/relationships" ref="Q28" r:id="rId5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2026-09-30T11:05:02Z</dcterms:created>
  <dcterms:modified xsi:type="dcterms:W3CDTF">2026-09-30T11:05:03Z</dcterms:modified>
</cp:coreProperties>
</file>