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集計・設定" sheetId="1" state="visible" r:id="rId1"/>
    <sheet name="青森県" sheetId="2" state="visible" r:id="rId2"/>
    <sheet name="岩手県" sheetId="3" state="visible" r:id="rId3"/>
    <sheet name="宮城県" sheetId="4" state="visible" r:id="rId4"/>
    <sheet name="秋田県" sheetId="5" state="visible" r:id="rId5"/>
    <sheet name="山形県" sheetId="6" state="visible" r:id="rId6"/>
    <sheet name="福島県" sheetId="7" state="visible" r:id="rId7"/>
    <sheet name="茨城県" sheetId="8" state="visible" r:id="rId8"/>
    <sheet name="栃木県" sheetId="9" state="visible" r:id="rId9"/>
    <sheet name="群馬県" sheetId="10" state="visible" r:id="rId10"/>
    <sheet name="宮崎県" sheetId="11" state="visible" r:id="rId11"/>
  </sheets>
  <definedNames>
    <definedName name="TGT_MIN">'集計・設定'!$C$4</definedName>
    <definedName name="TGT_MAX">'集計・設定'!$C$5</definedName>
    <definedName name="_xlnm._FilterDatabase" localSheetId="1" hidden="1">'青森県'!$A$3:$T$43</definedName>
    <definedName name="_xlnm._FilterDatabase" localSheetId="2" hidden="1">'岩手県'!$A$3:$T$36</definedName>
    <definedName name="_xlnm._FilterDatabase" localSheetId="3" hidden="1">'宮城県'!$A$3:$T$38</definedName>
    <definedName name="_xlnm._FilterDatabase" localSheetId="4" hidden="1">'秋田県'!$A$3:$T$28</definedName>
    <definedName name="_xlnm._FilterDatabase" localSheetId="5" hidden="1">'山形県'!$A$3:$T$38</definedName>
    <definedName name="_xlnm._FilterDatabase" localSheetId="6" hidden="1">'福島県'!$A$3:$T$62</definedName>
    <definedName name="_xlnm._FilterDatabase" localSheetId="7" hidden="1">'茨城県'!$A$3:$T$47</definedName>
    <definedName name="_xlnm._FilterDatabase" localSheetId="8" hidden="1">'栃木県'!$A$3:$T$28</definedName>
    <definedName name="_xlnm._FilterDatabase" localSheetId="9" hidden="1">'群馬県'!$A$3:$T$38</definedName>
    <definedName name="_xlnm._FilterDatabase" localSheetId="10" hidden="1">'宮崎県'!$A$3:$T$29</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sz val="14"/>
    </font>
    <font>
      <name val="Arial"/>
      <color rgb="00555555"/>
      <sz val="10"/>
    </font>
    <font>
      <name val="Arial"/>
      <b val="1"/>
      <color rgb="00FFFFFF"/>
    </font>
    <font>
      <name val="Arial"/>
      <sz val="10"/>
    </font>
    <font>
      <name val="Arial"/>
      <b val="1"/>
      <sz val="10"/>
    </font>
    <font>
      <name val="Arial"/>
      <color rgb="000563C1"/>
      <sz val="9"/>
      <u val="single"/>
    </font>
    <font>
      <name val="Arial"/>
      <i val="1"/>
      <color rgb="007F6000"/>
      <sz val="10"/>
    </font>
    <font>
      <name val="Arial"/>
      <b val="1"/>
      <color rgb="00C00000"/>
      <sz val="10"/>
    </font>
    <font>
      <name val="Arial"/>
      <b val="1"/>
    </font>
    <font>
      <name val="Arial"/>
    </font>
    <font>
      <name val="Arial"/>
      <b val="1"/>
      <color rgb="000000FF"/>
    </font>
    <font>
      <name val="Arial"/>
      <color rgb="00555555"/>
      <sz val="9"/>
    </font>
  </fonts>
  <fills count="4">
    <fill>
      <patternFill/>
    </fill>
    <fill>
      <patternFill patternType="gray125"/>
    </fill>
    <fill>
      <patternFill patternType="solid">
        <fgColor rgb="001F4E78"/>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9" fillId="0" borderId="0" pivotButton="0" quotePrefix="0" xfId="0"/>
    <xf numFmtId="0" fontId="10" fillId="0" borderId="0" pivotButton="0" quotePrefix="0" xfId="0"/>
    <xf numFmtId="0" fontId="11" fillId="3" borderId="0" pivotButton="0" quotePrefix="0" xfId="0"/>
    <xf numFmtId="0" fontId="12" fillId="0" borderId="0" pivotButton="0" quotePrefix="0" xfId="0"/>
    <xf numFmtId="0" fontId="3" fillId="2" borderId="0" applyAlignment="1" pivotButton="0" quotePrefix="0" xfId="0">
      <alignment horizontal="center"/>
    </xf>
    <xf numFmtId="0" fontId="5" fillId="0" borderId="0" pivotButton="0" quotePrefix="0" xfId="0"/>
    <xf numFmtId="0" fontId="4"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0" borderId="1" applyAlignment="1" pivotButton="0" quotePrefix="0" xfId="0">
      <alignment vertical="top" wrapText="1"/>
    </xf>
    <xf numFmtId="0" fontId="5" fillId="0" borderId="1" applyAlignment="1" pivotButton="0" quotePrefix="0" xfId="0">
      <alignment horizontal="center" vertical="top" wrapText="1"/>
    </xf>
    <xf numFmtId="0" fontId="4" fillId="0" borderId="1" applyAlignment="1" pivotButton="0" quotePrefix="0" xfId="0">
      <alignment horizontal="center" vertical="top" wrapText="1"/>
    </xf>
    <xf numFmtId="0" fontId="6" fillId="0" borderId="1" applyAlignment="1" pivotButton="0" quotePrefix="0" xfId="0">
      <alignment vertical="top" wrapText="1"/>
    </xf>
    <xf numFmtId="0" fontId="4" fillId="0" borderId="1" applyAlignment="1" pivotButton="0" quotePrefix="0" xfId="0">
      <alignment horizontal="center" vertical="top"/>
    </xf>
    <xf numFmtId="0" fontId="7" fillId="0" borderId="1" applyAlignment="1" pivotButton="0" quotePrefix="0" xfId="0">
      <alignment horizontal="center" vertical="top" wrapText="1"/>
    </xf>
    <xf numFmtId="0" fontId="8" fillId="0" borderId="1" applyAlignment="1" pivotButton="0" quotePrefix="0" xfId="0">
      <alignment vertical="top" wrapText="1"/>
    </xf>
    <xf numFmtId="0" fontId="8" fillId="0" borderId="1" applyAlignment="1" pivotButton="0" quotePrefix="0" xfId="0">
      <alignment horizontal="center" vertical="top"/>
    </xf>
  </cellXfs>
  <cellStyles count="1">
    <cellStyle name="Normal" xfId="0" builtinId="0" hidden="0"/>
  </cellStyles>
  <dxfs count="6">
    <dxf>
      <fill>
        <patternFill patternType="solid">
          <fgColor rgb="00C6EFCE"/>
        </patternFill>
      </fill>
    </dxf>
    <dxf>
      <fill>
        <patternFill patternType="solid">
          <fgColor rgb="00FFEB9C"/>
        </patternFill>
      </fill>
    </dxf>
    <dxf>
      <fill>
        <patternFill patternType="solid">
          <fgColor rgb="00DDEBF7"/>
        </patternFill>
      </fill>
    </dxf>
    <dxf>
      <fill>
        <patternFill patternType="solid">
          <fgColor rgb="00F2F2F2"/>
        </patternFill>
      </fill>
    </dxf>
    <dxf>
      <font>
        <b val="1"/>
        <color rgb="00FFFFFF"/>
      </font>
      <fill>
        <patternFill patternType="solid">
          <fgColor rgb="0063BE7B"/>
        </patternFill>
      </fill>
    </dxf>
    <dxf>
      <font>
        <b val="1"/>
      </font>
      <fill>
        <patternFill patternType="solid">
          <fgColor rgb="00F4B18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city.aomori.aomori.jp/somu/shiseijouhou/jyouhou-koukai/tyougi/documents/tiikikoutuumoukeikaku.pdf" TargetMode="External" Id="rId1" /><Relationship Type="http://schemas.openxmlformats.org/officeDocument/2006/relationships/hyperlink" Target="https://www.city.aomori.aomori.jp/_res/projects/default_project/_page_/001/011/090/05_080722siryou3.pdf" TargetMode="External" Id="rId2" /><Relationship Type="http://schemas.openxmlformats.org/officeDocument/2006/relationships/hyperlink" Target="https://www.city.hirosaki.aomori.jp/jouhou/keikaku/kokyokotu/kotsukeikaku.pdf" TargetMode="External" Id="rId3" /><Relationship Type="http://schemas.openxmlformats.org/officeDocument/2006/relationships/hyperlink" Target="https://www.city.hirosaki.aomori.jp/jouhou/keikaku/2021-0401-kankyoukihon.html" TargetMode="External" Id="rId4" /><Relationship Type="http://schemas.openxmlformats.org/officeDocument/2006/relationships/hyperlink" Target="https://wwwtb.mlit.go.jp/tohoku/content/000181287.pdf" TargetMode="External" Id="rId5" /><Relationship Type="http://schemas.openxmlformats.org/officeDocument/2006/relationships/hyperlink" Target="https://www.city.hachinohe.aomori.jp/gyoseijoho/keikaku_plan/kurashi_tetsuzuki/1/1/7959.html" TargetMode="External" Id="rId6" /><Relationship Type="http://schemas.openxmlformats.org/officeDocument/2006/relationships/hyperlink" Target="http://www.city.kuroishi.aomori.jp/shisei/keikaku/2025-0523-1102-33.html" TargetMode="External" Id="rId7" /><Relationship Type="http://schemas.openxmlformats.org/officeDocument/2006/relationships/hyperlink" Target="http://www.city.kuroishi.aomori.jp/shisei/keikaku/kankyou-kihon-keikaku.html" TargetMode="External" Id="rId8" /><Relationship Type="http://schemas.openxmlformats.org/officeDocument/2006/relationships/hyperlink" Target="https://www.city.goshogawara.lg.jp/kurashi/machi/chiikikoukyokoutsukeikaku.html" TargetMode="External" Id="rId9" /><Relationship Type="http://schemas.openxmlformats.org/officeDocument/2006/relationships/hyperlink" Target="https://www.city.towada.lg.jp/kurashi/koutsu/files/keikaku.pdf" TargetMode="External" Id="rId10" /><Relationship Type="http://schemas.openxmlformats.org/officeDocument/2006/relationships/hyperlink" Target="https://www.city.misawa.lg.jp/index.cfm/12,21981,57,254,html" TargetMode="External" Id="rId11" /><Relationship Type="http://schemas.openxmlformats.org/officeDocument/2006/relationships/hyperlink" Target="https://www.city.misawa.lg.jp/index.cfm/12,31881,c,html/31881/20181207-151357.pdf" TargetMode="External" Id="rId12" /><Relationship Type="http://schemas.openxmlformats.org/officeDocument/2006/relationships/hyperlink" Target="https://www.city.mutsu.lg.jp/government/katsudou/kyoudou/files/simokitatiikikoukyoukoutuukeikakusoann.pdf" TargetMode="External" Id="rId13" /><Relationship Type="http://schemas.openxmlformats.org/officeDocument/2006/relationships/hyperlink" Target="https://www.city.tsugaru.aomori.jp/soshiki/minsei/shimin/kankyoeisei/gomi/kankyoukihonkeikaku/10184.html" TargetMode="External" Id="rId14" /><Relationship Type="http://schemas.openxmlformats.org/officeDocument/2006/relationships/hyperlink" Target="https://www.city.hirakawa.lg.jp/kurashi/keikaku/2021-0514-1007-25.html" TargetMode="External" Id="rId15" /><Relationship Type="http://schemas.openxmlformats.org/officeDocument/2006/relationships/hyperlink" Target="https://www.city.hirakawa.lg.jp/kurashi/keikaku/kankyokihonkeikaku.html" TargetMode="External" Id="rId16" /><Relationship Type="http://schemas.openxmlformats.org/officeDocument/2006/relationships/hyperlink" Target="https://www.town.hiranai.aomori.jp/chosei/machizukuri/3/1241.html" TargetMode="External" Id="rId17" /><Relationship Type="http://schemas.openxmlformats.org/officeDocument/2006/relationships/hyperlink" Target="https://www.town.imabetsu.lg.jp/gyousei/koukai/2023-0828-1639-1.html" TargetMode="External" Id="rId18" /><Relationship Type="http://schemas.openxmlformats.org/officeDocument/2006/relationships/hyperlink" Target="https://www.town.sotogahama.lg.jp/gyosei/public/2024-0227-tiikikoukyokoutukeikaku_pabukome.html" TargetMode="External" Id="rId19" /><Relationship Type="http://schemas.openxmlformats.org/officeDocument/2006/relationships/hyperlink" Target="http://www.town.ajigasawa.lg.jp/gyosei_jyoho/kotsu/kokyokotukeikaku.html" TargetMode="External" Id="rId20" /><Relationship Type="http://schemas.openxmlformats.org/officeDocument/2006/relationships/hyperlink" Target="https://www.town.fukaura.lg.jp/doc/2020031800019/file_contents/2020031800019_fixed_docs_2020031800019_file_contents_kotsukeikaku.pdf" TargetMode="External" Id="rId21" /><Relationship Type="http://schemas.openxmlformats.org/officeDocument/2006/relationships/hyperlink" Target="http://www.town.owani.lg.jp/aboutowani/plan/kokyo-kotsu.html" TargetMode="External" Id="rId22" /><Relationship Type="http://schemas.openxmlformats.org/officeDocument/2006/relationships/hyperlink" Target="https://www.town.nakadomari.lg.jp/material/files/group/3/koutuukeikakur6.pdf" TargetMode="External" Id="rId23" /><Relationship Type="http://schemas.openxmlformats.org/officeDocument/2006/relationships/hyperlink" Target="https://www.town.shichinohe.lg.jp/gyosei/keikaku/kurashi/post-197.html" TargetMode="External" Id="rId24" /><Relationship Type="http://schemas.openxmlformats.org/officeDocument/2006/relationships/hyperlink" Target="https://www.rokkasho.jp/index.cfm/14,19918,c,html/19918/20250620-120455.pdf" TargetMode="External" Id="rId25" /><Relationship Type="http://schemas.openxmlformats.org/officeDocument/2006/relationships/hyperlink" Target="https://wwwtb.mlit.go.jp/tohoku/content/000181287.pdf" TargetMode="External" Id="rId26" /><Relationship Type="http://schemas.openxmlformats.org/officeDocument/2006/relationships/hyperlink" Target="https://www.city.mutsu.lg.jp/government/katsudou/kyoudou/files/simokitatiikikoukyoukoutuukeikakusoann.pdf" TargetMode="External" Id="rId27" /><Relationship Type="http://schemas.openxmlformats.org/officeDocument/2006/relationships/hyperlink" Target="https://www.city.mutsu.lg.jp/government/katsudou/kyoudou/files/simokitatiikikoukyoukoutuukeikakusoann.pdf" TargetMode="External" Id="rId28" /><Relationship Type="http://schemas.openxmlformats.org/officeDocument/2006/relationships/hyperlink" Target="https://www.city.mutsu.lg.jp/government/katsudou/kyoudou/files/simokitatiikikoukyoukoutuukeikakusoann.pdf" TargetMode="External" Id="rId29" /><Relationship Type="http://schemas.openxmlformats.org/officeDocument/2006/relationships/hyperlink" Target="https://www.city.mutsu.lg.jp/government/katsudou/kyoudou/files/simokitatiikikoukyoukoutuukeikakusoann.pdf" TargetMode="External" Id="rId30" /><Relationship Type="http://schemas.openxmlformats.org/officeDocument/2006/relationships/hyperlink" Target="https://wwwtb.mlit.go.jp/tohoku/content/000181287.pdf" TargetMode="External" Id="rId31" /><Relationship Type="http://schemas.openxmlformats.org/officeDocument/2006/relationships/hyperlink" Target="https://wwwtb.mlit.go.jp/tohoku/content/000181287.pdf" TargetMode="External" Id="rId32" /><Relationship Type="http://schemas.openxmlformats.org/officeDocument/2006/relationships/hyperlink" Target="https://wwwtb.mlit.go.jp/tohoku/content/000181287.pdf" TargetMode="External" Id="rId33" /><Relationship Type="http://schemas.openxmlformats.org/officeDocument/2006/relationships/hyperlink" Target="https://wwwtb.mlit.go.jp/tohoku/content/000181287.pdf" TargetMode="External" Id="rId34" /><Relationship Type="http://schemas.openxmlformats.org/officeDocument/2006/relationships/hyperlink" Target="https://wwwtb.mlit.go.jp/tohoku/content/000181287.pdf" TargetMode="External" Id="rId35" /><Relationship Type="http://schemas.openxmlformats.org/officeDocument/2006/relationships/hyperlink" Target="https://wwwtb.mlit.go.jp/tohoku/content/000181287.pdf" TargetMode="External" Id="rId36" /></Relationships>
</file>

<file path=xl/worksheets/_rels/sheet3.xml.rels><Relationships xmlns="http://schemas.openxmlformats.org/package/2006/relationships"><Relationship Type="http://schemas.openxmlformats.org/officeDocument/2006/relationships/hyperlink" Target="https://www.city.morioka.iwate.jp/_res/projects/default_project/_page_/001/043/162/R7honpen.pdf" TargetMode="External" Id="rId1" /><Relationship Type="http://schemas.openxmlformats.org/officeDocument/2006/relationships/hyperlink" Target="https://www.city.morioka.iwate.jp/_res/projects/default_project/_page_/001/010/054/kihonntekizikou.pdf" TargetMode="External" Id="rId2" /><Relationship Type="http://schemas.openxmlformats.org/officeDocument/2006/relationships/hyperlink" Target="https://www.city.miyako.iwate.jp/material/files/group/8/miyakositiikikoukyoukoutuukeikaku.pdf" TargetMode="External" Id="rId3" /><Relationship Type="http://schemas.openxmlformats.org/officeDocument/2006/relationships/hyperlink" Target="https://www.city.miyako.iwate.jp/material/files/group/14/kihonkeikaku.pdf" TargetMode="External" Id="rId4" /><Relationship Type="http://schemas.openxmlformats.org/officeDocument/2006/relationships/hyperlink" Target="https://www.city.ofunato.iwate.jp/archive/contents-5125" TargetMode="External" Id="rId5" /><Relationship Type="http://schemas.openxmlformats.org/officeDocument/2006/relationships/hyperlink" Target="https://www.city.ofunato.iwate.jp/site/kankyokeikaku/" TargetMode="External" Id="rId6" /><Relationship Type="http://schemas.openxmlformats.org/officeDocument/2006/relationships/hyperlink" Target="https://www.city.hanamaki.iwate.jp/_res/projects/default_project/_page_/001/021/245/keikaku.pdf" TargetMode="External" Id="rId7" /><Relationship Type="http://schemas.openxmlformats.org/officeDocument/2006/relationships/hyperlink" Target="https://www.city.hanamaki.iwate.jp/shisei/shisei/keikaku/1002782.html" TargetMode="External" Id="rId8" /><Relationship Type="http://schemas.openxmlformats.org/officeDocument/2006/relationships/hyperlink" Target="https://www.city.kitakami.iwate.jp/life/soshikikarasagasu/toshisaiseisuishin/koutsuuseisaku/1_1/21919.html" TargetMode="External" Id="rId9" /><Relationship Type="http://schemas.openxmlformats.org/officeDocument/2006/relationships/hyperlink" Target="https://www.city.kitakami.iwate.jp/material/files/group/14/kankyokeikaku_0803.pdf" TargetMode="External" Id="rId10" /><Relationship Type="http://schemas.openxmlformats.org/officeDocument/2006/relationships/hyperlink" Target="https://www.city.kuji.lg.jp/material/files/group/19/keikaku.pdf" TargetMode="External" Id="rId11" /><Relationship Type="http://schemas.openxmlformats.org/officeDocument/2006/relationships/hyperlink" Target="https://www.city.kuji.lg.jp/material/files/group/19/2021_kuji_kankyou_1.pdf" TargetMode="External" Id="rId12" /><Relationship Type="http://schemas.openxmlformats.org/officeDocument/2006/relationships/hyperlink" Target="https://www.city.tono.iwate.jp/index.cfm/50,13281,311,html" TargetMode="External" Id="rId13" /><Relationship Type="http://schemas.openxmlformats.org/officeDocument/2006/relationships/hyperlink" Target="https://www.city.tono.iwate.jp/index.cfm/45,34797,247,html" TargetMode="External" Id="rId14" /><Relationship Type="http://schemas.openxmlformats.org/officeDocument/2006/relationships/hyperlink" Target="https://www.city.ichinoseki.iwate.jp/index.cfm/7,166695,c,html/166695/20240410-160623.pdf" TargetMode="External" Id="rId15" /><Relationship Type="http://schemas.openxmlformats.org/officeDocument/2006/relationships/hyperlink" Target="https://www.city.ichinoseki.iwate.jp/index.cfm/7,90284,125,html" TargetMode="External" Id="rId16" /><Relationship Type="http://schemas.openxmlformats.org/officeDocument/2006/relationships/hyperlink" Target="https://www.city.rikuzentakata.iwate.jp/material/files/group/19/20231124_4-2.pdf" TargetMode="External" Id="rId17" /><Relationship Type="http://schemas.openxmlformats.org/officeDocument/2006/relationships/hyperlink" Target="https://www.city.kamaishi.iwate.jp/docs/2021040500020/file_contents/001.pdf" TargetMode="External" Id="rId18" /><Relationship Type="http://schemas.openxmlformats.org/officeDocument/2006/relationships/hyperlink" Target="https://www.city.kamaishi.iwate.jp/docs/2023110200014/" TargetMode="External" Id="rId19" /><Relationship Type="http://schemas.openxmlformats.org/officeDocument/2006/relationships/hyperlink" Target="https://www.city.ninohe.lg.jp/info/2661" TargetMode="External" Id="rId20" /><Relationship Type="http://schemas.openxmlformats.org/officeDocument/2006/relationships/hyperlink" Target="https://www.city.hachimantai.lg.jp/soshiki/machi/1517.html" TargetMode="External" Id="rId21" /><Relationship Type="http://schemas.openxmlformats.org/officeDocument/2006/relationships/hyperlink" Target="https://www.city.hachimantai.lg.jp/uploaded/attachment/13185.pdf" TargetMode="External" Id="rId22" /><Relationship Type="http://schemas.openxmlformats.org/officeDocument/2006/relationships/hyperlink" Target="https://www.city.oshu.iwate.jp/soshiki/2/1004/12523.html" TargetMode="External" Id="rId23" /><Relationship Type="http://schemas.openxmlformats.org/officeDocument/2006/relationships/hyperlink" Target="https://www.city.oshu.iwate.jp/material/files/group/183/dai2jikankyoukihonnkeikaku_GX.pdf" TargetMode="External" Id="rId24" /><Relationship Type="http://schemas.openxmlformats.org/officeDocument/2006/relationships/hyperlink" Target="https://www.city.morioka.iwate.jp/_res/projects/default_project/_page_/001/043/162/R7honpen.pdf" TargetMode="External" Id="rId25" /><Relationship Type="http://schemas.openxmlformats.org/officeDocument/2006/relationships/hyperlink" Target="https://www.city.takizawa.iwate.jp/kurashi/kankyo/contents-12768/p20241204162009" TargetMode="External" Id="rId26" /><Relationship Type="http://schemas.openxmlformats.org/officeDocument/2006/relationships/hyperlink" Target="https://www.town.shizukuishi.iwate.jp/docs/2021101200012/file_contents/honpen.pdf" TargetMode="External" Id="rId27" /><Relationship Type="http://schemas.openxmlformats.org/officeDocument/2006/relationships/hyperlink" Target="https://www.town.shizukuishi.iwate.jp/docs/2016050600013/file_contents/kankyoukihonkeikaku.pdf" TargetMode="External" Id="rId28" /><Relationship Type="http://schemas.openxmlformats.org/officeDocument/2006/relationships/hyperlink" Target="https://town.iwate.iwate.jp/town/gyosei/koutsuumoukeisei2017-2021/" TargetMode="External" Id="rId29" /><Relationship Type="http://schemas.openxmlformats.org/officeDocument/2006/relationships/hyperlink" Target="https://www.town.shiwa.iwate.jp/shiwatown/cms/soshiki/4/2_99/koukyoukoutsukeikaku.pdf" TargetMode="External" Id="rId30" /><Relationship Type="http://schemas.openxmlformats.org/officeDocument/2006/relationships/hyperlink" Target="https://www.town.shiwa.iwate.jp/shiwatown/cms/soshiki/2_1/2_3/2026%E7%92%B0%E5%A2%83%E3%83%BB%E5%BE%AA%E7%92%B0%E5%9F%BA%E6%9C%AC%E8%A8%88%E7%94%BB%EF%BC%88%E6%9C%80%E7%B5%82%E8%AA%BF%E6%95%B4%EF%BC%89_20260316_%E7%A2%BA%E5%AE%9A.pdf" TargetMode="External" Id="rId31" /><Relationship Type="http://schemas.openxmlformats.org/officeDocument/2006/relationships/hyperlink" Target="https://www.city.morioka.iwate.jp/_res/projects/default_project/_page_/001/043/162/R7honpen.pdf" TargetMode="External" Id="rId32" /><Relationship Type="http://schemas.openxmlformats.org/officeDocument/2006/relationships/hyperlink" Target="https://www.town.nishiwaga.lg.jp/material/files/group/1/2306nishiwagakotsukeikaku.pdf" TargetMode="External" Id="rId33" /><Relationship Type="http://schemas.openxmlformats.org/officeDocument/2006/relationships/hyperlink" Target="https://www.town.kanegasaki.iwate.jp/articles/2020032900015/file_contents/keikaku.pdf" TargetMode="External" Id="rId34" /><Relationship Type="http://schemas.openxmlformats.org/officeDocument/2006/relationships/hyperlink" Target="https://www.town.hiraizumi.iwate.jp/%E5%B9%B3%E6%B3%89%E7%94%BA%E5%9C%B0%E5%9F%9F%E5%85%AC%E5%85%B1%E4%BA%A4%E9%80%9A%E8%A8%88%E7%94%BB%E3%82%92%E7%AD%96%E5%AE%9A%E3%81%97%E3%81%BE%E3%81%97%E3%81%9F-25574/" TargetMode="External" Id="rId35" /><Relationship Type="http://schemas.openxmlformats.org/officeDocument/2006/relationships/hyperlink" Target="https://www.town.sumita.iwate.jp/docs/2025040400014/files/tiikikoukyoukoutuukeikaku2025.pdf" TargetMode="External" Id="rId36" /><Relationship Type="http://schemas.openxmlformats.org/officeDocument/2006/relationships/hyperlink" Target="https://www.town.sumita.iwate.jp/docs/2023061500010/files/04_dai4syou.pdf" TargetMode="External" Id="rId37" /><Relationship Type="http://schemas.openxmlformats.org/officeDocument/2006/relationships/hyperlink" Target="https://www.town.otsuchi.iwate.jp/fs/2/3/0/5/0/9/_/___________.pdf" TargetMode="External" Id="rId38" /><Relationship Type="http://schemas.openxmlformats.org/officeDocument/2006/relationships/hyperlink" Target="https://www.town.yamada.iwate.jp/fs/1/2/1/7/4/5/_/___________.pdf" TargetMode="External" Id="rId39" /><Relationship Type="http://schemas.openxmlformats.org/officeDocument/2006/relationships/hyperlink" Target="https://www.town.iwaizumi.lg.jp/docs/2024032500015/" TargetMode="External" Id="rId40" /><Relationship Type="http://schemas.openxmlformats.org/officeDocument/2006/relationships/hyperlink" Target="https://www.vill.tanohata.iwate.jp/bunya/keikaku/tanohata/" TargetMode="External" Id="rId41" /><Relationship Type="http://schemas.openxmlformats.org/officeDocument/2006/relationships/hyperlink" Target="https://www.vill.tanohata.iwate.jp/docs/2015081800027/" TargetMode="External" Id="rId42" /><Relationship Type="http://schemas.openxmlformats.org/officeDocument/2006/relationships/hyperlink" Target="https://www.city.miyako.iwate.jp/material/files/group/8/sanntetsukoutuukeikaku2024.pdf" TargetMode="External" Id="rId43" /><Relationship Type="http://schemas.openxmlformats.org/officeDocument/2006/relationships/hyperlink" Target="https://www.city.miyako.iwate.jp/material/files/group/8/sanntetsukoutuukeikaku2024.pdf" TargetMode="External" Id="rId44" /><Relationship Type="http://schemas.openxmlformats.org/officeDocument/2006/relationships/hyperlink" Target="https://vill.kunohe.iwate.jp/fs/9/5/9/5/_/%E4%B9%9D%E6%88%B8%E6%9D%91%E5%9C%B0%E5%9F%9F%E5%85%AC%E5%85%B1%E4%BA%A4%E9%80%9A%E8%A8%88%E7%94%BB.pdf" TargetMode="External" Id="rId45" /><Relationship Type="http://schemas.openxmlformats.org/officeDocument/2006/relationships/hyperlink" Target="https://www.town.hirono.iwate.jp/doc/2026070700013" TargetMode="External" Id="rId46" /></Relationships>
</file>

<file path=xl/worksheets/_rels/sheet4.xml.rels><Relationships xmlns="http://schemas.openxmlformats.org/package/2006/relationships"><Relationship Type="http://schemas.openxmlformats.org/officeDocument/2006/relationships/hyperlink" Target="https://www.city.sendai.jp/kokyo/kurashi/machi/kotsu/kekakunado/chikoukei.html" TargetMode="External" Id="rId1" /><Relationship Type="http://schemas.openxmlformats.org/officeDocument/2006/relationships/hyperlink" Target="https://www.city.sendai.jp/kankyo-chose/kurashi/machi/kankyohozen/chosa/morinomiyako/documents/01_moripura_honpen.pdf" TargetMode="External" Id="rId2" /><Relationship Type="http://schemas.openxmlformats.org/officeDocument/2006/relationships/hyperlink" Target="https://www.city.ishinomaki.lg.jp:443/cont/10053500/issks/dai1shou.pdf" TargetMode="External" Id="rId3" /><Relationship Type="http://schemas.openxmlformats.org/officeDocument/2006/relationships/hyperlink" Target="https://www.city.ishinomaki.lg.jp/cont/10301000/3253/1.pdf" TargetMode="External" Id="rId4" /><Relationship Type="http://schemas.openxmlformats.org/officeDocument/2006/relationships/hyperlink" Target="https://www.city.shiogama.miyagi.jp/soshiki/18/50557.html" TargetMode="External" Id="rId5" /><Relationship Type="http://schemas.openxmlformats.org/officeDocument/2006/relationships/hyperlink" Target="https://www.kesennuma.miyagi.jp/li/shisei/150/020/index.html" TargetMode="External" Id="rId6" /><Relationship Type="http://schemas.openxmlformats.org/officeDocument/2006/relationships/hyperlink" Target="https://www.city.shiroishi.miyagi.jp/uploaded/attachment/22013.pdf" TargetMode="External" Id="rId7" /><Relationship Type="http://schemas.openxmlformats.org/officeDocument/2006/relationships/hyperlink" Target="https://www.city.shiroishi.miyagi.jp/soshiki/18/" TargetMode="External" Id="rId8" /><Relationship Type="http://schemas.openxmlformats.org/officeDocument/2006/relationships/hyperlink" Target="https://www.city.natori.miyagi.jp/uploaded/attachment/9510.pdf" TargetMode="External" Id="rId9" /><Relationship Type="http://schemas.openxmlformats.org/officeDocument/2006/relationships/hyperlink" Target="https://www.city.natori.miyagi.jp/page/4721.html" TargetMode="External" Id="rId10" /><Relationship Type="http://schemas.openxmlformats.org/officeDocument/2006/relationships/hyperlink" Target="https://www.city.kakuda.lg.jp/soshiki/4/25038.html" TargetMode="External" Id="rId11" /><Relationship Type="http://schemas.openxmlformats.org/officeDocument/2006/relationships/hyperlink" Target="https://www.city.tagajo.miyagi.jp/toshike/kurashi/kotsu/documents/keikaku.pdf" TargetMode="External" Id="rId12" /><Relationship Type="http://schemas.openxmlformats.org/officeDocument/2006/relationships/hyperlink" Target="https://www.city.iwanuma.miyagi.jp/kurashi/kotsu/shimin-bus/documents/shinbuskeikaku.pdf" TargetMode="External" Id="rId13" /><Relationship Type="http://schemas.openxmlformats.org/officeDocument/2006/relationships/hyperlink" Target="https://www.city.iwanuma.miyagi.jp/kurashi/kankyo-eisei/kankyo-eisei/kankyo-keikaku.html" TargetMode="External" Id="rId14" /><Relationship Type="http://schemas.openxmlformats.org/officeDocument/2006/relationships/hyperlink" Target="https://www.city.tome.miyagi.jp/shiminkyodo/koukyoukoutsuu/documents/tomechikikoukyokotsukeikakuan.pdf" TargetMode="External" Id="rId15" /><Relationship Type="http://schemas.openxmlformats.org/officeDocument/2006/relationships/hyperlink" Target="https://www.city.tome.miyagi.jp/kankyo/shisejoho/gyose/sogokekaku/documents/3rdenviplan.pdf" TargetMode="External" Id="rId16" /><Relationship Type="http://schemas.openxmlformats.org/officeDocument/2006/relationships/hyperlink" Target="https://www.kuriharacity.jp/li/010/020/120/index.html" TargetMode="External" Id="rId17" /><Relationship Type="http://schemas.openxmlformats.org/officeDocument/2006/relationships/hyperlink" Target="https://www.kuriharacity.jp/w012/010/010/020/120/51193.html" TargetMode="External" Id="rId18" /><Relationship Type="http://schemas.openxmlformats.org/officeDocument/2006/relationships/hyperlink" Target="https://www.city.higashimatsushima.miyagi.jp/shisei/shisaku-keikaku/kihonkeikaku/kokyokotsumo-keisei.html" TargetMode="External" Id="rId19" /><Relationship Type="http://schemas.openxmlformats.org/officeDocument/2006/relationships/hyperlink" Target="https://www.city.higashimatsushima.miyagi.jp/shisei/shisaku-keikaku/kihonkeikaku/index.html" TargetMode="External" Id="rId20" /><Relationship Type="http://schemas.openxmlformats.org/officeDocument/2006/relationships/hyperlink" Target="https://www.city.osaki.miyagi.jp/shisei/soshikikarasagasu/shiminkyodousuishimbu/machizukurisuishinka/3/2/1/3214.html" TargetMode="External" Id="rId21" /><Relationship Type="http://schemas.openxmlformats.org/officeDocument/2006/relationships/hyperlink" Target="https://www.city.osaki.miyagi.jp/material/files/group/12/20200421-200432.pdf" TargetMode="External" Id="rId22" /><Relationship Type="http://schemas.openxmlformats.org/officeDocument/2006/relationships/hyperlink" Target="https://www.tomiya-city.miyagi.jp/uploads/pdf/b4883b320d97c8ac81041749b47dad0a9397ae5e.pdf" TargetMode="External" Id="rId23" /><Relationship Type="http://schemas.openxmlformats.org/officeDocument/2006/relationships/hyperlink" Target="https://www.town.zao.miyagi.jp/kurashi_guide/seikatsu_kankyo/koutuu/koukyoukoutsuu.html" TargetMode="External" Id="rId24" /><Relationship Type="http://schemas.openxmlformats.org/officeDocument/2006/relationships/hyperlink" Target="https://town.zao.miyagi.jp/section/kankyo/kankyou/kihonkeikaku.files/kankyoukeikaku2.pdf" TargetMode="External" Id="rId25" /><Relationship Type="http://schemas.openxmlformats.org/officeDocument/2006/relationships/hyperlink" Target="https://www.town.ogawara.miyagi.jp/1292.htm" TargetMode="External" Id="rId26" /><Relationship Type="http://schemas.openxmlformats.org/officeDocument/2006/relationships/hyperlink" Target="https://www.town.ogawara.miyagi.jp/7882.htm" TargetMode="External" Id="rId27" /><Relationship Type="http://schemas.openxmlformats.org/officeDocument/2006/relationships/hyperlink" Target="https://www.pref.miyagi.jp/soshiki/soukou/abukumakyougikai-keikaku2.html" TargetMode="External" Id="rId28" /><Relationship Type="http://schemas.openxmlformats.org/officeDocument/2006/relationships/hyperlink" Target="https://www.town.shibata.miyagi.jp/index.cfm/82,54128,c,html/54128/20230329-105154.pdf" TargetMode="External" Id="rId29" /><Relationship Type="http://schemas.openxmlformats.org/officeDocument/2006/relationships/hyperlink" Target="https://www.town.kawasaki.miyagi.jp/soshiki/chishin/484.html" TargetMode="External" Id="rId30" /><Relationship Type="http://schemas.openxmlformats.org/officeDocument/2006/relationships/hyperlink" Target="http://www.town.marumori.miyagi.jp/common/img/content/content_20240411_180249.pdf" TargetMode="External" Id="rId31" /><Relationship Type="http://schemas.openxmlformats.org/officeDocument/2006/relationships/hyperlink" Target="https://www.town.watari.miyagi.jp/town/detail.php?content=1730" TargetMode="External" Id="rId32" /><Relationship Type="http://schemas.openxmlformats.org/officeDocument/2006/relationships/hyperlink" Target="https://www.town.watari.miyagi.jp/common/img/content/content_20220126_163920.pdf" TargetMode="External" Id="rId33" /><Relationship Type="http://schemas.openxmlformats.org/officeDocument/2006/relationships/hyperlink" Target="https://www.town.yamamoto.miyagi.jp/uploaded/attachment/19314.pdf" TargetMode="External" Id="rId34" /><Relationship Type="http://schemas.openxmlformats.org/officeDocument/2006/relationships/hyperlink" Target="https://www.town.rifu.miyagi.jp/gyosei/soshikikarasagasu/seikatu/koukyoukoutu/1/1162.html" TargetMode="External" Id="rId35" /><Relationship Type="http://schemas.openxmlformats.org/officeDocument/2006/relationships/hyperlink" Target="https://www.town.taiwa.miyagi.jp/soshiki/machizukuriseisaku/machizukuri_suishin/bustaxi/3547.html" TargetMode="External" Id="rId36" /><Relationship Type="http://schemas.openxmlformats.org/officeDocument/2006/relationships/hyperlink" Target="https://www.town.taiwa.miyagi.jp/soshiki/chominseikatsu/seikatsukankyo/3718.html" TargetMode="External" Id="rId37" /><Relationship Type="http://schemas.openxmlformats.org/officeDocument/2006/relationships/hyperlink" Target="https://www.town.kami.miyagi.jp/soshikikarasagasu/chominka/kankyoeisei/3689.html" TargetMode="External" Id="rId38" /><Relationship Type="http://schemas.openxmlformats.org/officeDocument/2006/relationships/hyperlink" Target="https://www.town.wakuya.miyagi.jp/documents/honpen.pdf" TargetMode="External" Id="rId39" /><Relationship Type="http://schemas.openxmlformats.org/officeDocument/2006/relationships/hyperlink" Target="https://www.town.onagawa.miyagi.jp/pdf/koutsuu/koutsu_keikaku_gaiyou.pdf" TargetMode="External" Id="rId40" /><Relationship Type="http://schemas.openxmlformats.org/officeDocument/2006/relationships/hyperlink" Target="https://www.town.minamisanriku.miyagi.jp/material/files/group/3/202602042.pdf" TargetMode="External" Id="rId41" /><Relationship Type="http://schemas.openxmlformats.org/officeDocument/2006/relationships/hyperlink" Target="https://www.town.minamisanriku.miyagi.jp/material/files/group/7/keikakusyo.pdf" TargetMode="External" Id="rId42" /></Relationships>
</file>

<file path=xl/worksheets/_rels/sheet5.xml.rels><Relationships xmlns="http://schemas.openxmlformats.org/package/2006/relationships"><Relationship Type="http://schemas.openxmlformats.org/officeDocument/2006/relationships/hyperlink" Target="https://www.city.akita.lg.jp/_res/projects/default_project/_page_/001/049/732/koukyoukoutuuseisakubijonn080306.pdf" TargetMode="External" Id="rId1" /><Relationship Type="http://schemas.openxmlformats.org/officeDocument/2006/relationships/hyperlink" Target="https://www.city.akita.lg.jp/_res/projects/default_project/_page_/001/006/108/keikaku23.pdf" TargetMode="External" Id="rId2" /><Relationship Type="http://schemas.openxmlformats.org/officeDocument/2006/relationships/hyperlink" Target="https://www.city.noshiro.lg.jp/sangyo/kokyo-kotsu/kokyokoutsu-keikaku/24040" TargetMode="External" Id="rId3" /><Relationship Type="http://schemas.openxmlformats.org/officeDocument/2006/relationships/hyperlink" Target="https://www.city.noshiro.lg.jp/sangyo/kankyo/keikaku/22091" TargetMode="External" Id="rId4" /><Relationship Type="http://schemas.openxmlformats.org/officeDocument/2006/relationships/hyperlink" Target="https://www.city.yokote.lg.jp/shisei/1001179/1001469/1001472/1003840.html" TargetMode="External" Id="rId5" /><Relationship Type="http://schemas.openxmlformats.org/officeDocument/2006/relationships/hyperlink" Target="https://www.city.yokote.lg.jp/shisei/1001179/1001469/1001471/1003346.html" TargetMode="External" Id="rId6" /><Relationship Type="http://schemas.openxmlformats.org/officeDocument/2006/relationships/hyperlink" Target="https://www.city.odate.lg.jp/city/soshiki/koutsu/p11901" TargetMode="External" Id="rId7" /><Relationship Type="http://schemas.openxmlformats.org/officeDocument/2006/relationships/hyperlink" Target="https://www.city.odate.lg.jp/city/soshiki/kankyokikaku/p7909" TargetMode="External" Id="rId8" /><Relationship Type="http://schemas.openxmlformats.org/officeDocument/2006/relationships/hyperlink" Target="https://www.city.oga.akita.jp/soshik/kikakuseisakuka/kakushukeikaku/6608.html" TargetMode="External" Id="rId9" /><Relationship Type="http://schemas.openxmlformats.org/officeDocument/2006/relationships/hyperlink" Target="https://www.city-yuzawa.jp/soshiki/31/5581.html" TargetMode="External" Id="rId10" /><Relationship Type="http://schemas.openxmlformats.org/officeDocument/2006/relationships/hyperlink" Target="https://www.city.kazuno.lg.jp/soshiki/shiminkyodo/kankyoseikatsu/gyomu/2/3/10092.html" TargetMode="External" Id="rId11" /><Relationship Type="http://schemas.openxmlformats.org/officeDocument/2006/relationships/hyperlink" Target="https://www.city.kazuno.lg.jp/soshiki/shiminkyodo/kankyoseikatsu/gyomu/1/3/index.html" TargetMode="External" Id="rId12" /><Relationship Type="http://schemas.openxmlformats.org/officeDocument/2006/relationships/hyperlink" Target="https://www.city.yurihonjo.lg.jp/1000006/1001990/1009868.html" TargetMode="External" Id="rId13" /><Relationship Type="http://schemas.openxmlformats.org/officeDocument/2006/relationships/hyperlink" Target="https://www.city.yurihonjo.lg.jp/_res/projects/default_project/_page_/001/007/924/keikaku.pdf" TargetMode="External" Id="rId14" /><Relationship Type="http://schemas.openxmlformats.org/officeDocument/2006/relationships/hyperlink" Target="https://www.city.katagami.lg.jp/soshiki/shiminseikatsu/chiikidukurika/chiikishinko/bus/4006.html" TargetMode="External" Id="rId15" /><Relationship Type="http://schemas.openxmlformats.org/officeDocument/2006/relationships/hyperlink" Target="https://www.city.katagami.lg.jp/material/files/group/6/kankyokihon2.pdf" TargetMode="External" Id="rId16" /><Relationship Type="http://schemas.openxmlformats.org/officeDocument/2006/relationships/hyperlink" Target="https://www.city.daisen.lg.jp/archive/contents-12074" TargetMode="External" Id="rId17" /><Relationship Type="http://schemas.openxmlformats.org/officeDocument/2006/relationships/hyperlink" Target="https://www.city.daisen.lg.jp/genre/administration/plannning" TargetMode="External" Id="rId18" /><Relationship Type="http://schemas.openxmlformats.org/officeDocument/2006/relationships/hyperlink" Target="https://www.city.kitaakita.akita.jp/uploads/public/news_0000015700_00/koukyoukoutsukeikaku.pdf" TargetMode="External" Id="rId19" /><Relationship Type="http://schemas.openxmlformats.org/officeDocument/2006/relationships/hyperlink" Target="https://www.city.kitaakita.akita.jp/uploads/public/archive_0000014042_00/%E3%80%90R3%E6%94%B9%E6%AD%A3%E3%80%91%E5%8C%97%E7%A7%8B%E7%94%B0%E5%B8%82%E7%92%B0%E5%A2%83%E5%9F%BA%E6%9C%AC%E8%A8%88%E7%94%BB_(%E6%9C%80%E7%B5%82%E7%89%88).pdf" TargetMode="External" Id="rId20" /><Relationship Type="http://schemas.openxmlformats.org/officeDocument/2006/relationships/hyperlink" Target="https://www.city.nikaho.akita.jp/material/files/group/5/koukyoukoutuukeikaku3.pdf" TargetMode="External" Id="rId21" /><Relationship Type="http://schemas.openxmlformats.org/officeDocument/2006/relationships/hyperlink" Target="https://www.city.semboku.akita.jp/government/keikaku/documents/220428_koukyoukoutsuu.pdf" TargetMode="External" Id="rId22" /><Relationship Type="http://schemas.openxmlformats.org/officeDocument/2006/relationships/hyperlink" Target="https://www.town.kosaka.akita.jp/machinososhiki/somuka/kikakuzaiseihan/2_2/kokyokotsukeikaku/2497.html" TargetMode="External" Id="rId23" /><Relationship Type="http://schemas.openxmlformats.org/officeDocument/2006/relationships/hyperlink" Target="https://www.town.kosaka.akita.jp/material/files/group/8/01.pdf" TargetMode="External" Id="rId24" /><Relationship Type="http://schemas.openxmlformats.org/officeDocument/2006/relationships/hyperlink" Target="http://www.town.fujisato.akita.jp/kotsu/c640/c643/2890" TargetMode="External" Id="rId25" /><Relationship Type="http://schemas.openxmlformats.org/officeDocument/2006/relationships/hyperlink" Target="https://www.env.go.jp/press/files/jp/3487.pdf" TargetMode="External" Id="rId26" /><Relationship Type="http://schemas.openxmlformats.org/officeDocument/2006/relationships/hyperlink" Target="https://www.town.mitane.akita.jp/material/files/group/3/mitanekoukyoukoutuukeikaku.pdf" TargetMode="External" Id="rId27" /><Relationship Type="http://schemas.openxmlformats.org/officeDocument/2006/relationships/hyperlink" Target="https://www.town.gojome.akita.jp/kurashi/koukyoukoutsu/2085" TargetMode="External" Id="rId28" /><Relationship Type="http://schemas.openxmlformats.org/officeDocument/2006/relationships/hyperlink" Target="https://www.town.gojome.akita.jp/kurashi/koukyoukoutsu/2085" TargetMode="External" Id="rId29" /><Relationship Type="http://schemas.openxmlformats.org/officeDocument/2006/relationships/hyperlink" Target="https://www.pref.akita.lg.jp/uploads/public/archive_0000062825_00/&#35251;&#12473;&#12509;_&#25152;&#31649;&#20107;&#38917;&#38306;&#36899;&#12288;&#21029;&#20874;&#65298;&#65288;&#31179;&#30000;&#30476;&#22320;&#22495;&#20844;&#20849;&#20132;&#36890;&#35336;&#30011;&#65288;&#26696;&#65289;&#12395;&#12388;&#12356;&#12390;&#65289;.pdf" TargetMode="External" Id="rId30" /><Relationship Type="http://schemas.openxmlformats.org/officeDocument/2006/relationships/hyperlink" Target="https://www.town.gojome.akita.jp/kurashi/koukyoukoutsu/2085" TargetMode="External" Id="rId31" /><Relationship Type="http://schemas.openxmlformats.org/officeDocument/2006/relationships/hyperlink" Target="https://www.town.misato.akita.jp/up/files/madoguchi/kikaku/kikakuzaiseihan/koutukeikaku/%E7%BE%8E%E9%83%B7%E7%94%BA%E5%9C%B0%E5%9F%9F%E5%85%AC%E5%85%B1%E4%BA%A4%E9%80%9A%E8%A8%88%E7%94%BB.pdf" TargetMode="External" Id="rId32" /><Relationship Type="http://schemas.openxmlformats.org/officeDocument/2006/relationships/hyperlink" Target="https://www.pref.akita.lg.jp/uploads/public/archive_0000062825_00/&#35251;&#12473;&#12509;_&#25152;&#31649;&#20107;&#38917;&#38306;&#36899;&#12288;&#21029;&#20874;&#65298;&#65288;&#31179;&#30000;&#30476;&#22320;&#22495;&#20844;&#20849;&#20132;&#36890;&#35336;&#30011;&#65288;&#26696;&#65289;&#12395;&#12388;&#12356;&#12390;&#65289;.pdf" TargetMode="External" Id="rId33" /><Relationship Type="http://schemas.openxmlformats.org/officeDocument/2006/relationships/hyperlink" Target="https://vill.higashinaruse.lg.jp/villager/lifework/post-36197/" TargetMode="External" Id="rId34" /></Relationships>
</file>

<file path=xl/worksheets/_rels/sheet6.xml.rels><Relationships xmlns="http://schemas.openxmlformats.org/package/2006/relationships"><Relationship Type="http://schemas.openxmlformats.org/officeDocument/2006/relationships/hyperlink" Target="https://www.city.yamagata-yamagata.lg.jp/_res/projects/default_project/_page_/001/002/654/keikaku2_honpen.pdf" TargetMode="External" Id="rId1" /><Relationship Type="http://schemas.openxmlformats.org/officeDocument/2006/relationships/hyperlink" Target="https://www.city.yamagata-yamagata.lg.jp/shiseijoho/keikaku/1006993/1002366.html" TargetMode="External" Id="rId2" /><Relationship Type="http://schemas.openxmlformats.org/officeDocument/2006/relationships/hyperlink" Target="https://www.city.yonezawa.yamagata.jp/soshiki/2/1007/7/2367.html" TargetMode="External" Id="rId3" /><Relationship Type="http://schemas.openxmlformats.org/officeDocument/2006/relationships/hyperlink" Target="https://www.city.yonezawa.yamagata.jp/soshiki/3/kankyo/9_1/8300.html" TargetMode="External" Id="rId4" /><Relationship Type="http://schemas.openxmlformats.org/officeDocument/2006/relationships/hyperlink" Target="https://www.city.tsuruoka.lg.jp/seibi/tiikikoukyoukoutu/tiiki0120160419.files/R8.3honnpenn.pdf" TargetMode="External" Id="rId5" /><Relationship Type="http://schemas.openxmlformats.org/officeDocument/2006/relationships/hyperlink" Target="https://www.city.tsuruoka.lg.jp/seibi/kankyo/kihonkeikaku/dainizi_kankyoukihon.html" TargetMode="External" Id="rId6" /><Relationship Type="http://schemas.openxmlformats.org/officeDocument/2006/relationships/hyperlink" Target="https://www.city.sakata.lg.jp/shisei/shisakukeikaku/kikaku/chiikokyokotsumo/trafficplan2021.html" TargetMode="External" Id="rId7" /><Relationship Type="http://schemas.openxmlformats.org/officeDocument/2006/relationships/hyperlink" Target="https://www.city.sakata.lg.jp/shisei/shisakukeikaku/shimin/kankyokihonkeikaku/kankyoplan03.files/kankyoplan3-data.pdf" TargetMode="External" Id="rId8" /><Relationship Type="http://schemas.openxmlformats.org/officeDocument/2006/relationships/hyperlink" Target="https://www.pref.yamagata.jp/documents/50579/keikaku_honpen.pdf" TargetMode="External" Id="rId9" /><Relationship Type="http://schemas.openxmlformats.org/officeDocument/2006/relationships/hyperlink" Target="http://www.city.shinjo.yamagata.jp/s008/170/010/kankyoukihonkeikakuno4.pdf" TargetMode="External" Id="rId10" /><Relationship Type="http://schemas.openxmlformats.org/officeDocument/2006/relationships/hyperlink" Target="https://www.city.sagae.yamagata.jp/shisei/keikaku/toshikankyokeikaku/koutsu_net_sakutei.html" TargetMode="External" Id="rId11" /><Relationship Type="http://schemas.openxmlformats.org/officeDocument/2006/relationships/hyperlink" Target="https://www.city.sagae.yamagata.jp/shisei/keikaku/toshikankyokeikaku/kankyokeikaku.html" TargetMode="External" Id="rId12" /><Relationship Type="http://schemas.openxmlformats.org/officeDocument/2006/relationships/hyperlink" Target="https://www.pref.yamagata.jp/020057/kurashi/kendo/kotsuseisaku/ykotsu_kasseikakyougikai.html" TargetMode="External" Id="rId13" /><Relationship Type="http://schemas.openxmlformats.org/officeDocument/2006/relationships/hyperlink" Target="https://www.city.kaminoyama.yamagata.jp/soshiki/6/kaitekikankyou-gaiyou.html" TargetMode="External" Id="rId14" /><Relationship Type="http://schemas.openxmlformats.org/officeDocument/2006/relationships/hyperlink" Target="https://www.pref.yamagata.jp/020057/kurashi/kendo/kotsuseisaku/ykotsu_kasseikakyougikai.html" TargetMode="External" Id="rId15" /><Relationship Type="http://schemas.openxmlformats.org/officeDocument/2006/relationships/hyperlink" Target="https://www.city.murayama.lg.jp/kurashi/shizen/kankyohozen/kankyoukihon.files/kankyou-2.pdf" TargetMode="External" Id="rId16" /><Relationship Type="http://schemas.openxmlformats.org/officeDocument/2006/relationships/hyperlink" Target="https://www.city.nagai.yamagata.jp/kurashi_tetsuzuki/kokyokotsu/1/15982.html" TargetMode="External" Id="rId17" /><Relationship Type="http://schemas.openxmlformats.org/officeDocument/2006/relationships/hyperlink" Target="https://www.city.nagai.yamagata.jp/soshiki/sougoseisaku/106/205/6/sisakukeikaku/13731.html" TargetMode="External" Id="rId18" /><Relationship Type="http://schemas.openxmlformats.org/officeDocument/2006/relationships/hyperlink" Target="https://www.pref.yamagata.jp/020057/kurashi/kendo/kotsuseisaku/ykotsu_kasseikakyougikai.html" TargetMode="External" Id="rId19" /><Relationship Type="http://schemas.openxmlformats.org/officeDocument/2006/relationships/hyperlink" Target="https://www.city.tendo.yamagata.jp/municipal/shisaku/kannkyoukihonn.html" TargetMode="External" Id="rId20" /><Relationship Type="http://schemas.openxmlformats.org/officeDocument/2006/relationships/hyperlink" Target="https://www.pref.yamagata.jp/020057/kurashi/kendo/kotsuseisaku/ykotsu_kasseikakyougikai.html" TargetMode="External" Id="rId21" /><Relationship Type="http://schemas.openxmlformats.org/officeDocument/2006/relationships/hyperlink" Target="https://www.city.higashine.yamagata.jp/section_list/section008/seikatsukankyo-keikaku/169" TargetMode="External" Id="rId22" /><Relationship Type="http://schemas.openxmlformats.org/officeDocument/2006/relationships/hyperlink" Target="https://www.pref.yamagata.jp/020057/kurashi/kendo/kotsuseisaku/ykotsu_kasseikakyougikai.html" TargetMode="External" Id="rId23" /><Relationship Type="http://schemas.openxmlformats.org/officeDocument/2006/relationships/hyperlink" Target="https://www.city.obanazawa.yamagata.jp/kurashi/kankyo/kankyo-shisaku/715" TargetMode="External" Id="rId24" /><Relationship Type="http://schemas.openxmlformats.org/officeDocument/2006/relationships/hyperlink" Target="http://www.city.nanyo.yamagata.jp/kikakusuishin/6356" TargetMode="External" Id="rId25" /><Relationship Type="http://schemas.openxmlformats.org/officeDocument/2006/relationships/hyperlink" Target="https://www.pref.yamagata.jp/020057/kurashi/kendo/kotsuseisaku/ykotsu_kasseikakyougikai.html" TargetMode="External" Id="rId26" /><Relationship Type="http://schemas.openxmlformats.org/officeDocument/2006/relationships/hyperlink" Target="https://www.pref.yamagata.jp/020057/kurashi/kendo/kotsuseisaku/ykotsu_kasseikakyougikai.html" TargetMode="External" Id="rId27" /><Relationship Type="http://schemas.openxmlformats.org/officeDocument/2006/relationships/hyperlink" Target="https://www.town.kahoku.yamagata.jp/gyouseizyouhou/seisaku_keikaku/keikaku_matizukuri/index.html" TargetMode="External" Id="rId28" /><Relationship Type="http://schemas.openxmlformats.org/officeDocument/2006/relationships/hyperlink" Target="https://www.town.nishikawa.yamagata.jp/uploaded/attachment/510.pdf" TargetMode="External" Id="rId29" /><Relationship Type="http://schemas.openxmlformats.org/officeDocument/2006/relationships/hyperlink" Target="https://www.pref.yamagata.jp/020057/kurashi/kendo/kotsuseisaku/ykotsu_kasseikakyougikai.html" TargetMode="External" Id="rId30" /><Relationship Type="http://schemas.openxmlformats.org/officeDocument/2006/relationships/hyperlink" Target="https://www.town.asahi.yamagata.jp/portal/soshikinogoannai/somuka/bosaigakari/3_1/3/2438.html" TargetMode="External" Id="rId31" /><Relationship Type="http://schemas.openxmlformats.org/officeDocument/2006/relationships/hyperlink" Target="https://www.pref.yamagata.jp/020057/kurashi/kendo/kotsuseisaku/ykotsu_kasseikakyougikai.html" TargetMode="External" Id="rId32" /><Relationship Type="http://schemas.openxmlformats.org/officeDocument/2006/relationships/hyperlink" Target="https://www.town.oe.yamagata.jp/government/mainpolicy/keikaku/" TargetMode="External" Id="rId33" /><Relationship Type="http://schemas.openxmlformats.org/officeDocument/2006/relationships/hyperlink" Target="https://www.pref.yamagata.jp/020057/kurashi/kendo/kotsuseisaku/ykotsu_kasseikakyougikai.html" TargetMode="External" Id="rId34" /><Relationship Type="http://schemas.openxmlformats.org/officeDocument/2006/relationships/hyperlink" Target="https://www.pref.yamagata.jp/020057/kurashi/kendo/kotsuseisaku/ykotsu_kasseikakyougikai.html" TargetMode="External" Id="rId35" /><Relationship Type="http://schemas.openxmlformats.org/officeDocument/2006/relationships/hyperlink" Target="https://www.pref.yamagata.jp/020057/kurashi/kendo/kotsuseisaku/ykotsu_kasseikakyougikai.html" TargetMode="External" Id="rId36" /><Relationship Type="http://schemas.openxmlformats.org/officeDocument/2006/relationships/hyperlink" Target="https://www.pref.yamagata.jp/020057/kurashi/kendo/kotsuseisaku/ykotsu_kasseikakyougikai.html" TargetMode="External" Id="rId37" /><Relationship Type="http://schemas.openxmlformats.org/officeDocument/2006/relationships/hyperlink" Target="https://www.pref.yamagata.jp/020057/kurashi/kendo/kotsuseisaku/ykotsu_kasseikakyougikai.html" TargetMode="External" Id="rId38" /><Relationship Type="http://schemas.openxmlformats.org/officeDocument/2006/relationships/hyperlink" Target="https://www.pref.yamagata.jp/020057/kurashi/kendo/kotsuseisaku/ykotsu_kasseikakyougikai.html" TargetMode="External" Id="rId39" /><Relationship Type="http://schemas.openxmlformats.org/officeDocument/2006/relationships/hyperlink" Target="https://www.pref.yamagata.jp/020057/kurashi/kendo/kotsuseisaku/ykotsu_kasseikakyougikai.html" TargetMode="External" Id="rId40" /><Relationship Type="http://schemas.openxmlformats.org/officeDocument/2006/relationships/hyperlink" Target="https://www.pref.yamagata.jp/020057/kurashi/kendo/kotsuseisaku/ykotsu_kasseikakyougikai.html" TargetMode="External" Id="rId41" /><Relationship Type="http://schemas.openxmlformats.org/officeDocument/2006/relationships/hyperlink" Target="https://www.town.takahata.yamagata.jp/soshikiichiran/kikaku/3/kokyokotsu/4511.html" TargetMode="External" Id="rId42" /><Relationship Type="http://schemas.openxmlformats.org/officeDocument/2006/relationships/hyperlink" Target="https://www.town.takahata.yamagata.jp/kurashi/gyoseijoho/kakushukeikaku/1/2728.html" TargetMode="External" Id="rId43" /><Relationship Type="http://schemas.openxmlformats.org/officeDocument/2006/relationships/hyperlink" Target="https://www.town.kawanishi.yamagata.jp/kurashi/doro/02keikaku.pdf" TargetMode="External" Id="rId44" /><Relationship Type="http://schemas.openxmlformats.org/officeDocument/2006/relationships/hyperlink" Target="https://www.town.oguni.yamagata.jp/soshiki/choumin/1214.html" TargetMode="External" Id="rId45" /><Relationship Type="http://schemas.openxmlformats.org/officeDocument/2006/relationships/hyperlink" Target="https://www.pref.yamagata.jp/020057/kurashi/kendo/kotsuseisaku/ykotsu_kasseikakyougikai.html" TargetMode="External" Id="rId46" /><Relationship Type="http://schemas.openxmlformats.org/officeDocument/2006/relationships/hyperlink" Target="https://www.pref.yamagata.jp/020057/kurashi/kendo/kotsuseisaku/ykotsu_kasseikakyougikai.html" TargetMode="External" Id="rId47" /><Relationship Type="http://schemas.openxmlformats.org/officeDocument/2006/relationships/hyperlink" Target="https://www.pref.yamagata.jp/020057/kurashi/kendo/kotsuseisaku/ykotsu_kasseikakyougikai.html" TargetMode="External" Id="rId48" /><Relationship Type="http://schemas.openxmlformats.org/officeDocument/2006/relationships/hyperlink" Target="https://www.town.shonai.lg.jp/kurashi/koutsu/chiikikoukyou/tiikikoukyokotsukaigi.html" TargetMode="External" Id="rId49" /><Relationship Type="http://schemas.openxmlformats.org/officeDocument/2006/relationships/hyperlink" Target="https://www.town.shonai.lg.jp/gyousei/shisaku/seisaku/index.html" TargetMode="External" Id="rId50" /><Relationship Type="http://schemas.openxmlformats.org/officeDocument/2006/relationships/hyperlink" Target="https://www.pref.yamagata.jp/020057/kurashi/kendo/kotsuseisaku/ykotsu_kasseikakyougikai.html" TargetMode="External" Id="rId51" /><Relationship Type="http://schemas.openxmlformats.org/officeDocument/2006/relationships/hyperlink" Target="https://www.town.yuza.yamagata.jp/genre/living/environment" TargetMode="External" Id="rId52" /></Relationships>
</file>

<file path=xl/worksheets/_rels/sheet7.xml.rels><Relationships xmlns="http://schemas.openxmlformats.org/package/2006/relationships"><Relationship Type="http://schemas.openxmlformats.org/officeDocument/2006/relationships/hyperlink" Target="https://www.city.fukushima.fukushima.jp/material/files/group/62/40koutuukeikaku-honnpenn1.pdf" TargetMode="External" Id="rId1" /><Relationship Type="http://schemas.openxmlformats.org/officeDocument/2006/relationships/hyperlink" Target="https://www.city.fukushima.fukushima.jp/material/files/group/36/02_r6_kannkyoukihonnkeikaku.pdf" TargetMode="External" Id="rId2" /><Relationship Type="http://schemas.openxmlformats.org/officeDocument/2006/relationships/hyperlink" Target="https://www.pref.fukushima.lg.jp/sec/16005d/aizukenikimoukeikaku.html" TargetMode="External" Id="rId3" /><Relationship Type="http://schemas.openxmlformats.org/officeDocument/2006/relationships/hyperlink" Target="https://www.city.aizuwakamatsu.fukushima.jp/docs/2024050800012/" TargetMode="External" Id="rId4" /><Relationship Type="http://schemas.openxmlformats.org/officeDocument/2006/relationships/hyperlink" Target="https://www.city.koriyama.lg.jp/soshiki/125/68026.html" TargetMode="External" Id="rId5" /><Relationship Type="http://schemas.openxmlformats.org/officeDocument/2006/relationships/hyperlink" Target="https://www.city.koriyama.lg.jp/uploaded/attachment/109925.pdf" TargetMode="External" Id="rId6" /><Relationship Type="http://schemas.openxmlformats.org/officeDocument/2006/relationships/hyperlink" Target="https://www.city.iwaki.lg.jp/www/contents/1679296597893/simple/koukyoukoutuukeikaku1.pdf" TargetMode="External" Id="rId7" /><Relationship Type="http://schemas.openxmlformats.org/officeDocument/2006/relationships/hyperlink" Target="https://www.city.iwaki.lg.jp/www/contents/1774836268840/simple/gaiyo.pdf" TargetMode="External" Id="rId8" /><Relationship Type="http://schemas.openxmlformats.org/officeDocument/2006/relationships/hyperlink" Target="https://www.city.shirakawa.fukushima.jp/data/doc/1712536078_doc_45_0.pdf" TargetMode="External" Id="rId9" /><Relationship Type="http://schemas.openxmlformats.org/officeDocument/2006/relationships/hyperlink" Target="https://www.city.shirakawa.fukushima.jp/data/doc/1634185398_doc_49_0.pdf" TargetMode="External" Id="rId10" /><Relationship Type="http://schemas.openxmlformats.org/officeDocument/2006/relationships/hyperlink" Target="https://www.city.sukagawa.fukushima.jp/kurashi/koutsu/koutsu_keikaku/1015962.html" TargetMode="External" Id="rId11" /><Relationship Type="http://schemas.openxmlformats.org/officeDocument/2006/relationships/hyperlink" Target="https://www.city.sukagawa.fukushima.jp/kurashi/gomi_recycle/kankyo_hozen/1002334/index.html" TargetMode="External" Id="rId12" /><Relationship Type="http://schemas.openxmlformats.org/officeDocument/2006/relationships/hyperlink" Target="https://www.pref.fukushima.lg.jp/sec/16005d/aizukenikimoukeikaku.html" TargetMode="External" Id="rId13" /><Relationship Type="http://schemas.openxmlformats.org/officeDocument/2006/relationships/hyperlink" Target="https://www.city.kitakata.fukushima.jp/life/4/25/125/" TargetMode="External" Id="rId14" /><Relationship Type="http://schemas.openxmlformats.org/officeDocument/2006/relationships/hyperlink" Target="https://www.city.soma.fukushima.jp/shinososhiki/seikatsukankyoka/keikaku_shisaku/1622.html" TargetMode="External" Id="rId15" /><Relationship Type="http://schemas.openxmlformats.org/officeDocument/2006/relationships/hyperlink" Target="https://www.city.nihonmatsu.lg.jp/kurashi_tetsuduki/koutsu/page011927.html" TargetMode="External" Id="rId16" /><Relationship Type="http://schemas.openxmlformats.org/officeDocument/2006/relationships/hyperlink" Target="https://www.city.nihonmatsu.lg.jp/data/doc/1716164612_doc_33_0.pdf" TargetMode="External" Id="rId17" /><Relationship Type="http://schemas.openxmlformats.org/officeDocument/2006/relationships/hyperlink" Target="https://www.city.tamura.lg.jp/soshiki/1/assets/&#12304;set&#12305;&#30000;&#26449;&#24066;&#22320;&#22495;&#20844;&#20849;&#20132;&#36890;&#35336;&#30011;&#27010;&#35201;&#29256;2406&#25913;&#35330;.pdf" TargetMode="External" Id="rId18" /><Relationship Type="http://schemas.openxmlformats.org/officeDocument/2006/relationships/hyperlink" Target="https://www.city.minamisoma.lg.jp/material/files/group/3/202601281245.pdf" TargetMode="External" Id="rId19" /><Relationship Type="http://schemas.openxmlformats.org/officeDocument/2006/relationships/hyperlink" Target="https://www.city.minamisoma.lg.jp/material/files/group/3/20231024_co148.pdf" TargetMode="External" Id="rId20" /><Relationship Type="http://schemas.openxmlformats.org/officeDocument/2006/relationships/hyperlink" Target="https://www.city.fukushima-date.lg.jp/soshiki/86/47231.html" TargetMode="External" Id="rId21" /><Relationship Type="http://schemas.openxmlformats.org/officeDocument/2006/relationships/hyperlink" Target="https://www.city.fukushima-date.lg.jp/soshiki/86/47604.html" TargetMode="External" Id="rId22" /><Relationship Type="http://schemas.openxmlformats.org/officeDocument/2006/relationships/hyperlink" Target="https://www.city.motomiya.lg.jp/soshiki/10/tiikikoukyoukoutsuukeikaku.html" TargetMode="External" Id="rId23" /><Relationship Type="http://schemas.openxmlformats.org/officeDocument/2006/relationships/hyperlink" Target="https://www.pref.fukushima.lg.jp/sec/16005d/hinankeikaku.html" TargetMode="External" Id="rId24" /><Relationship Type="http://schemas.openxmlformats.org/officeDocument/2006/relationships/hyperlink" Target="https://www.vill.otama.fukushima.jp/gyousei_jouhou/keikaku/" TargetMode="External" Id="rId25" /><Relationship Type="http://schemas.openxmlformats.org/officeDocument/2006/relationships/hyperlink" Target="https://www.town.minamiaizu.lg.jp/official/soshikikarasagasu/sogoseisakuka/kakushukeikaku/1/3114.html" TargetMode="External" Id="rId26" /><Relationship Type="http://schemas.openxmlformats.org/officeDocument/2006/relationships/hyperlink" Target="https://www.town.minamiaizu.lg.jp/official/soshikikarasagasu/kankyosuidoka/kakushukeikaku/1/450.html" TargetMode="External" Id="rId27" /><Relationship Type="http://schemas.openxmlformats.org/officeDocument/2006/relationships/hyperlink" Target="https://www.vill.kitashiobara.fukushima.jp/soshiki/somukikaku/6805.html" TargetMode="External" Id="rId28" /><Relationship Type="http://schemas.openxmlformats.org/officeDocument/2006/relationships/hyperlink" Target="https://www.pref.fukushima.lg.jp/sec/16005d/aizukeniki-keikaku-ribenkeikaku.html" TargetMode="External" Id="rId29" /><Relationship Type="http://schemas.openxmlformats.org/officeDocument/2006/relationships/hyperlink" Target="https://www.pref.fukushima.lg.jp/sec/16005d/aizukeniki-keikaku-ribenkeikaku.html" TargetMode="External" Id="rId30" /><Relationship Type="http://schemas.openxmlformats.org/officeDocument/2006/relationships/hyperlink" Target="https://www.pref.fukushima.lg.jp/sec/16005d/aizukeniki-keikaku-ribenkeikaku.html" TargetMode="External" Id="rId31" /><Relationship Type="http://schemas.openxmlformats.org/officeDocument/2006/relationships/hyperlink" Target="https://www.pref.fukushima.lg.jp/sec/16005d/aizukeniki-keikaku-ribenkeikaku.html" TargetMode="External" Id="rId32" /><Relationship Type="http://schemas.openxmlformats.org/officeDocument/2006/relationships/hyperlink" Target="https://www.vill.nishigo.fukushima.jp/material/files/group/3/koutsuukeikaku_soan_2026.pdf" TargetMode="External" Id="rId33" /><Relationship Type="http://schemas.openxmlformats.org/officeDocument/2006/relationships/hyperlink" Target="https://www.vill.nishigo.fukushima.jp/soshiki/kankyohozenka/kankyo_gomi/2/4547.html" TargetMode="External" Id="rId34" /><Relationship Type="http://schemas.openxmlformats.org/officeDocument/2006/relationships/hyperlink" Target="https://www.pref.fukushima.lg.jp/uploaded/attachment/622613.pdf" TargetMode="External" Id="rId35" /><Relationship Type="http://schemas.openxmlformats.org/officeDocument/2006/relationships/hyperlink" Target="https://www.pref.fukushima.lg.jp/uploaded/attachment/622613.pdf" TargetMode="External" Id="rId36" /><Relationship Type="http://schemas.openxmlformats.org/officeDocument/2006/relationships/hyperlink" Target="https://www.town.yabuki.fukushima.jp/page/page009573.html" TargetMode="External" Id="rId37" /><Relationship Type="http://schemas.openxmlformats.org/officeDocument/2006/relationships/hyperlink" Target="https://www.pref.fukushima.lg.jp/uploaded/attachment/622613.pdf" TargetMode="External" Id="rId38" /><Relationship Type="http://schemas.openxmlformats.org/officeDocument/2006/relationships/hyperlink" Target="https://www.town.tanagura.fukushima.jp/data/doc/1617153691_doc_15_0.pdf" TargetMode="External" Id="rId39" /><Relationship Type="http://schemas.openxmlformats.org/officeDocument/2006/relationships/hyperlink" Target="https://www.pref.fukushima.lg.jp/uploaded/attachment/622613.pdf" TargetMode="External" Id="rId40" /><Relationship Type="http://schemas.openxmlformats.org/officeDocument/2006/relationships/hyperlink" Target="https://www.town.hanawa.fukushima.jp/page/page000688.html" TargetMode="External" Id="rId41" /><Relationship Type="http://schemas.openxmlformats.org/officeDocument/2006/relationships/hyperlink" Target="https://www.vill.samegawa.fukushima.jp/sp/page/page002592.html" TargetMode="External" Id="rId42" /><Relationship Type="http://schemas.openxmlformats.org/officeDocument/2006/relationships/hyperlink" Target="https://www.town.ishikawa.fukushima.jp/admin/project/03/24.html" TargetMode="External" Id="rId43" /><Relationship Type="http://schemas.openxmlformats.org/officeDocument/2006/relationships/hyperlink" Target="https://www.vill.tamakawa.fukushima.jp/guide/plan/000055.html" TargetMode="External" Id="rId44" /><Relationship Type="http://schemas.openxmlformats.org/officeDocument/2006/relationships/hyperlink" Target="https://www.pref.fukushima.lg.jp/uploaded/attachment/622613.pdf" TargetMode="External" Id="rId45" /><Relationship Type="http://schemas.openxmlformats.org/officeDocument/2006/relationships/hyperlink" Target="https://www.pref.fukushima.lg.jp/uploaded/attachment/622613.pdf" TargetMode="External" Id="rId46" /><Relationship Type="http://schemas.openxmlformats.org/officeDocument/2006/relationships/hyperlink" Target="https://www.pref.fukushima.lg.jp/uploaded/attachment/622613.pdf" TargetMode="External" Id="rId47" /><Relationship Type="http://schemas.openxmlformats.org/officeDocument/2006/relationships/hyperlink" Target="https://www.town.miharu.fukushima.jp/soshiki/4/kokyoukotsu.html" TargetMode="External" Id="rId48" /><Relationship Type="http://schemas.openxmlformats.org/officeDocument/2006/relationships/hyperlink" Target="https://www.town.ono.fukushima.jp/soshiki/3/entry_9.html" TargetMode="External" Id="rId49" /><Relationship Type="http://schemas.openxmlformats.org/officeDocument/2006/relationships/hyperlink" Target="https://www.pref.fukushima.lg.jp/sec/16005d/hinan-koutsuu-keikaku.html" TargetMode="External" Id="rId50" /><Relationship Type="http://schemas.openxmlformats.org/officeDocument/2006/relationships/hyperlink" Target="https://www.town.hirono.fukushima.jp/chousei/machidukuri/1003877/1005075.html" TargetMode="External" Id="rId51" /><Relationship Type="http://schemas.openxmlformats.org/officeDocument/2006/relationships/hyperlink" Target="https://www.pref.fukushima.lg.jp/sec/16005d/hinan-koutsuu-keikaku.html" TargetMode="External" Id="rId52" /><Relationship Type="http://schemas.openxmlformats.org/officeDocument/2006/relationships/hyperlink" Target="https://www.pref.fukushima.lg.jp/sec/16005d/hinan-koutsuu-keikaku.html" TargetMode="External" Id="rId53" /><Relationship Type="http://schemas.openxmlformats.org/officeDocument/2006/relationships/hyperlink" Target="https://www.pref.fukushima.lg.jp/sec/16005d/hinan-koutsuu-keikaku.html" TargetMode="External" Id="rId54" /><Relationship Type="http://schemas.openxmlformats.org/officeDocument/2006/relationships/hyperlink" Target="https://www.pref.fukushima.lg.jp/sec/16005d/hinan-koutsuu-keikaku.html" TargetMode="External" Id="rId55" /><Relationship Type="http://schemas.openxmlformats.org/officeDocument/2006/relationships/hyperlink" Target="https://www.pref.fukushima.lg.jp/sec/16005d/hinan-koutsuu-keikaku.html" TargetMode="External" Id="rId56" /><Relationship Type="http://schemas.openxmlformats.org/officeDocument/2006/relationships/hyperlink" Target="https://www.pref.fukushima.lg.jp/sec/16005d/hinan-koutsuu-keikaku.html" TargetMode="External" Id="rId57" /><Relationship Type="http://schemas.openxmlformats.org/officeDocument/2006/relationships/hyperlink" Target="https://www.pref.fukushima.lg.jp/sec/16005d/hinan-koutsuu-keikaku.html" TargetMode="External" Id="rId58" /><Relationship Type="http://schemas.openxmlformats.org/officeDocument/2006/relationships/hyperlink" Target="https://www.pref.fukushima.lg.jp/sec/16005d/chiikikoukyoukasseikakyougikai.html" TargetMode="External" Id="rId59" /><Relationship Type="http://schemas.openxmlformats.org/officeDocument/2006/relationships/hyperlink" Target="https://www.pref.fukushima.lg.jp/sec/16005d/hinan-koutsuu-keikaku.html" TargetMode="External" Id="rId60" /></Relationships>
</file>

<file path=xl/worksheets/_rels/sheet8.xml.rels><Relationships xmlns="http://schemas.openxmlformats.org/package/2006/relationships"><Relationship Type="http://schemas.openxmlformats.org/officeDocument/2006/relationships/hyperlink" Target="https://www.city.mito.lg.jp/page/117784.html" TargetMode="External" Id="rId1" /><Relationship Type="http://schemas.openxmlformats.org/officeDocument/2006/relationships/hyperlink" Target="https://www.city.mito.lg.jp/page/3982.html" TargetMode="External" Id="rId2" /><Relationship Type="http://schemas.openxmlformats.org/officeDocument/2006/relationships/hyperlink" Target="https://www.city.hitachi.lg.jp/machizukuri_kankyo/kotsu_doro/1002832/1012175.html" TargetMode="External" Id="rId3" /><Relationship Type="http://schemas.openxmlformats.org/officeDocument/2006/relationships/hyperlink" Target="https://www.city.hitachi.lg.jp/_res/projects/default_project/_page_/001/011/987/keikakuhonpen.pdf" TargetMode="External" Id="rId4" /><Relationship Type="http://schemas.openxmlformats.org/officeDocument/2006/relationships/hyperlink" Target="https://www.city.tsuchiura.lg.jp/page/page009677.html" TargetMode="External" Id="rId5" /><Relationship Type="http://schemas.openxmlformats.org/officeDocument/2006/relationships/hyperlink" Target="https://www.city.tsuchiura.lg.jp/shisei/shinokeikaku/kankyo-kotsu-machizukuri/page017189.html" TargetMode="External" Id="rId6" /><Relationship Type="http://schemas.openxmlformats.org/officeDocument/2006/relationships/hyperlink" Target="https://www.city.ibaraki-koga.lg.jp/material/files/group/80/kogasikoukyoukoutuukeikaku2.pdf" TargetMode="External" Id="rId7" /><Relationship Type="http://schemas.openxmlformats.org/officeDocument/2006/relationships/hyperlink" Target="https://www.city.ibaraki-koga.lg.jp/material/files/group/21/kankyoukeikakuhyousi.pdf" TargetMode="External" Id="rId8" /><Relationship Type="http://schemas.openxmlformats.org/officeDocument/2006/relationships/hyperlink" Target="https://www.city.ishioka.lg.jp/data/doc/1712650110_doc_103_0.pdf" TargetMode="External" Id="rId9" /><Relationship Type="http://schemas.openxmlformats.org/officeDocument/2006/relationships/hyperlink" Target="https://www.city.ishioka.lg.jp/data/doc/1749196597_doc_45_0.pdf" TargetMode="External" Id="rId10" /><Relationship Type="http://schemas.openxmlformats.org/officeDocument/2006/relationships/hyperlink" Target="https://www.city.yuki.lg.jp/shisei/keikaku/keikaku-gaiyou/page007919.html" TargetMode="External" Id="rId11" /><Relationship Type="http://schemas.openxmlformats.org/officeDocument/2006/relationships/hyperlink" Target="https://www.city.yuki.lg.jp/shisei/publiccomment/r02/page006785.html" TargetMode="External" Id="rId12" /><Relationship Type="http://schemas.openxmlformats.org/officeDocument/2006/relationships/hyperlink" Target="https://www.city.ryugasaki.ibaraki.jp/kurashi/seikatsu/kokyokotsu/keikaku/20220329131428914.files/01.pdf" TargetMode="External" Id="rId13" /><Relationship Type="http://schemas.openxmlformats.org/officeDocument/2006/relationships/hyperlink" Target="https://www.city.ryugasaki.ibaraki.jp/kurashi/kankyo/kankyo/kankyohakusyo/r7-kakyohakusyo.files/R7kankyo-hakusyo.pdf" TargetMode="External" Id="rId14" /><Relationship Type="http://schemas.openxmlformats.org/officeDocument/2006/relationships/hyperlink" Target="https://www.city.hitachiota.ibaraki.jp/data/doc/1651137157_doc_40_0.pdf" TargetMode="External" Id="rId15" /><Relationship Type="http://schemas.openxmlformats.org/officeDocument/2006/relationships/hyperlink" Target="https://www.city.hitachiota.ibaraki.jp/page/page009600.html" TargetMode="External" Id="rId16" /><Relationship Type="http://schemas.openxmlformats.org/officeDocument/2006/relationships/hyperlink" Target="https://www.city.takahagi.ibaraki.jp/kurashi/koutsu/page005493.html" TargetMode="External" Id="rId17" /><Relationship Type="http://schemas.openxmlformats.org/officeDocument/2006/relationships/hyperlink" Target="https://www.city.takahagi.ibaraki.jp/kurashi/sumai/kankyou/ondanka/page004519.html" TargetMode="External" Id="rId18" /><Relationship Type="http://schemas.openxmlformats.org/officeDocument/2006/relationships/hyperlink" Target="https://www.city.kitaibaraki.lg.jp/docs/2024013000015" TargetMode="External" Id="rId19" /><Relationship Type="http://schemas.openxmlformats.org/officeDocument/2006/relationships/hyperlink" Target="https://cms.city.kitaibaraki.lg.jp/docs/2025060500022/file_contents/file_20256113161234_1.pdf" TargetMode="External" Id="rId20" /><Relationship Type="http://schemas.openxmlformats.org/officeDocument/2006/relationships/hyperlink" Target="https://www.city.kasama.lg.jp/data/doc/1758843883_doc_70_0.pdf" TargetMode="External" Id="rId21" /><Relationship Type="http://schemas.openxmlformats.org/officeDocument/2006/relationships/hyperlink" Target="https://www.city.kasama.lg.jp/data/doc/1774510801_doc_207_0.pdf" TargetMode="External" Id="rId22" /><Relationship Type="http://schemas.openxmlformats.org/officeDocument/2006/relationships/hyperlink" Target="https://www.city.toride.ibaraki.jp/seisaku/shise/machizukuri/sogo/plan2024/kanrenkeikaku.html" TargetMode="External" Id="rId23" /><Relationship Type="http://schemas.openxmlformats.org/officeDocument/2006/relationships/hyperlink" Target="https://www.city.toride.ibaraki.jp/seisaku/shise/machizukuri/sogo/plan2024/documents/33dai2jikannkyoukihonkeikaku.pdf" TargetMode="External" Id="rId24" /><Relationship Type="http://schemas.openxmlformats.org/officeDocument/2006/relationships/hyperlink" Target="https://www.city.ushiku.lg.jp/kurashi-tetsuduki/seikatsu/kokyokotsu/page014651.html" TargetMode="External" Id="rId25" /><Relationship Type="http://schemas.openxmlformats.org/officeDocument/2006/relationships/hyperlink" Target="https://www.city.ushiku.lg.jp/page/page002088.html" TargetMode="External" Id="rId26" /><Relationship Type="http://schemas.openxmlformats.org/officeDocument/2006/relationships/hyperlink" Target="https://www.city.tsukuba.lg.jp/material/files/group/137/3honpen.pdf" TargetMode="External" Id="rId27" /><Relationship Type="http://schemas.openxmlformats.org/officeDocument/2006/relationships/hyperlink" Target="https://www.city.hitachinaka.lg.jp/_res/projects/default_project/_page_/001/016/190/hitachinakashi_chiikikoukyoukoutuukeikakuan.pdf" TargetMode="External" Id="rId28" /><Relationship Type="http://schemas.openxmlformats.org/officeDocument/2006/relationships/hyperlink" Target="https://www.city.hitachinaka.lg.jp/_res/projects/default_project/_page_/001/017/041/kaiteigaiyoubann.pdf" TargetMode="External" Id="rId29" /><Relationship Type="http://schemas.openxmlformats.org/officeDocument/2006/relationships/hyperlink" Target="https://www.city.kashima.ibaraki.jp/uploaded/attachment/60268.pdf" TargetMode="External" Id="rId30" /><Relationship Type="http://schemas.openxmlformats.org/officeDocument/2006/relationships/hyperlink" Target="https://www.city.kashima.ibaraki.jp/uploaded/life/87842_130084_misc.pdf" TargetMode="External" Id="rId31" /><Relationship Type="http://schemas.openxmlformats.org/officeDocument/2006/relationships/hyperlink" Target="https://www.city.itako.lg.jp/page/page006375.html" TargetMode="External" Id="rId32" /><Relationship Type="http://schemas.openxmlformats.org/officeDocument/2006/relationships/hyperlink" Target="https://www.city.moriya.ibaraki.jp/kurashi_tetsuzuki/koutsu/1002163/1002204.html" TargetMode="External" Id="rId33" /><Relationship Type="http://schemas.openxmlformats.org/officeDocument/2006/relationships/hyperlink" Target="https://www.city.moriya.ibaraki.jp/kurashi_tetsuzuki/kankyo_gomi/1001993/1002006.html" TargetMode="External" Id="rId34" /><Relationship Type="http://schemas.openxmlformats.org/officeDocument/2006/relationships/hyperlink" Target="https://www.city.hitachiomiya.lg.jp/data/doc/1685520960_doc_100_0.pdf" TargetMode="External" Id="rId35" /><Relationship Type="http://schemas.openxmlformats.org/officeDocument/2006/relationships/hyperlink" Target="https://www.city.hitachiomiya.lg.jp/data/doc/1673312876_doc_1_0.pdf" TargetMode="External" Id="rId36" /><Relationship Type="http://schemas.openxmlformats.org/officeDocument/2006/relationships/hyperlink" Target="https://www.city.naka.lg.jp/gyousei/keikaku/page009950.html" TargetMode="External" Id="rId37" /><Relationship Type="http://schemas.openxmlformats.org/officeDocument/2006/relationships/hyperlink" Target="https://www.city.naka.lg.jp/gyousei/keikaku/page009444.html" TargetMode="External" Id="rId38" /><Relationship Type="http://schemas.openxmlformats.org/officeDocument/2006/relationships/hyperlink" Target="https://www.city.chikusei.lg.jp/machidukuri/traffic/page009177.html" TargetMode="External" Id="rId39" /><Relationship Type="http://schemas.openxmlformats.org/officeDocument/2006/relationships/hyperlink" Target="https://www.city.bando.lg.jp/page/page006076.html" TargetMode="External" Id="rId40" /><Relationship Type="http://schemas.openxmlformats.org/officeDocument/2006/relationships/hyperlink" Target="https://www.city.bando.lg.jp/page/page010074.html" TargetMode="External" Id="rId41" /><Relationship Type="http://schemas.openxmlformats.org/officeDocument/2006/relationships/hyperlink" Target="https://www.city.inashiki.lg.jp/page/page004756.html" TargetMode="External" Id="rId42" /><Relationship Type="http://schemas.openxmlformats.org/officeDocument/2006/relationships/hyperlink" Target="https://www.city.inashiki.lg.jp/page/page007577.html" TargetMode="External" Id="rId43" /><Relationship Type="http://schemas.openxmlformats.org/officeDocument/2006/relationships/hyperlink" Target="https://www.city.kasumigaura.lg.jp/data/doc/1605678793_doc_10_1.pdf" TargetMode="External" Id="rId44" /><Relationship Type="http://schemas.openxmlformats.org/officeDocument/2006/relationships/hyperlink" Target="https://www.city.kasumigaura.lg.jp/data/doc/1736999768_doc_11_0.pdf" TargetMode="External" Id="rId45" /><Relationship Type="http://schemas.openxmlformats.org/officeDocument/2006/relationships/hyperlink" Target="https://www.city.sakuragawa.lg.jp/sys/public/data/doc/1641257134_0.pdf" TargetMode="External" Id="rId46" /><Relationship Type="http://schemas.openxmlformats.org/officeDocument/2006/relationships/hyperlink" Target="https://www.city.sakuragawa.lg.jp/sys/public/data/doc/1578273137_0.pdf" TargetMode="External" Id="rId47" /><Relationship Type="http://schemas.openxmlformats.org/officeDocument/2006/relationships/hyperlink" Target="https://www.city.kamisu.ibaraki.jp/_res/projects/default_project/_page_/001/003/540/kokeikaku2.pdf" TargetMode="External" Id="rId48" /><Relationship Type="http://schemas.openxmlformats.org/officeDocument/2006/relationships/hyperlink" Target="https://www.city.kamisu.ibaraki.jp/_res/projects/default_project/_page_/001/004/216/kamisushikankyoukihonkeikaku.pdf" TargetMode="External" Id="rId49" /><Relationship Type="http://schemas.openxmlformats.org/officeDocument/2006/relationships/hyperlink" Target="https://www.city.namegata.ibaraki.jp/page/page010706.html" TargetMode="External" Id="rId50" /><Relationship Type="http://schemas.openxmlformats.org/officeDocument/2006/relationships/hyperlink" Target="https://www.city.hokota.lg.jp/page/page007091.html" TargetMode="External" Id="rId51" /><Relationship Type="http://schemas.openxmlformats.org/officeDocument/2006/relationships/hyperlink" Target="https://www.city.hokota.lg.jp/data/doc/1654669803_doc_37_0.pdf" TargetMode="External" Id="rId52" /><Relationship Type="http://schemas.openxmlformats.org/officeDocument/2006/relationships/hyperlink" Target="https://www.city.tsukubamirai.lg.jp/jyumin/shisetu-koutsu/koukyoukoutsu/page004893.html" TargetMode="External" Id="rId53" /><Relationship Type="http://schemas.openxmlformats.org/officeDocument/2006/relationships/hyperlink" Target="https://www.city.tsukubamirai.lg.jp/jyumin/gomi-kankyou-doubutsu/kankyouhozen/page000080.html" TargetMode="External" Id="rId54" /><Relationship Type="http://schemas.openxmlformats.org/officeDocument/2006/relationships/hyperlink" Target="https://www.city.omitama.lg.jp/0102/info-0000010942-0.html" TargetMode="External" Id="rId55" /><Relationship Type="http://schemas.openxmlformats.org/officeDocument/2006/relationships/hyperlink" Target="https://www.city.omitama.lg.jp/manage/contents/upload/602de700e73ca.pdf" TargetMode="External" Id="rId56" /><Relationship Type="http://schemas.openxmlformats.org/officeDocument/2006/relationships/hyperlink" Target="https://www.town.ibaraki.lg.jp/gyousei/kurashitetuduki/gomirisaikle/keikaku/index.html" TargetMode="External" Id="rId57" /><Relationship Type="http://schemas.openxmlformats.org/officeDocument/2006/relationships/hyperlink" Target="https://www.town.oarai.lg.jp/wp/wp-content/uploads/2023/07/%E5%A4%A7%E6%B4%97%E7%94%BA%E5%9C%B0%E5%9F%9F%E5%85%AC%E5%85%B1%E4%BA%A4%E9%80%9A%E8%A8%88%E7%94%BB.pdf" TargetMode="External" Id="rId58" /><Relationship Type="http://schemas.openxmlformats.org/officeDocument/2006/relationships/hyperlink" Target="https://www.town.oarai.lg.jp/wp/wp-content/uploads/2021/03/%E7%AC%AC2%E6%AC%A1%E5%A4%A7%E6%B4%97%E7%94%BA%E7%92%B0%E5%A2%83%E5%9F%BA%E6%9C%AC%E8%A8%88%E7%94%BB%EF%BC%88PDF%EF%BC%89.pdf" TargetMode="External" Id="rId59" /><Relationship Type="http://schemas.openxmlformats.org/officeDocument/2006/relationships/hyperlink" Target="https://www.town.shirosato.lg.jp/page/page006784.html" TargetMode="External" Id="rId60" /><Relationship Type="http://schemas.openxmlformats.org/officeDocument/2006/relationships/hyperlink" Target="https://www.town.shirosato.lg.jp/data/doc/1630301878_doc_711_0.pdf" TargetMode="External" Id="rId61" /><Relationship Type="http://schemas.openxmlformats.org/officeDocument/2006/relationships/hyperlink" Target="https://www.vill.tokai.ibaraki.jp/soshikikarasagasu/sangyobu/sangyoseisakuka/1/1_2/2/5673.html" TargetMode="External" Id="rId62" /><Relationship Type="http://schemas.openxmlformats.org/officeDocument/2006/relationships/hyperlink" Target="https://www.vill.tokai.ibaraki.jp/soshikikarasagasu/somminseikatsubu/kankyoseisakuka/1/1/4/11386.html" TargetMode="External" Id="rId63" /><Relationship Type="http://schemas.openxmlformats.org/officeDocument/2006/relationships/hyperlink" Target="https://www.town.daigo.ibaraki.jp/page/page002515.html" TargetMode="External" Id="rId64" /><Relationship Type="http://schemas.openxmlformats.org/officeDocument/2006/relationships/hyperlink" Target="https://www.town.daigo.ibaraki.jp/page/page003178.html" TargetMode="External" Id="rId65" /><Relationship Type="http://schemas.openxmlformats.org/officeDocument/2006/relationships/hyperlink" Target="https://www.town.ami.lg.jp/cmsfiles/contents/0000009/9640/keikaku.pdf" TargetMode="External" Id="rId66" /><Relationship Type="http://schemas.openxmlformats.org/officeDocument/2006/relationships/hyperlink" Target="https://www.town.ami.lg.jp/cmsfiles/contents/0000012/12659/1syou.pdf" TargetMode="External" Id="rId67" /><Relationship Type="http://schemas.openxmlformats.org/officeDocument/2006/relationships/hyperlink" Target="https://www.town.goka.lg.jp/data/doc/1690350530_doc_20_0.pdf" TargetMode="External" Id="rId68" /><Relationship Type="http://schemas.openxmlformats.org/officeDocument/2006/relationships/hyperlink" Target="https://www.town.goka.lg.jp/data/doc/1684388643_doc_20_0.pdf" TargetMode="External" Id="rId69" /><Relationship Type="http://schemas.openxmlformats.org/officeDocument/2006/relationships/hyperlink" Target="https://www.town.tone.ibaraki.jp/data/doc/1766025418_doc_182_0.pdf" TargetMode="External" Id="rId70" /></Relationships>
</file>

<file path=xl/worksheets/_rels/sheet9.xml.rels><Relationships xmlns="http://schemas.openxmlformats.org/package/2006/relationships"><Relationship Type="http://schemas.openxmlformats.org/officeDocument/2006/relationships/hyperlink" Target="https://www.city.utsunomiya.lg.jp/_res/projects/default_project/_page_/001/035/885/chiikikeikaku.pdf" TargetMode="External" Id="rId1" /><Relationship Type="http://schemas.openxmlformats.org/officeDocument/2006/relationships/hyperlink" Target="https://www.city.utsunomiya.lg.jp/_res/projects/default_project/_page_/001/045/465/4ji_sasshi.pdf" TargetMode="External" Id="rId2" /><Relationship Type="http://schemas.openxmlformats.org/officeDocument/2006/relationships/hyperlink" Target="https://www.city.ashikaga.tochigi.jp/manage/contents/upload/64dc71a539bc0.pdf" TargetMode="External" Id="rId3" /><Relationship Type="http://schemas.openxmlformats.org/officeDocument/2006/relationships/hyperlink" Target="https://www.city.ashikaga.tochigi.jp/manage/contents/upload/633fd39cd506a.pdf" TargetMode="External" Id="rId4" /><Relationship Type="http://schemas.openxmlformats.org/officeDocument/2006/relationships/hyperlink" Target="https://www.city.tochigi.lg.jp/uploaded/attachment/56361.pdf" TargetMode="External" Id="rId5" /><Relationship Type="http://schemas.openxmlformats.org/officeDocument/2006/relationships/hyperlink" Target="https://www.city.tochigi.lg.jp/uploaded/attachment/60576.pdf" TargetMode="External" Id="rId6" /><Relationship Type="http://schemas.openxmlformats.org/officeDocument/2006/relationships/hyperlink" Target="https://www.city.sano.lg.jp/material/files/group/1/koutuukeikaku2.pdf" TargetMode="External" Id="rId7" /><Relationship Type="http://schemas.openxmlformats.org/officeDocument/2006/relationships/hyperlink" Target="https://www.city.sano.lg.jp/material/files/group/1/kankyoukouki2.pdf" TargetMode="External" Id="rId8" /><Relationship Type="http://schemas.openxmlformats.org/officeDocument/2006/relationships/hyperlink" Target="https://www.city.kanuma.tochigi.jp/manage/contents/upload/623824c0af645.pdf" TargetMode="External" Id="rId9" /><Relationship Type="http://schemas.openxmlformats.org/officeDocument/2006/relationships/hyperlink" Target="https://www.city.kanuma.tochigi.jp/0097/info-0000007871-1.html" TargetMode="External" Id="rId10" /><Relationship Type="http://schemas.openxmlformats.org/officeDocument/2006/relationships/hyperlink" Target="https://www.city.nikko.lg.jp/material/files/group/33/tiikikoukyoukoutuukeikaku.pdf" TargetMode="External" Id="rId11" /><Relationship Type="http://schemas.openxmlformats.org/officeDocument/2006/relationships/hyperlink" Target="https://www.city.nikko.lg.jp/soshiki/6/1031/5/1/1/125.html" TargetMode="External" Id="rId12" /><Relationship Type="http://schemas.openxmlformats.org/officeDocument/2006/relationships/hyperlink" Target="https://www.city.oyama.tochigi.jp/o-bus/news/page011195.html" TargetMode="External" Id="rId13" /><Relationship Type="http://schemas.openxmlformats.org/officeDocument/2006/relationships/hyperlink" Target="https://www.city.oyama.tochigi.jp/data/doc/1700382745_doc_21_0.pdf" TargetMode="External" Id="rId14" /><Relationship Type="http://schemas.openxmlformats.org/officeDocument/2006/relationships/hyperlink" Target="https://www.city.moka.lg.jp/material/files/group/47/kotsu_plan_r8.pdf" TargetMode="External" Id="rId15" /><Relationship Type="http://schemas.openxmlformats.org/officeDocument/2006/relationships/hyperlink" Target="https://www.city.moka.lg.jp/material/files/group/22/20260416kankyougaiyouban.pdf" TargetMode="External" Id="rId16" /><Relationship Type="http://schemas.openxmlformats.org/officeDocument/2006/relationships/hyperlink" Target="https://www.city.ohtawara.tochigi.jp/docs/2026073100056" TargetMode="External" Id="rId17" /><Relationship Type="http://schemas.openxmlformats.org/officeDocument/2006/relationships/hyperlink" Target="https://www.city.ohtawara.tochigi.jp/docs/2026013000019" TargetMode="External" Id="rId18" /><Relationship Type="http://schemas.openxmlformats.org/officeDocument/2006/relationships/hyperlink" Target="https://www.city.yaita.tochigi.jp/soshiki/toshiseibi/koukyoukoutsu-plan.html" TargetMode="External" Id="rId19" /><Relationship Type="http://schemas.openxmlformats.org/officeDocument/2006/relationships/hyperlink" Target="https://www.city.yaita.tochigi.jp/soshiki/seikatsukankyou/kankyo-kihon.html" TargetMode="External" Id="rId20" /><Relationship Type="http://schemas.openxmlformats.org/officeDocument/2006/relationships/hyperlink" Target="https://www.city.nasushiobara.tochigi.jp/material/files/group/15/nasushiobaracity_2nd_publictransportation.pdf" TargetMode="External" Id="rId21" /><Relationship Type="http://schemas.openxmlformats.org/officeDocument/2006/relationships/hyperlink" Target="https://www.city.nasushiobara.tochigi.jp/material/files/group/13/dai2ki_kankyokihonkeikaku_an.pdf" TargetMode="External" Id="rId22" /><Relationship Type="http://schemas.openxmlformats.org/officeDocument/2006/relationships/hyperlink" Target="https://www.city.tochigi-sakura.lg.jp/life/000017/p003140.html" TargetMode="External" Id="rId23" /><Relationship Type="http://schemas.openxmlformats.org/officeDocument/2006/relationships/hyperlink" Target="https://www.city.tochigi-sakura.lg.jp/life/000014/000121/000403/p001957.html" TargetMode="External" Id="rId24" /><Relationship Type="http://schemas.openxmlformats.org/officeDocument/2006/relationships/hyperlink" Target="https://www.city.nasukarasuyama.lg.jp/page/page000722.html" TargetMode="External" Id="rId25" /><Relationship Type="http://schemas.openxmlformats.org/officeDocument/2006/relationships/hyperlink" Target="https://www.city.nasukarasuyama.lg.jp/page/page000773.html" TargetMode="External" Id="rId26" /><Relationship Type="http://schemas.openxmlformats.org/officeDocument/2006/relationships/hyperlink" Target="https://www.city.shimotsuke.lg.jp/0170/info-0000005122-3.html" TargetMode="External" Id="rId27" /><Relationship Type="http://schemas.openxmlformats.org/officeDocument/2006/relationships/hyperlink" Target="https://www.city.shimotsuke.lg.jp/office0109/section-3.html" TargetMode="External" Id="rId28" /><Relationship Type="http://schemas.openxmlformats.org/officeDocument/2006/relationships/hyperlink" Target="https://www.town.kaminokawa.lg.jp/0166/info-0000001338-0.html" TargetMode="External" Id="rId29" /><Relationship Type="http://schemas.openxmlformats.org/officeDocument/2006/relationships/hyperlink" Target="https://www.town.kaminokawa.lg.jp/0003/info-0000003247-0.html" TargetMode="External" Id="rId30" /><Relationship Type="http://schemas.openxmlformats.org/officeDocument/2006/relationships/hyperlink" Target="https://www.town.mashiko.lg.jp/page/page003396.html" TargetMode="External" Id="rId31" /><Relationship Type="http://schemas.openxmlformats.org/officeDocument/2006/relationships/hyperlink" Target="https://www.town.mashiko.lg.jp/page/page000467.html" TargetMode="External" Id="rId32" /><Relationship Type="http://schemas.openxmlformats.org/officeDocument/2006/relationships/hyperlink" Target="https://www.town.motegi.tochigi.jp/motegi/nextpage.php?cd=6374&amp;syurui=2" TargetMode="External" Id="rId33" /><Relationship Type="http://schemas.openxmlformats.org/officeDocument/2006/relationships/hyperlink" Target="https://www.town.motegi.tochigi.jp/motegi/nextpage.php?cd=7672&amp;syurui=2" TargetMode="External" Id="rId34" /><Relationship Type="http://schemas.openxmlformats.org/officeDocument/2006/relationships/hyperlink" Target="https://www.town.ichikai.tochigi.jp/info/785" TargetMode="External" Id="rId35" /><Relationship Type="http://schemas.openxmlformats.org/officeDocument/2006/relationships/hyperlink" Target="https://www.town.ichikai.tochigi.jp/info/1814" TargetMode="External" Id="rId36" /><Relationship Type="http://schemas.openxmlformats.org/officeDocument/2006/relationships/hyperlink" Target="https://www.town.tochigi-haga.lg.jp/kurashi/sekatsu/kokyokotsu/koukyoukoutsuu/koukyoukoutsuu6.html" TargetMode="External" Id="rId37" /><Relationship Type="http://schemas.openxmlformats.org/officeDocument/2006/relationships/hyperlink" Target="https://www.town.tochigi-haga.lg.jp/kurashi/kurashi/ka-bonnyu-toraru/documents/jitugennkeikaku1.pdf" TargetMode="External" Id="rId38" /><Relationship Type="http://schemas.openxmlformats.org/officeDocument/2006/relationships/hyperlink" Target="https://www.town.mibu.tochigi.jp/docs/2026042000042" TargetMode="External" Id="rId39" /><Relationship Type="http://schemas.openxmlformats.org/officeDocument/2006/relationships/hyperlink" Target="https://www.town.mibu.tochigi.jp/docs/2025032700030/file_contents/mibumachikankyokihonkeikaku.pdf" TargetMode="External" Id="rId40" /><Relationship Type="http://schemas.openxmlformats.org/officeDocument/2006/relationships/hyperlink" Target="https://www.town.nogi.lg.jp/cyousei/cyousei_jyouhou/keikaku/keikaku_toshiseibi/page005745.html" TargetMode="External" Id="rId41" /><Relationship Type="http://schemas.openxmlformats.org/officeDocument/2006/relationships/hyperlink" Target="https://www.town.nogi.lg.jp/kurashi/kankyou/ondanka/hojo/" TargetMode="External" Id="rId42" /><Relationship Type="http://schemas.openxmlformats.org/officeDocument/2006/relationships/hyperlink" Target="https://www.town.shioya.tochigi.jp/info/2531" TargetMode="External" Id="rId43" /><Relationship Type="http://schemas.openxmlformats.org/officeDocument/2006/relationships/hyperlink" Target="https://www.town.shioya.tochigi.jp/info/2490" TargetMode="External" Id="rId44" /><Relationship Type="http://schemas.openxmlformats.org/officeDocument/2006/relationships/hyperlink" Target="https://www.town.takanezawa.tochigi.jp/gyosei/plan/bunya/documents/202604koutsukeikaku.pdf" TargetMode="External" Id="rId45" /><Relationship Type="http://schemas.openxmlformats.org/officeDocument/2006/relationships/hyperlink" Target="https://www.town.takanezawa.tochigi.jp/life/kankyo/keikaku/documents/kankyoukihon2026gaiyou.pdf" TargetMode="External" Id="rId46" /><Relationship Type="http://schemas.openxmlformats.org/officeDocument/2006/relationships/hyperlink" Target="https://www.town.nasu.lg.jp/manage/contents/upload/6243b2b07f368.pdf" TargetMode="External" Id="rId47" /><Relationship Type="http://schemas.openxmlformats.org/officeDocument/2006/relationships/hyperlink" Target="http://www.town.nasu.lg.jp/0076/info-0000004347-1.html" TargetMode="External" Id="rId48" /><Relationship Type="http://schemas.openxmlformats.org/officeDocument/2006/relationships/hyperlink" Target="https://www.city.nasushiobara.tochigi.jp/soshikikarasagasu/kb/shinoseisakutokeikaku/1/5504.html" TargetMode="External" Id="rId49" /><Relationship Type="http://schemas.openxmlformats.org/officeDocument/2006/relationships/hyperlink" Target="https://www.town.tochigi-nakagawa.lg.jp/35kankyo/01keikaku/index.html" TargetMode="External" Id="rId50" /></Relationships>
</file>

<file path=xl/worksheets/_rels/sheet10.xml.rels><Relationships xmlns="http://schemas.openxmlformats.org/package/2006/relationships"><Relationship Type="http://schemas.openxmlformats.org/officeDocument/2006/relationships/hyperlink" Target="https://www.city.maebashi.gunma.jp/material/files/group/9/6keikakusouann7-2-4.pdf" TargetMode="External" Id="rId1" /><Relationship Type="http://schemas.openxmlformats.org/officeDocument/2006/relationships/hyperlink" Target="https://www.city.maebashi.gunma.jp/soshiki/kankyo/kankyoseisaku/gyomu/2_1/5/2718.html" TargetMode="External" Id="rId2" /><Relationship Type="http://schemas.openxmlformats.org/officeDocument/2006/relationships/hyperlink" Target="https://www.city.takasaki.gunma.jp/page/3402.html" TargetMode="External" Id="rId3" /><Relationship Type="http://schemas.openxmlformats.org/officeDocument/2006/relationships/hyperlink" Target="https://www.city.kiryu.lg.jp/_res/projects/default_project/_page_/001/024/200/tpplan2024.pdf" TargetMode="External" Id="rId4" /><Relationship Type="http://schemas.openxmlformats.org/officeDocument/2006/relationships/hyperlink" Target="https://www.city.kiryu.lg.jp/shisei/keikaku/1018141/1002981.html" TargetMode="External" Id="rId5" /><Relationship Type="http://schemas.openxmlformats.org/officeDocument/2006/relationships/hyperlink" Target="https://www.city.isesaki.lg.jp/material/files/group/29/dai3jikankyoukihonkeikaku.pdf" TargetMode="External" Id="rId6" /><Relationship Type="http://schemas.openxmlformats.org/officeDocument/2006/relationships/hyperlink" Target="https://www.city.ota.gunma.jp/page/1051226.html" TargetMode="External" Id="rId7" /><Relationship Type="http://schemas.openxmlformats.org/officeDocument/2006/relationships/hyperlink" Target="https://www.city.ota.gunma.jp/uploaded/attachment/2236.pdf" TargetMode="External" Id="rId8" /><Relationship Type="http://schemas.openxmlformats.org/officeDocument/2006/relationships/hyperlink" Target="https://www.city.numata.gunma.jp/life/kotsu/bus/1014138.html" TargetMode="External" Id="rId9" /><Relationship Type="http://schemas.openxmlformats.org/officeDocument/2006/relationships/hyperlink" Target="https://www.city.numata.gunma.jp/shisei/keikaku/keikaku/1016056.html" TargetMode="External" Id="rId10" /><Relationship Type="http://schemas.openxmlformats.org/officeDocument/2006/relationships/hyperlink" Target="https://www.city.tatebayashi.gunma.jp/s015/shisei/040/020tatebayashitoshikenchiikikoukyoukoutukeikaku/2ndtatebayashitoshikentiikikoukyoukoutukeikaku.pdf" TargetMode="External" Id="rId11" /><Relationship Type="http://schemas.openxmlformats.org/officeDocument/2006/relationships/hyperlink" Target="https://www.city.tatebayashi.gunma.jp/s024/kurashi/120/080/020/kankyo-keikaku.pdf" TargetMode="External" Id="rId12" /><Relationship Type="http://schemas.openxmlformats.org/officeDocument/2006/relationships/hyperlink" Target="http://www.city.shibukawa.lg.jp/shisei/000259/000269/p006726.html" TargetMode="External" Id="rId13" /><Relationship Type="http://schemas.openxmlformats.org/officeDocument/2006/relationships/hyperlink" Target="https://www.city.shibukawa.lg.jp/kurashi/gomi/kankyoseisaku/p006733.html" TargetMode="External" Id="rId14" /><Relationship Type="http://schemas.openxmlformats.org/officeDocument/2006/relationships/hyperlink" Target="https://www.city.fujioka.gunma.jp/material/files/group/21/gaiyouR05.pdf" TargetMode="External" Id="rId15" /><Relationship Type="http://schemas.openxmlformats.org/officeDocument/2006/relationships/hyperlink" Target="https://www.city.tomioka.lg.jp/www/contents/1597279234959/simple/03_koukyoukoutsuu.pdf" TargetMode="External" Id="rId16" /><Relationship Type="http://schemas.openxmlformats.org/officeDocument/2006/relationships/hyperlink" Target="https://www.city.tomioka.lg.jp/www/section/1000000000100/index.html" TargetMode="External" Id="rId17" /><Relationship Type="http://schemas.openxmlformats.org/officeDocument/2006/relationships/hyperlink" Target="https://www.city.annaka.lg.jp/page/17203.html" TargetMode="External" Id="rId18" /><Relationship Type="http://schemas.openxmlformats.org/officeDocument/2006/relationships/hyperlink" Target="https://www.city.annaka.lg.jp/page/1015.html" TargetMode="External" Id="rId19" /><Relationship Type="http://schemas.openxmlformats.org/officeDocument/2006/relationships/hyperlink" Target="https://www.city.midori.gunma.jp/_res/projects/default_project/_page_/001/009/285/keikaku.pdf" TargetMode="External" Id="rId20" /><Relationship Type="http://schemas.openxmlformats.org/officeDocument/2006/relationships/hyperlink" Target="https://www.city.midori.gunma.jp/_res/projects/default_project/_page_/001/005/834/sdgs_midori_202504kaisei.pdf" TargetMode="External" Id="rId21" /><Relationship Type="http://schemas.openxmlformats.org/officeDocument/2006/relationships/hyperlink" Target="https://www.town.shimonita.lg.jp/hoken-kankyo/m01/m02/m01/kankyo-kihonplan.pdf" TargetMode="External" Id="rId22" /><Relationship Type="http://schemas.openxmlformats.org/officeDocument/2006/relationships/hyperlink" Target="https://www.town.kanra.lg.jp/kikaku/chousei/sozai/other/traffic_plan.pdf" TargetMode="External" Id="rId23" /><Relationship Type="http://schemas.openxmlformats.org/officeDocument/2006/relationships/hyperlink" Target="https://www.town.nakanojo.gunma.jp/soshiki/4/14126.html" TargetMode="External" Id="rId24" /><Relationship Type="http://schemas.openxmlformats.org/officeDocument/2006/relationships/hyperlink" Target="https://www.town.nakanojo.gunma.jp/soshiki/4/1284.html" TargetMode="External" Id="rId25" /><Relationship Type="http://schemas.openxmlformats.org/officeDocument/2006/relationships/hyperlink" Target="https://www.town.naganohara.gunma.jp/www/contents/1681342705782/index.html" TargetMode="External" Id="rId26" /><Relationship Type="http://schemas.openxmlformats.org/officeDocument/2006/relationships/hyperlink" Target="https://www.town.higashiagatsuma.gunma.jp/www/contents/1650246606240/index.html" TargetMode="External" Id="rId27" /><Relationship Type="http://schemas.openxmlformats.org/officeDocument/2006/relationships/hyperlink" Target="https://www.town.tamamura.lg.jp/docs/2026050600012" TargetMode="External" Id="rId28" /><Relationship Type="http://schemas.openxmlformats.org/officeDocument/2006/relationships/hyperlink" Target="https://www.city.tatebayashi.gunma.jp/s015/shisei/040/020tatebayashitoshikenchiikikoukyoukoutukeikaku/2ndtatebayashitoshikentiikikoukyoukoutukeikaku.pdf" TargetMode="External" Id="rId29" /><Relationship Type="http://schemas.openxmlformats.org/officeDocument/2006/relationships/hyperlink" Target="https://www.town.meiwa.gunma.jp/material/files/group/2/2ndkeikaku.pdf" TargetMode="External" Id="rId30" /><Relationship Type="http://schemas.openxmlformats.org/officeDocument/2006/relationships/hyperlink" Target="https://www.city.tatebayashi.gunma.jp/s015/shisei/040/020tatebayashitoshikenchiikikoukyoukoutukeikaku/2ndtatebayashitoshikentiikikoukyoukoutukeikaku.pdf" TargetMode="External" Id="rId31" /><Relationship Type="http://schemas.openxmlformats.org/officeDocument/2006/relationships/hyperlink" Target="https://www.town.oizumi.gunma.jp/s024/gyosei/010/010/050kankyokihonkeikaku/20240325132109.html" TargetMode="External" Id="rId32" /><Relationship Type="http://schemas.openxmlformats.org/officeDocument/2006/relationships/hyperlink" Target="https://www.city.tatebayashi.gunma.jp/s015/shisei/040/020tatebayashitoshikenchiikikoukyoukoutukeikaku/2ndtatebayashitoshikentiikikoukyoukoutukeikaku.pdf" TargetMode="External" Id="rId33" /><Relationship Type="http://schemas.openxmlformats.org/officeDocument/2006/relationships/hyperlink" Target="https://www.town.ora.gunma.jp/s017/020/100/700/env-basicplan.pdf" TargetMode="External" Id="rId34" /></Relationships>
</file>

<file path=xl/worksheets/_rels/sheet11.xml.rels><Relationships xmlns="http://schemas.openxmlformats.org/package/2006/relationships"><Relationship Type="http://schemas.openxmlformats.org/officeDocument/2006/relationships/hyperlink" Target="https://www.city.miyazaki.miyazaki.jp/city/policy/transportation/223591.html" TargetMode="External" Id="rId1" /><Relationship Type="http://schemas.openxmlformats.org/officeDocument/2006/relationships/hyperlink" Target="https://www.city.miyazaki.miyazaki.jp/fs/8/3/8/2/2/9/_/838229.pdf" TargetMode="External" Id="rId2" /><Relationship Type="http://schemas.openxmlformats.org/officeDocument/2006/relationships/hyperlink" Target="https://www.city.miyakonojo.miyazaki.jp/soshiki/78/63199.html" TargetMode="External" Id="rId3" /><Relationship Type="http://schemas.openxmlformats.org/officeDocument/2006/relationships/hyperlink" Target="https://www.city.miyakonojo.miyazaki.jp/uploaded/attachment/26663.pdf" TargetMode="External" Id="rId4" /><Relationship Type="http://schemas.openxmlformats.org/officeDocument/2006/relationships/hyperlink" Target="https://www.city.nobeoka.miyazaki.jp/soshiki/4/33676.html" TargetMode="External" Id="rId5" /><Relationship Type="http://schemas.openxmlformats.org/officeDocument/2006/relationships/hyperlink" Target="https://www.city.nobeoka.miyazaki.jp/soshiki/24/33838.html" TargetMode="External" Id="rId6" /><Relationship Type="http://schemas.openxmlformats.org/officeDocument/2006/relationships/hyperlink" Target="https://www.city.nichinan.lg.jp/soshikikarasagasu/miraisoseika/2/2/1125.html" TargetMode="External" Id="rId7" /><Relationship Type="http://schemas.openxmlformats.org/officeDocument/2006/relationships/hyperlink" Target="https://www.city.kobayashi.lg.jp/material/files/group/6/20240531koutuukeikaku.pdf" TargetMode="External" Id="rId8" /><Relationship Type="http://schemas.openxmlformats.org/officeDocument/2006/relationships/hyperlink" Target="https://www.city.kobayashi.lg.jp/material/files/group/14/R5-R14kobayasisikankyoukihonkeikaku.pdf" TargetMode="External" Id="rId9" /><Relationship Type="http://schemas.openxmlformats.org/officeDocument/2006/relationships/hyperlink" Target="https://www.hyugacity.jp/sp/tempimg/20240124090032.pdf" TargetMode="External" Id="rId10" /><Relationship Type="http://schemas.openxmlformats.org/officeDocument/2006/relationships/hyperlink" Target="https://www.hyugacity.jp/sp/display.php?slist=0012" TargetMode="External" Id="rId11" /><Relationship Type="http://schemas.openxmlformats.org/officeDocument/2006/relationships/hyperlink" Target="https://www.city.kushima.lg.jp/main/city/tiitki/cat3051/post-658.html" TargetMode="External" Id="rId12" /><Relationship Type="http://schemas.openxmlformats.org/officeDocument/2006/relationships/hyperlink" Target="https://www.city.saito.lg.jp/kurashi/kokyokotsu/post_1473.html" TargetMode="External" Id="rId13" /><Relationship Type="http://schemas.openxmlformats.org/officeDocument/2006/relationships/hyperlink" Target="https://www.city.saito.lg.jp/%E6%A6%82%E8%A6%81%E7%89%88.pdf" TargetMode="External" Id="rId14" /><Relationship Type="http://schemas.openxmlformats.org/officeDocument/2006/relationships/hyperlink" Target="https://www.city.ebino.lg.jp/soshiki/kikaku/6/866.html" TargetMode="External" Id="rId15" /><Relationship Type="http://schemas.openxmlformats.org/officeDocument/2006/relationships/hyperlink" Target="https://www.city.ebino.lg.jp/soshiki/shiminkankyo/2/1343.html" TargetMode="External" Id="rId16" /><Relationship Type="http://schemas.openxmlformats.org/officeDocument/2006/relationships/hyperlink" Target="https://www.town.mimata.lg.jp/upload/file/01soumu/03gyosei/%E5%85%AC%E5%85%B1%E4%BA%A4%E9%80%9A%E8%A8%88%E7%94%BB/%E3%80%90%E5%AE%8C%E6%88%90%E7%89%88%E3%80%91%E2%98%85%E4%B8%89%E8%82%A1%E7%94%BA%E5%9C%B0%E5%9F%9F%E5%85%AC%E5%85%B1%E4%BA%A4%E9%80%9A%E8%A8%88%E7%94%BB.pdf" TargetMode="External" Id="rId17" /><Relationship Type="http://schemas.openxmlformats.org/officeDocument/2006/relationships/hyperlink" Target="https://www.town.takaharu.lg.jp/uploaded/life/303843_13457119_misc.pdf" TargetMode="External" Id="rId18" /><Relationship Type="http://schemas.openxmlformats.org/officeDocument/2006/relationships/hyperlink" Target="https://www.town.shintomi.lg.jp/item/20459.htm" TargetMode="External" Id="rId19" /><Relationship Type="http://schemas.openxmlformats.org/officeDocument/2006/relationships/hyperlink" Target="https://www.town.kijo.lg.jp/sosikikarasagasu/tiikiseisakuka/7/1/2433.html" TargetMode="External" Id="rId20" /><Relationship Type="http://schemas.openxmlformats.org/officeDocument/2006/relationships/hyperlink" Target="https://www.town.kadogawa.lg.jp/live/data/772474da5c2da6f187648a7d061279dd.pdf" TargetMode="External" Id="rId21" /><Relationship Type="http://schemas.openxmlformats.org/officeDocument/2006/relationships/hyperlink" Target="https://www.town.kadogawa.lg.jp/news/data/730a8477ba8ab68d33388d679ee484d0.pdf" TargetMode="External" Id="rId22" /><Relationship Type="http://schemas.openxmlformats.org/officeDocument/2006/relationships/hyperlink" Target="https://www.pref.miyazaki.lg.jp/sogokotsu/shigoto/butsuryu/20240221101503.html" TargetMode="External" Id="rId23" /><Relationship Type="http://schemas.openxmlformats.org/officeDocument/2006/relationships/hyperlink" Target="https://www.pref.miyazaki.lg.jp/sogokotsu/shigoto/butsuryu/20240221101503.html" TargetMode="External" Id="rId24" /><Relationship Type="http://schemas.openxmlformats.org/officeDocument/2006/relationships/hyperlink" Target="https://www.pref.miyazaki.lg.jp/sogokotsu/shigoto/butsuryu/20240221101503.html" TargetMode="External" Id="rId25" /><Relationship Type="http://schemas.openxmlformats.org/officeDocument/2006/relationships/hyperlink" Target="https://www.town-takachiho.jp/top/soshiki/kikakukanko/2881.html" TargetMode="External" Id="rId26" /><Relationship Type="http://schemas.openxmlformats.org/officeDocument/2006/relationships/hyperlink" Target="https://www.town.hinokage.lg.jp/docs/2023032900016/file_contents/keikaku_.pdf" TargetMode="External" Id="rId27" /><Relationship Type="http://schemas.openxmlformats.org/officeDocument/2006/relationships/hyperlink" Target="https://www.pref.miyazaki.lg.jp/sogokotsu/shigoto/butsuryu/20240221101503.html" TargetMode="External" Id="rId28" /></Relationships>
</file>

<file path=xl/worksheets/sheet1.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4" customWidth="1" min="1" max="1"/>
    <col width="12" customWidth="1" min="2" max="2"/>
    <col width="10" customWidth="1" min="3" max="3"/>
    <col width="12" customWidth="1" min="4" max="4"/>
    <col width="18" customWidth="1" min="5" max="5"/>
    <col width="16" customWidth="1" min="6" max="6"/>
    <col width="12" customWidth="1" min="7" max="7"/>
    <col width="10" customWidth="1" min="8" max="8"/>
    <col width="14" customWidth="1" min="9" max="9"/>
  </cols>
  <sheetData>
    <row r="1">
      <c r="A1" s="1" t="inlineStr">
        <is>
          <t>自治体 地域公共交通計画・環境基本計画 終期一覧　集計・設定</t>
        </is>
      </c>
    </row>
    <row r="3">
      <c r="A3" s="2" t="inlineStr">
        <is>
          <t>■ 営業対象とする終期（令和年度）</t>
        </is>
      </c>
    </row>
    <row r="4">
      <c r="B4" s="3" t="inlineStr">
        <is>
          <t>下限</t>
        </is>
      </c>
      <c r="C4" s="4" t="n">
        <v>9</v>
      </c>
      <c r="D4" s="5" t="inlineStr">
        <is>
          <t>▼プルダウンで選ぶと全シートの判定（◎）と終期セルの色が切り替わります。例：R10年度に終わる計画も見る→上限を10に／R10だけ見る→下限・上限とも10に。</t>
        </is>
      </c>
    </row>
    <row r="5">
      <c r="B5" s="3" t="inlineStr">
        <is>
          <t>上限</t>
        </is>
      </c>
      <c r="C5" s="4" t="n">
        <v>9</v>
      </c>
      <c r="D5" s="5" t="inlineStr">
        <is>
          <t>R8年度で終わる計画は作成中のため対象外（初期値は下限9・上限9）。終期セルの色：緑＝対象年度、橙＝上限の翌年度（次の営業候補）。</t>
        </is>
      </c>
    </row>
    <row r="7">
      <c r="A7" s="2" t="inlineStr">
        <is>
          <t>■ 県別の集計</t>
        </is>
      </c>
    </row>
    <row r="8">
      <c r="B8" s="6" t="inlineStr">
        <is>
          <t>県</t>
        </is>
      </c>
      <c r="C8" s="6" t="inlineStr">
        <is>
          <t>市町村数</t>
        </is>
      </c>
      <c r="D8" s="6" t="inlineStr">
        <is>
          <t>◎ 営業</t>
        </is>
      </c>
      <c r="E8" s="6" t="inlineStr">
        <is>
          <t>△ 着手済・要確認</t>
        </is>
      </c>
      <c r="F8" s="6" t="inlineStr">
        <is>
          <t>？ 期間要確認</t>
        </is>
      </c>
      <c r="G8" s="6" t="inlineStr">
        <is>
          <t>✕ 対象外</t>
        </is>
      </c>
      <c r="H8" s="6" t="inlineStr">
        <is>
          <t>未調査</t>
        </is>
      </c>
      <c r="I8" s="6" t="inlineStr">
        <is>
          <t>一部のみ調査</t>
        </is>
      </c>
    </row>
    <row r="9">
      <c r="B9" s="3" t="inlineStr">
        <is>
          <t>青森県</t>
        </is>
      </c>
      <c r="C9" s="3">
        <f>COUNTA('青森県'!$C$4:$C$43)</f>
        <v/>
      </c>
      <c r="D9" s="3">
        <f>COUNTIF('青森県'!$C$4:$C$43,"◎ 営業")</f>
        <v/>
      </c>
      <c r="E9" s="3">
        <f>COUNTIF('青森県'!$C$4:$C$43,"△ 着手済・要確認")</f>
        <v/>
      </c>
      <c r="F9" s="3">
        <f>COUNTIF('青森県'!$C$4:$C$43,"？ 期間要確認")</f>
        <v/>
      </c>
      <c r="G9" s="3">
        <f>COUNTIF('青森県'!$C$4:$C$43,"✕ 対象外")</f>
        <v/>
      </c>
      <c r="H9" s="3">
        <f>COUNTIF('青森県'!$S$4:$S$43,"未調査")</f>
        <v/>
      </c>
      <c r="I9" s="3">
        <f>COUNTIF('青森県'!$S$4:$S$43,"交通のみ調査")+COUNTIF('青森県'!$S$4:$S$43,"環境のみ調査")</f>
        <v/>
      </c>
    </row>
    <row r="10">
      <c r="B10" s="3" t="inlineStr">
        <is>
          <t>岩手県</t>
        </is>
      </c>
      <c r="C10" s="3">
        <f>COUNTA('岩手県'!$C$4:$C$36)</f>
        <v/>
      </c>
      <c r="D10" s="3">
        <f>COUNTIF('岩手県'!$C$4:$C$36,"◎ 営業")</f>
        <v/>
      </c>
      <c r="E10" s="3">
        <f>COUNTIF('岩手県'!$C$4:$C$36,"△ 着手済・要確認")</f>
        <v/>
      </c>
      <c r="F10" s="3">
        <f>COUNTIF('岩手県'!$C$4:$C$36,"？ 期間要確認")</f>
        <v/>
      </c>
      <c r="G10" s="3">
        <f>COUNTIF('岩手県'!$C$4:$C$36,"✕ 対象外")</f>
        <v/>
      </c>
      <c r="H10" s="3">
        <f>COUNTIF('岩手県'!$S$4:$S$36,"未調査")</f>
        <v/>
      </c>
      <c r="I10" s="3">
        <f>COUNTIF('岩手県'!$S$4:$S$36,"交通のみ調査")+COUNTIF('岩手県'!$S$4:$S$36,"環境のみ調査")</f>
        <v/>
      </c>
    </row>
    <row r="11">
      <c r="B11" s="3" t="inlineStr">
        <is>
          <t>宮城県</t>
        </is>
      </c>
      <c r="C11" s="3">
        <f>COUNTA('宮城県'!$C$4:$C$38)</f>
        <v/>
      </c>
      <c r="D11" s="3">
        <f>COUNTIF('宮城県'!$C$4:$C$38,"◎ 営業")</f>
        <v/>
      </c>
      <c r="E11" s="3">
        <f>COUNTIF('宮城県'!$C$4:$C$38,"△ 着手済・要確認")</f>
        <v/>
      </c>
      <c r="F11" s="3">
        <f>COUNTIF('宮城県'!$C$4:$C$38,"？ 期間要確認")</f>
        <v/>
      </c>
      <c r="G11" s="3">
        <f>COUNTIF('宮城県'!$C$4:$C$38,"✕ 対象外")</f>
        <v/>
      </c>
      <c r="H11" s="3">
        <f>COUNTIF('宮城県'!$S$4:$S$38,"未調査")</f>
        <v/>
      </c>
      <c r="I11" s="3">
        <f>COUNTIF('宮城県'!$S$4:$S$38,"交通のみ調査")+COUNTIF('宮城県'!$S$4:$S$38,"環境のみ調査")</f>
        <v/>
      </c>
    </row>
    <row r="12">
      <c r="B12" s="3" t="inlineStr">
        <is>
          <t>秋田県</t>
        </is>
      </c>
      <c r="C12" s="3">
        <f>COUNTA('秋田県'!$C$4:$C$28)</f>
        <v/>
      </c>
      <c r="D12" s="3">
        <f>COUNTIF('秋田県'!$C$4:$C$28,"◎ 営業")</f>
        <v/>
      </c>
      <c r="E12" s="3">
        <f>COUNTIF('秋田県'!$C$4:$C$28,"△ 着手済・要確認")</f>
        <v/>
      </c>
      <c r="F12" s="3">
        <f>COUNTIF('秋田県'!$C$4:$C$28,"？ 期間要確認")</f>
        <v/>
      </c>
      <c r="G12" s="3">
        <f>COUNTIF('秋田県'!$C$4:$C$28,"✕ 対象外")</f>
        <v/>
      </c>
      <c r="H12" s="3">
        <f>COUNTIF('秋田県'!$S$4:$S$28,"未調査")</f>
        <v/>
      </c>
      <c r="I12" s="3">
        <f>COUNTIF('秋田県'!$S$4:$S$28,"交通のみ調査")+COUNTIF('秋田県'!$S$4:$S$28,"環境のみ調査")</f>
        <v/>
      </c>
    </row>
    <row r="13">
      <c r="B13" s="3" t="inlineStr">
        <is>
          <t>山形県</t>
        </is>
      </c>
      <c r="C13" s="3">
        <f>COUNTA('山形県'!$C$4:$C$38)</f>
        <v/>
      </c>
      <c r="D13" s="3">
        <f>COUNTIF('山形県'!$C$4:$C$38,"◎ 営業")</f>
        <v/>
      </c>
      <c r="E13" s="3">
        <f>COUNTIF('山形県'!$C$4:$C$38,"△ 着手済・要確認")</f>
        <v/>
      </c>
      <c r="F13" s="3">
        <f>COUNTIF('山形県'!$C$4:$C$38,"？ 期間要確認")</f>
        <v/>
      </c>
      <c r="G13" s="3">
        <f>COUNTIF('山形県'!$C$4:$C$38,"✕ 対象外")</f>
        <v/>
      </c>
      <c r="H13" s="3">
        <f>COUNTIF('山形県'!$S$4:$S$38,"未調査")</f>
        <v/>
      </c>
      <c r="I13" s="3">
        <f>COUNTIF('山形県'!$S$4:$S$38,"交通のみ調査")+COUNTIF('山形県'!$S$4:$S$38,"環境のみ調査")</f>
        <v/>
      </c>
    </row>
    <row r="14">
      <c r="B14" s="3" t="inlineStr">
        <is>
          <t>福島県</t>
        </is>
      </c>
      <c r="C14" s="3">
        <f>COUNTA('福島県'!$C$4:$C$62)</f>
        <v/>
      </c>
      <c r="D14" s="3">
        <f>COUNTIF('福島県'!$C$4:$C$62,"◎ 営業")</f>
        <v/>
      </c>
      <c r="E14" s="3">
        <f>COUNTIF('福島県'!$C$4:$C$62,"△ 着手済・要確認")</f>
        <v/>
      </c>
      <c r="F14" s="3">
        <f>COUNTIF('福島県'!$C$4:$C$62,"？ 期間要確認")</f>
        <v/>
      </c>
      <c r="G14" s="3">
        <f>COUNTIF('福島県'!$C$4:$C$62,"✕ 対象外")</f>
        <v/>
      </c>
      <c r="H14" s="3">
        <f>COUNTIF('福島県'!$S$4:$S$62,"未調査")</f>
        <v/>
      </c>
      <c r="I14" s="3">
        <f>COUNTIF('福島県'!$S$4:$S$62,"交通のみ調査")+COUNTIF('福島県'!$S$4:$S$62,"環境のみ調査")</f>
        <v/>
      </c>
    </row>
    <row r="15">
      <c r="B15" s="3" t="inlineStr">
        <is>
          <t>茨城県</t>
        </is>
      </c>
      <c r="C15" s="3">
        <f>COUNTA('茨城県'!$C$4:$C$47)</f>
        <v/>
      </c>
      <c r="D15" s="3">
        <f>COUNTIF('茨城県'!$C$4:$C$47,"◎ 営業")</f>
        <v/>
      </c>
      <c r="E15" s="3">
        <f>COUNTIF('茨城県'!$C$4:$C$47,"△ 着手済・要確認")</f>
        <v/>
      </c>
      <c r="F15" s="3">
        <f>COUNTIF('茨城県'!$C$4:$C$47,"？ 期間要確認")</f>
        <v/>
      </c>
      <c r="G15" s="3">
        <f>COUNTIF('茨城県'!$C$4:$C$47,"✕ 対象外")</f>
        <v/>
      </c>
      <c r="H15" s="3">
        <f>COUNTIF('茨城県'!$S$4:$S$47,"未調査")</f>
        <v/>
      </c>
      <c r="I15" s="3">
        <f>COUNTIF('茨城県'!$S$4:$S$47,"交通のみ調査")+COUNTIF('茨城県'!$S$4:$S$47,"環境のみ調査")</f>
        <v/>
      </c>
    </row>
    <row r="16">
      <c r="B16" s="3" t="inlineStr">
        <is>
          <t>栃木県</t>
        </is>
      </c>
      <c r="C16" s="3">
        <f>COUNTA('栃木県'!$C$4:$C$28)</f>
        <v/>
      </c>
      <c r="D16" s="3">
        <f>COUNTIF('栃木県'!$C$4:$C$28,"◎ 営業")</f>
        <v/>
      </c>
      <c r="E16" s="3">
        <f>COUNTIF('栃木県'!$C$4:$C$28,"△ 着手済・要確認")</f>
        <v/>
      </c>
      <c r="F16" s="3">
        <f>COUNTIF('栃木県'!$C$4:$C$28,"？ 期間要確認")</f>
        <v/>
      </c>
      <c r="G16" s="3">
        <f>COUNTIF('栃木県'!$C$4:$C$28,"✕ 対象外")</f>
        <v/>
      </c>
      <c r="H16" s="3">
        <f>COUNTIF('栃木県'!$S$4:$S$28,"未調査")</f>
        <v/>
      </c>
      <c r="I16" s="3">
        <f>COUNTIF('栃木県'!$S$4:$S$28,"交通のみ調査")+COUNTIF('栃木県'!$S$4:$S$28,"環境のみ調査")</f>
        <v/>
      </c>
    </row>
    <row r="17">
      <c r="B17" s="3" t="inlineStr">
        <is>
          <t>群馬県</t>
        </is>
      </c>
      <c r="C17" s="3">
        <f>COUNTA('群馬県'!$C$4:$C$38)</f>
        <v/>
      </c>
      <c r="D17" s="3">
        <f>COUNTIF('群馬県'!$C$4:$C$38,"◎ 営業")</f>
        <v/>
      </c>
      <c r="E17" s="3">
        <f>COUNTIF('群馬県'!$C$4:$C$38,"△ 着手済・要確認")</f>
        <v/>
      </c>
      <c r="F17" s="3">
        <f>COUNTIF('群馬県'!$C$4:$C$38,"？ 期間要確認")</f>
        <v/>
      </c>
      <c r="G17" s="3">
        <f>COUNTIF('群馬県'!$C$4:$C$38,"✕ 対象外")</f>
        <v/>
      </c>
      <c r="H17" s="3">
        <f>COUNTIF('群馬県'!$S$4:$S$38,"未調査")</f>
        <v/>
      </c>
      <c r="I17" s="3">
        <f>COUNTIF('群馬県'!$S$4:$S$38,"交通のみ調査")+COUNTIF('群馬県'!$S$4:$S$38,"環境のみ調査")</f>
        <v/>
      </c>
    </row>
    <row r="18">
      <c r="B18" s="3" t="inlineStr">
        <is>
          <t>宮崎県</t>
        </is>
      </c>
      <c r="C18" s="3">
        <f>COUNTA('宮崎県'!$C$4:$C$29)</f>
        <v/>
      </c>
      <c r="D18" s="3">
        <f>COUNTIF('宮崎県'!$C$4:$C$29,"◎ 営業")</f>
        <v/>
      </c>
      <c r="E18" s="3">
        <f>COUNTIF('宮崎県'!$C$4:$C$29,"△ 着手済・要確認")</f>
        <v/>
      </c>
      <c r="F18" s="3">
        <f>COUNTIF('宮崎県'!$C$4:$C$29,"？ 期間要確認")</f>
        <v/>
      </c>
      <c r="G18" s="3">
        <f>COUNTIF('宮崎県'!$C$4:$C$29,"✕ 対象外")</f>
        <v/>
      </c>
      <c r="H18" s="3">
        <f>COUNTIF('宮崎県'!$S$4:$S$29,"未調査")</f>
        <v/>
      </c>
      <c r="I18" s="3">
        <f>COUNTIF('宮崎県'!$S$4:$S$29,"交通のみ調査")+COUNTIF('宮崎県'!$S$4:$S$29,"環境のみ調査")</f>
        <v/>
      </c>
    </row>
    <row r="19">
      <c r="B19" s="2" t="inlineStr">
        <is>
          <t>合計</t>
        </is>
      </c>
      <c r="C19" s="2">
        <f>SUM(C9:C18)</f>
        <v/>
      </c>
      <c r="D19" s="2">
        <f>SUM(D9:D18)</f>
        <v/>
      </c>
      <c r="E19" s="2">
        <f>SUM(E9:E18)</f>
        <v/>
      </c>
      <c r="F19" s="2">
        <f>SUM(F9:F18)</f>
        <v/>
      </c>
      <c r="G19" s="2">
        <f>SUM(G9:G18)</f>
        <v/>
      </c>
      <c r="H19" s="2">
        <f>SUM(H9:H18)</f>
        <v/>
      </c>
      <c r="I19" s="2">
        <f>SUM(I9:I18)</f>
        <v/>
      </c>
    </row>
    <row r="21">
      <c r="A21" s="7" t="inlineStr">
        <is>
          <t>■ 判定の見方</t>
        </is>
      </c>
    </row>
    <row r="22">
      <c r="A22" s="8" t="inlineStr">
        <is>
          <t>◎ 営業：どちらかの計画の終期が対象年度（初期値R9）で、次の計画の作業は見つかっていない</t>
        </is>
      </c>
    </row>
    <row r="23">
      <c r="A23" s="8" t="inlineStr">
        <is>
          <t>△ 着手済・要確認：終期は対象年度だが、次期計画の策定業務委託やパブコメをすでに確認済。委託先が決まっている可能性が高い</t>
        </is>
      </c>
    </row>
    <row r="24">
      <c r="A24" s="8" t="inlineStr">
        <is>
          <t>？ 期間要確認：終期がわからないため判定できない</t>
        </is>
      </c>
    </row>
    <row r="25">
      <c r="A25" s="8" t="inlineStr">
        <is>
          <t>✕ 対象外：終期が対象年度の外（R8以前は作成中または終了、R10以降は先）、または新計画を策定済</t>
        </is>
      </c>
    </row>
    <row r="26">
      <c r="A26" s="8" t="inlineStr">
        <is>
          <t>－：その計画がない（環境基本計画を作っていない町村など）</t>
        </is>
      </c>
    </row>
    <row r="27">
      <c r="A27" s="8" t="inlineStr"/>
    </row>
    <row r="28">
      <c r="A28" s="7" t="inlineStr">
        <is>
          <t>■ 入力する列</t>
        </is>
      </c>
    </row>
    <row r="29">
      <c r="A29" s="8" t="inlineStr">
        <is>
          <t>各県シートの「終期(令和年度)」と「改定状況」（未確認／着手済／策定済／計画なし）を直すと、判定が自動で変わります。</t>
        </is>
      </c>
    </row>
    <row r="30">
      <c r="A30" s="8" t="inlineStr">
        <is>
          <t>「未確認」は、改定の動きが検索で見つからなかったという意味です。動きがないと確かめたわけではありません。</t>
        </is>
      </c>
    </row>
    <row r="31">
      <c r="A31" s="8" t="inlineStr">
        <is>
          <t>確度：確認済＝検索結果の本文に期間が書かれていた／推定＝策定時期などから推測（終期のセルは茶色の斜体）／不明＝確認できなかった</t>
        </is>
      </c>
    </row>
    <row r="32">
      <c r="A32" s="8" t="inlineStr"/>
    </row>
    <row r="33">
      <c r="A33" s="7" t="inlineStr">
        <is>
          <t>■ 国交省一覧との照合（T列）</t>
        </is>
      </c>
    </row>
    <row r="34">
      <c r="A34" s="8" t="inlineStr">
        <is>
          <t>国土交通省「地域公共交通計画の作成状況一覧」（令和8年5月末時点）と照合。掲載＝計画作成済み、期間満了＝一覧で灰色（計画期間が満了）。一覧には計画期間の記載がないため、終期は各計画書で確認。</t>
        </is>
      </c>
    </row>
    <row r="35">
      <c r="A35" s="8" t="inlineStr">
        <is>
          <t>【当方未把握】＝一覧には計画があるが本調査で計画書を特定できていない／【当方は計画あり】＝本調査では計画を把握したが一覧に未掲載（旧法計画・最近の策定・名称違いの可能性）。</t>
        </is>
      </c>
    </row>
    <row r="36">
      <c r="A36" s="8" t="inlineStr"/>
    </row>
    <row r="37">
      <c r="A37" s="7" t="inlineStr">
        <is>
          <t>■ 調査の方法と限界</t>
        </is>
      </c>
    </row>
    <row r="38">
      <c r="A38" s="8" t="inlineStr">
        <is>
          <t>【重要】検索回数に上限（1セッション200回）があるため、県によっては一部の市町村・計画を調べきれていません。「調査状況」列が「未調査」「交通のみ調査」の行は空欄・？になっていますが、計画がないという意味ではありません。</t>
        </is>
      </c>
    </row>
    <row r="39">
      <c r="A39" s="8" t="inlineStr">
        <is>
          <t>2026年9月30日時点でWeb検索して調べました。自治体サイトやPDFを直接開けない環境だったため、期間は検索結果の本文・要約から取っています。</t>
        </is>
      </c>
    </row>
    <row r="40">
      <c r="A40" s="8" t="inlineStr">
        <is>
          <t>計画リンクはエビデンスとして検索結果に出たURLを載せています。営業に行く前に、リンク先の計画書で計画期間を確かめてください。特に「推定」「不明」の行は必ず確認してください。</t>
        </is>
      </c>
    </row>
  </sheetData>
  <dataValidations count="1">
    <dataValidation sqref="C4 C5" showDropDown="0" showInputMessage="0" showErrorMessage="0" allowBlank="0" type="list">
      <formula1>"7,8,9,10,11,12,13,14,15"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6" customWidth="1" min="3" max="3"/>
    <col width="7" customWidth="1" min="4" max="4"/>
    <col width="7" customWidth="1" min="5" max="5"/>
    <col width="30" customWidth="1" min="6" max="6"/>
    <col width="15" customWidth="1" min="7" max="7"/>
    <col width="9" customWidth="1" min="8" max="8"/>
    <col width="8" customWidth="1" min="9" max="9"/>
    <col width="9" customWidth="1" min="10" max="10"/>
    <col width="34" customWidth="1" min="11" max="11"/>
    <col width="30" customWidth="1" min="12" max="12"/>
    <col width="15" customWidth="1" min="13" max="13"/>
    <col width="9" customWidth="1" min="14" max="14"/>
    <col width="8" customWidth="1" min="15" max="15"/>
    <col width="9" customWidth="1" min="16" max="16"/>
    <col width="34" customWidth="1" min="17" max="17"/>
    <col width="55" customWidth="1" min="18" max="18"/>
    <col width="14" customWidth="1" min="19" max="19"/>
    <col width="24" customWidth="1" min="20" max="20"/>
  </cols>
  <sheetData>
    <row r="1">
      <c r="A1" s="1" t="inlineStr">
        <is>
          <t>青森県　地域公共交通計画・環境基本計画の終期一覧（2026年9月30日時点の調査）</t>
        </is>
      </c>
    </row>
    <row r="2">
      <c r="A2" s="9">
        <f>"営業判定の対象：終期 R"&amp;TGT_MIN&amp;"〜R"&amp;TGT_MAX&amp;"年度 →◎（着手済は△、期間不明は？）。終期セルの色：緑＝対象年度／橙＝その翌年度（次の候補）。対象年度は「集計・設定」シートのC4・C5のプルダウンで切替。"</f>
        <v/>
      </c>
    </row>
    <row r="3" ht="32" customHeight="1">
      <c r="A3" s="10" t="inlineStr">
        <is>
          <t>No</t>
        </is>
      </c>
      <c r="B3" s="10" t="inlineStr">
        <is>
          <t>市町村</t>
        </is>
      </c>
      <c r="C3" s="10" t="inlineStr">
        <is>
          <t>営業判定</t>
        </is>
      </c>
      <c r="D3" s="10" t="inlineStr">
        <is>
          <t>交通判定</t>
        </is>
      </c>
      <c r="E3" s="10" t="inlineStr">
        <is>
          <t>環境判定</t>
        </is>
      </c>
      <c r="F3" s="10" t="inlineStr">
        <is>
          <t>地域公共交通計画</t>
        </is>
      </c>
      <c r="G3" s="10" t="inlineStr">
        <is>
          <t>交通 計画期間</t>
        </is>
      </c>
      <c r="H3" s="10" t="inlineStr">
        <is>
          <t>交通 終期(令和年度)</t>
        </is>
      </c>
      <c r="I3" s="10" t="inlineStr">
        <is>
          <t>交通 確度</t>
        </is>
      </c>
      <c r="J3" s="10" t="inlineStr">
        <is>
          <t>交通 改定状況</t>
        </is>
      </c>
      <c r="K3" s="10" t="inlineStr">
        <is>
          <t>交通 計画リンク（エビデンス）</t>
        </is>
      </c>
      <c r="L3" s="10" t="inlineStr">
        <is>
          <t>環境基本計画</t>
        </is>
      </c>
      <c r="M3" s="10" t="inlineStr">
        <is>
          <t>環境 計画期間</t>
        </is>
      </c>
      <c r="N3" s="10" t="inlineStr">
        <is>
          <t>環境 終期(令和年度)</t>
        </is>
      </c>
      <c r="O3" s="10" t="inlineStr">
        <is>
          <t>環境 確度</t>
        </is>
      </c>
      <c r="P3" s="10" t="inlineStr">
        <is>
          <t>環境 改定状況</t>
        </is>
      </c>
      <c r="Q3" s="10" t="inlineStr">
        <is>
          <t>環境 計画リンク（エビデンス）</t>
        </is>
      </c>
      <c r="R3" s="10" t="inlineStr">
        <is>
          <t>注釈（改定作業の状況など）</t>
        </is>
      </c>
      <c r="S3" s="10" t="inlineStr">
        <is>
          <t>調査状況</t>
        </is>
      </c>
      <c r="T3" s="10" t="inlineStr">
        <is>
          <t>国交省一覧(R8.5末)</t>
        </is>
      </c>
    </row>
    <row r="4">
      <c r="A4" s="11" t="n">
        <v>1</v>
      </c>
      <c r="B4" s="11" t="inlineStr">
        <is>
          <t>青森市</t>
        </is>
      </c>
      <c r="C4" s="12">
        <f>IF(OR(D4="◎",E4="◎"),"◎ 営業",IF(OR(D4="△",E4="△"),"△ 着手済・要確認",IF(OR(D4="？",E4="？"),"？ 期間要確認","✕ 対象外")))</f>
        <v/>
      </c>
      <c r="D4" s="13">
        <f>IF(J4="計画なし","－",IF(J4="策定済","✕",IF(H4="","？",IF(AND(H4&gt;=TGT_MIN,H4&lt;=TGT_MAX),IF(J4="着手済","△","◎"),"✕"))))</f>
        <v/>
      </c>
      <c r="E4" s="13">
        <f>IF(P4="計画なし","－",IF(P4="策定済","✕",IF(N4="","？",IF(AND(N4&gt;=TGT_MIN,N4&lt;=TGT_MAX),IF(P4="着手済","△","◎"),"✕"))))</f>
        <v/>
      </c>
      <c r="F4" s="11" t="inlineStr">
        <is>
          <t>青森市地域公共交通計画</t>
        </is>
      </c>
      <c r="G4" s="11" t="inlineStr">
        <is>
          <t>R6〜R10</t>
        </is>
      </c>
      <c r="H4" s="13" t="n">
        <v>10</v>
      </c>
      <c r="I4" s="13" t="inlineStr">
        <is>
          <t>確認済</t>
        </is>
      </c>
      <c r="J4" s="13" t="inlineStr">
        <is>
          <t>未確認</t>
        </is>
      </c>
      <c r="K4" s="14" t="inlineStr">
        <is>
          <t>https://www.city.aomori.aomori.jp/somu/shiseijouhou/jyouhou-koukai/tyougi/documents/tiikikoutuumoukeikaku.pdf</t>
        </is>
      </c>
      <c r="L4" s="11" t="inlineStr">
        <is>
          <t>青森市環境基本計画（令和7年12月制定の青森市環境基本条例第8条に基づき策定中）</t>
        </is>
      </c>
      <c r="M4" s="11" t="inlineStr">
        <is>
          <t>R8〜R10</t>
        </is>
      </c>
      <c r="N4" s="13" t="n">
        <v>10</v>
      </c>
      <c r="O4" s="13" t="inlineStr">
        <is>
          <t>確認済</t>
        </is>
      </c>
      <c r="P4" s="13" t="inlineStr">
        <is>
          <t>着手済</t>
        </is>
      </c>
      <c r="Q4" s="14" t="inlineStr">
        <is>
          <t>https://www.city.aomori.aomori.jp/_res/projects/default_project/_page_/001/011/090/05_080722siryou3.pdf</t>
        </is>
      </c>
      <c r="R4" s="11" t="inlineStr">
        <is>
          <t>環境基本計画は新条例（R7.12）に基づく新規策定中。R8.7.22環境審議会資料によるとR8.10素案審議→R8.12パブコメ→R9.2計画案審議→策定予定（期間は総合計画前期基本計画終期に合わせR10まで）。関連: https://www.city.aomori.aomori.jp/_res/projects/default_project/_page_/001/009/192/080220anken1.pdf 。交通計画URLは市の審議会資料PDF（計画本体ページは未確認）。</t>
        </is>
      </c>
      <c r="S4" s="15" t="inlineStr">
        <is>
          <t>調査済</t>
        </is>
      </c>
      <c r="T4" s="11" t="inlineStr">
        <is>
          <t>掲載</t>
        </is>
      </c>
    </row>
    <row r="5">
      <c r="A5" s="11" t="n">
        <v>2</v>
      </c>
      <c r="B5" s="11" t="inlineStr">
        <is>
          <t>弘前市</t>
        </is>
      </c>
      <c r="C5" s="12">
        <f>IF(OR(D5="◎",E5="◎"),"◎ 営業",IF(OR(D5="△",E5="△"),"△ 着手済・要確認",IF(OR(D5="？",E5="？"),"？ 期間要確認","✕ 対象外")))</f>
        <v/>
      </c>
      <c r="D5" s="13">
        <f>IF(J5="計画なし","－",IF(J5="策定済","✕",IF(H5="","？",IF(AND(H5&gt;=TGT_MIN,H5&lt;=TGT_MAX),IF(J5="着手済","△","◎"),"✕"))))</f>
        <v/>
      </c>
      <c r="E5" s="13">
        <f>IF(P5="計画なし","－",IF(P5="策定済","✕",IF(N5="","？",IF(AND(N5&gt;=TGT_MIN,N5&lt;=TGT_MAX),IF(P5="着手済","△","◎"),"✕"))))</f>
        <v/>
      </c>
      <c r="F5" s="11" t="inlineStr">
        <is>
          <t>弘前市地域公共交通計画</t>
        </is>
      </c>
      <c r="G5" s="11" t="inlineStr">
        <is>
          <t>R6〜R10</t>
        </is>
      </c>
      <c r="H5" s="13" t="n">
        <v>10</v>
      </c>
      <c r="I5" s="13" t="inlineStr">
        <is>
          <t>確認済</t>
        </is>
      </c>
      <c r="J5" s="13" t="inlineStr">
        <is>
          <t>未確認</t>
        </is>
      </c>
      <c r="K5" s="14" t="inlineStr">
        <is>
          <t>https://www.city.hirosaki.aomori.jp/jouhou/keikaku/kokyokotu/kotsukeikaku.pdf</t>
        </is>
      </c>
      <c r="L5" s="11" t="inlineStr">
        <is>
          <t>第3次弘前市環境基本計画</t>
        </is>
      </c>
      <c r="M5" s="11" t="inlineStr">
        <is>
          <t>R3〜R12</t>
        </is>
      </c>
      <c r="N5" s="16" t="n">
        <v>12</v>
      </c>
      <c r="O5" s="13" t="inlineStr">
        <is>
          <t>推定</t>
        </is>
      </c>
      <c r="P5" s="13" t="inlineStr">
        <is>
          <t>未確認</t>
        </is>
      </c>
      <c r="Q5" s="14" t="inlineStr">
        <is>
          <t>https://www.city.hirosaki.aomori.jp/jouhou/keikaku/2021-0401-kankyoukihon.html</t>
        </is>
      </c>
      <c r="R5" s="11" t="inlineStr">
        <is>
          <t>環境：R3.3策定（改訂）の記載は資料編 https://city.hirosaki.aomori.jp/jouhou/keikaku/files/shiryouhen.pdf で示唆されるが、期間は今回の検索でも確認できず推定のまま。</t>
        </is>
      </c>
      <c r="S5" s="15" t="inlineStr">
        <is>
          <t>調査済</t>
        </is>
      </c>
      <c r="T5" s="11" t="inlineStr">
        <is>
          <t>掲載</t>
        </is>
      </c>
    </row>
    <row r="6">
      <c r="A6" s="11" t="n">
        <v>3</v>
      </c>
      <c r="B6" s="11" t="inlineStr">
        <is>
          <t>八戸市</t>
        </is>
      </c>
      <c r="C6" s="12">
        <f>IF(OR(D6="◎",E6="◎"),"◎ 営業",IF(OR(D6="△",E6="△"),"△ 着手済・要確認",IF(OR(D6="？",E6="？"),"？ 期間要確認","✕ 対象外")))</f>
        <v/>
      </c>
      <c r="D6" s="13">
        <f>IF(J6="計画なし","－",IF(J6="策定済","✕",IF(H6="","？",IF(AND(H6&gt;=TGT_MIN,H6&lt;=TGT_MAX),IF(J6="着手済","△","◎"),"✕"))))</f>
        <v/>
      </c>
      <c r="E6" s="13">
        <f>IF(P6="計画なし","－",IF(P6="策定済","✕",IF(N6="","？",IF(AND(N6&gt;=TGT_MIN,N6&lt;=TGT_MAX),IF(P6="着手済","△","◎"),"✕"))))</f>
        <v/>
      </c>
      <c r="F6" s="11" t="inlineStr">
        <is>
          <t>八戸圏域地域公共交通計画（広域）</t>
        </is>
      </c>
      <c r="G6" s="11" t="inlineStr">
        <is>
          <t>R5〜R10</t>
        </is>
      </c>
      <c r="H6" s="13" t="n">
        <v>10</v>
      </c>
      <c r="I6" s="13" t="inlineStr">
        <is>
          <t>確認済</t>
        </is>
      </c>
      <c r="J6" s="13" t="inlineStr">
        <is>
          <t>未確認</t>
        </is>
      </c>
      <c r="K6" s="14" t="inlineStr">
        <is>
          <t>https://wwwtb.mlit.go.jp/tohoku/content/000181287.pdf</t>
        </is>
      </c>
      <c r="L6" s="11" t="inlineStr">
        <is>
          <t>第3次八戸市環境基本計画</t>
        </is>
      </c>
      <c r="M6" s="11" t="inlineStr">
        <is>
          <t>R5〜R14</t>
        </is>
      </c>
      <c r="N6" s="16" t="n">
        <v>14</v>
      </c>
      <c r="O6" s="13" t="inlineStr">
        <is>
          <t>推定</t>
        </is>
      </c>
      <c r="P6" s="13" t="inlineStr">
        <is>
          <t>未確認</t>
        </is>
      </c>
      <c r="Q6" s="14" t="inlineStr">
        <is>
          <t>https://www.city.hachinohe.aomori.jp/gyoseijoho/keikaku_plan/kurashi_tetsuzuki/1/1/7959.html</t>
        </is>
      </c>
      <c r="R6" s="11" t="inlineStr">
        <is>
          <t>環境：今回の検索でも期間確認できず推定のまま。関連：第2次八戸市地球温暖化対策実行計画区域施策編 https://www.city.hachinohe.aomori.jp/gyoseijoho/keikaku_plan/kurashi_tetsuzuki/1/1/7961.html 。</t>
        </is>
      </c>
      <c r="S6" s="15" t="inlineStr">
        <is>
          <t>調査済</t>
        </is>
      </c>
      <c r="T6" s="17" t="inlineStr">
        <is>
          <t>掲載（広域：八戸圏域）／期間満了</t>
        </is>
      </c>
    </row>
    <row r="7">
      <c r="A7" s="11" t="n">
        <v>4</v>
      </c>
      <c r="B7" s="11" t="inlineStr">
        <is>
          <t>黒石市</t>
        </is>
      </c>
      <c r="C7" s="12">
        <f>IF(OR(D7="◎",E7="◎"),"◎ 営業",IF(OR(D7="△",E7="△"),"△ 着手済・要確認",IF(OR(D7="？",E7="？"),"？ 期間要確認","✕ 対象外")))</f>
        <v/>
      </c>
      <c r="D7" s="13">
        <f>IF(J7="計画なし","－",IF(J7="策定済","✕",IF(H7="","？",IF(AND(H7&gt;=TGT_MIN,H7&lt;=TGT_MAX),IF(J7="着手済","△","◎"),"✕"))))</f>
        <v/>
      </c>
      <c r="E7" s="13">
        <f>IF(P7="計画なし","－",IF(P7="策定済","✕",IF(N7="","？",IF(AND(N7&gt;=TGT_MIN,N7&lt;=TGT_MAX),IF(P7="着手済","△","◎"),"✕"))))</f>
        <v/>
      </c>
      <c r="F7" s="11" t="inlineStr">
        <is>
          <t>黒石市地域公共交通計画</t>
        </is>
      </c>
      <c r="G7" s="11" t="inlineStr">
        <is>
          <t>R7〜R11</t>
        </is>
      </c>
      <c r="H7" s="13" t="n">
        <v>11</v>
      </c>
      <c r="I7" s="13" t="inlineStr">
        <is>
          <t>確認済</t>
        </is>
      </c>
      <c r="J7" s="13" t="inlineStr">
        <is>
          <t>策定済</t>
        </is>
      </c>
      <c r="K7" s="14" t="inlineStr">
        <is>
          <t>http://www.city.kuroishi.aomori.jp/shisei/keikaku/2025-0523-1102-33.html</t>
        </is>
      </c>
      <c r="L7" s="11" t="inlineStr">
        <is>
          <t>第二次黒石市環境基本計画</t>
        </is>
      </c>
      <c r="M7" s="11" t="inlineStr">
        <is>
          <t>不明</t>
        </is>
      </c>
      <c r="N7" s="13" t="n"/>
      <c r="O7" s="13" t="inlineStr">
        <is>
          <t>不明</t>
        </is>
      </c>
      <c r="P7" s="13" t="inlineStr">
        <is>
          <t>未確認</t>
        </is>
      </c>
      <c r="Q7" s="14" t="inlineStr">
        <is>
          <t>http://www.city.kuroishi.aomori.jp/shisei/keikaku/kankyou-kihon-keikaku.html</t>
        </is>
      </c>
      <c r="R7" s="11" t="inlineStr">
        <is>
          <t>交通：R7.3策定、R7〜R11の5年間。R1.10策定の地域公共交通網形成計画を継承。策定支援業務委託はR6.5公告（NJSS https://www2.njss.info/offers/view/29276332）。環境：第二次計画のページは確認したが計画期間は検索結果で確認できず（要確認）。 【追加調査 2026-10】環境：一般検索・市サイト限定検索（計4回）とも第二次黒石市環境基本計画のページ（http://www.city.kuroishi.aomori.jp/shisei/keikaku/kankyou-kihon-keikaku.html）は出るが計画期間の記載は検索結果に出ず。検索要約に『第3次黒石市環境基本計画』が掲載されている旨の言及が2回あったが、完全一致検索ではヒットせず未確認（同ページに第3次が追加された可能性あり、要確認）。R2.3頃のパブコメページ http://www.city.kuroishi.aomori.jp/shisei/comments/2020-0327-2054-15.html あり（内容未確認）。市サイトはWebFetchブロック。確認日2026-10-02。</t>
        </is>
      </c>
      <c r="S7" s="15" t="inlineStr">
        <is>
          <t>調査済</t>
        </is>
      </c>
      <c r="T7" s="11" t="inlineStr">
        <is>
          <t>掲載</t>
        </is>
      </c>
    </row>
    <row r="8">
      <c r="A8" s="11" t="n">
        <v>5</v>
      </c>
      <c r="B8" s="11" t="inlineStr">
        <is>
          <t>五所川原市</t>
        </is>
      </c>
      <c r="C8" s="12">
        <f>IF(OR(D8="◎",E8="◎"),"◎ 営業",IF(OR(D8="△",E8="△"),"△ 着手済・要確認",IF(OR(D8="？",E8="？"),"？ 期間要確認","✕ 対象外")))</f>
        <v/>
      </c>
      <c r="D8" s="13">
        <f>IF(J8="計画なし","－",IF(J8="策定済","✕",IF(H8="","？",IF(AND(H8&gt;=TGT_MIN,H8&lt;=TGT_MAX),IF(J8="着手済","△","◎"),"✕"))))</f>
        <v/>
      </c>
      <c r="E8" s="13">
        <f>IF(P8="計画なし","－",IF(P8="策定済","✕",IF(N8="","？",IF(AND(N8&gt;=TGT_MIN,N8&lt;=TGT_MAX),IF(P8="着手済","△","◎"),"✕"))))</f>
        <v/>
      </c>
      <c r="F8" s="11" t="inlineStr">
        <is>
          <t>五所川原市地域公共交通計画</t>
        </is>
      </c>
      <c r="G8" s="11" t="inlineStr">
        <is>
          <t>R5〜R10</t>
        </is>
      </c>
      <c r="H8" s="13" t="n">
        <v>10</v>
      </c>
      <c r="I8" s="13" t="inlineStr">
        <is>
          <t>確認済</t>
        </is>
      </c>
      <c r="J8" s="13" t="inlineStr">
        <is>
          <t>未確認</t>
        </is>
      </c>
      <c r="K8" s="14" t="inlineStr">
        <is>
          <t>https://www.city.goshogawara.lg.jp/kurashi/machi/chiikikoukyokoutsukeikaku.html</t>
        </is>
      </c>
      <c r="L8" s="11" t="n"/>
      <c r="M8" s="11" t="inlineStr">
        <is>
          <t>不明</t>
        </is>
      </c>
      <c r="N8" s="13" t="n"/>
      <c r="O8" s="13" t="inlineStr">
        <is>
          <t>不明</t>
        </is>
      </c>
      <c r="P8" s="13" t="inlineStr">
        <is>
          <t>未確認</t>
        </is>
      </c>
      <c r="Q8" s="11" t="n"/>
      <c r="R8" s="11" t="inlineStr">
        <is>
          <t>交通：R5.6策定（パブコメR5.4.17〜5.16）。期間は検索結果で未確認のため5年と仮定した推定値（要確認）。R6.3に五所川原市地域公共交通推進計画（R6〜R10、確認済 https://www.city.goshogawara.lg.jp/jouhou/keikaku/files/koutuu_suisin.pdf）。H28.3網形成計画・H30.3再編実施計画あり。環境：環境基本計画は検索で見当たらず。代替として五所川原市地球温暖化対策実行計画（区域施策編）が存在する模様（https://www.city.goshogawara.lg.jp/kurashi/kurashi/files/planR2_gaiyouban.pdf の可能性）。事務事業編相当は環境保全率先行動計画（H21〜H25）。 【ファクトチェック 2026-10-01: 誤り】確認期間: R5〜R10（令和5年6月策定、令和10年度までの取組を定める）／次期: 確認できず（次期計画の策定支援業務・パブコメは見当たらず。概要版が gaiyouR7.1/R7.6/R8.1 と更新されており、R8.1時点で計画の変更あり）／根拠: https://www.city.goshogawara.lg.jp/kurashi/machi/files/suishinnkeikaku-gaiyou.ver.pdf 【追加調査 2026-10】環境：市サイト限定検索・完全一致検索とも『五所川原市環境基本計画』『環境基本条例』は見当たらず。環境関連は一般廃棄物処理基本計画（R3〜R12, https://www.city.goshogawara.lg.jp/kurashi/kurashi/files/pianR2.pdf）、生活排水基本計画、環境保全率先行動計画、ゼロカーボンシティ宣言のみヒット。計画なしの明示的根拠はないため未確認のまま。確認日2026-10-02。</t>
        </is>
      </c>
      <c r="S8" s="18" t="inlineStr">
        <is>
          <t>交通のみ調査</t>
        </is>
      </c>
      <c r="T8" s="11" t="inlineStr">
        <is>
          <t>掲載</t>
        </is>
      </c>
    </row>
    <row r="9">
      <c r="A9" s="11" t="n">
        <v>6</v>
      </c>
      <c r="B9" s="11" t="inlineStr">
        <is>
          <t>十和田市</t>
        </is>
      </c>
      <c r="C9" s="12">
        <f>IF(OR(D9="◎",E9="◎"),"◎ 営業",IF(OR(D9="△",E9="△"),"△ 着手済・要確認",IF(OR(D9="？",E9="？"),"？ 期間要確認","✕ 対象外")))</f>
        <v/>
      </c>
      <c r="D9" s="13">
        <f>IF(J9="計画なし","－",IF(J9="策定済","✕",IF(H9="","？",IF(AND(H9&gt;=TGT_MIN,H9&lt;=TGT_MAX),IF(J9="着手済","△","◎"),"✕"))))</f>
        <v/>
      </c>
      <c r="E9" s="13">
        <f>IF(P9="計画なし","－",IF(P9="策定済","✕",IF(N9="","？",IF(AND(N9&gt;=TGT_MIN,N9&lt;=TGT_MAX),IF(P9="着手済","△","◎"),"✕"))))</f>
        <v/>
      </c>
      <c r="F9" s="11" t="inlineStr">
        <is>
          <t>十和田市地域公共交通計画</t>
        </is>
      </c>
      <c r="G9" s="11" t="inlineStr">
        <is>
          <t>R5〜R9</t>
        </is>
      </c>
      <c r="H9" s="13" t="n">
        <v>9</v>
      </c>
      <c r="I9" s="13" t="inlineStr">
        <is>
          <t>確認済</t>
        </is>
      </c>
      <c r="J9" s="13" t="inlineStr">
        <is>
          <t>未確認</t>
        </is>
      </c>
      <c r="K9" s="14" t="inlineStr">
        <is>
          <t>https://www.city.towada.lg.jp/kurashi/koutsu/files/keikaku.pdf</t>
        </is>
      </c>
      <c r="L9" s="11" t="n"/>
      <c r="M9" s="11" t="inlineStr">
        <is>
          <t>不明</t>
        </is>
      </c>
      <c r="N9" s="13" t="n"/>
      <c r="O9" s="13" t="inlineStr">
        <is>
          <t>不明</t>
        </is>
      </c>
      <c r="P9" s="13" t="inlineStr">
        <is>
          <t>計画なし</t>
        </is>
      </c>
      <c r="Q9" s="11" t="n"/>
      <c r="R9" s="11" t="inlineStr">
        <is>
          <t>交通：計画期間R5〜R9（5か年、検索結果で確認）。概要版 https://www.city.towada.lg.jp/kurashi/koutsu/files/gaiyouban.pdf 。策定支援業務仕様書 https://www.city.towada.lg.jp/kurashi/koutsu/files/shiyousyo.pdf あり（日付不明、現行計画策定時のものの可能性が高い。次期計画分かは要確認）。R9終了のため次期計画はR8〜R9に着手見込み。環境：環境基本計画は検索で見当たらず。R7.3に十和田市地球温暖化対策実行計画（区域施策編）策定（https://www.city.towada.lg.jp/shisei/gyousei/machidukuri/files/keikakugaiyouban.pdf）。 【ファクトチェック 2026-10-01: 正しい】確認期間: R5〜R9（2023〜2027年度）／次期: 確認できず（市サイト内検索で次期計画の策定支援プロポーザル・協議会審議は見当たらず。前回はR4年度にプロポーザル https://www.city.towada.lg.jp/kurashi/koutsuu/koutsuukeikaku.ht／根拠: https://www.city.towada.lg.jp/kurashi/koutsuu/files/keikaku.pdf 【追加調査 2026-10】環境：市サイト限定検索で環境基本計画は見当たらず。十和田市地球温暖化対策実行計画（区域施策編）案（2025/1/16版、計画期間2025〜2030年度 https://www.city.towada.lg.jp/shisei/gyousei/machidukuri/files/kuikisesakuhenan.pdf）の整合・連携先として第2次総合計画・都市計画MP・森林整備計画・国土強靭化計画・地域公共交通計画等が列挙されるが環境基本計画は挙がっておらず、環境分野の総合計画は区域施策編＋事務事業編（とわだエコ・オフィスプラン）で代替とみられる。確認日2026-10-02。</t>
        </is>
      </c>
      <c r="S9" s="15" t="inlineStr">
        <is>
          <t>調査済</t>
        </is>
      </c>
      <c r="T9" s="11" t="inlineStr">
        <is>
          <t>掲載</t>
        </is>
      </c>
    </row>
    <row r="10">
      <c r="A10" s="11" t="n">
        <v>7</v>
      </c>
      <c r="B10" s="11" t="inlineStr">
        <is>
          <t>三沢市</t>
        </is>
      </c>
      <c r="C10" s="12">
        <f>IF(OR(D10="◎",E10="◎"),"◎ 営業",IF(OR(D10="△",E10="△"),"△ 着手済・要確認",IF(OR(D10="？",E10="？"),"？ 期間要確認","✕ 対象外")))</f>
        <v/>
      </c>
      <c r="D10" s="13">
        <f>IF(J10="計画なし","－",IF(J10="策定済","✕",IF(H10="","？",IF(AND(H10&gt;=TGT_MIN,H10&lt;=TGT_MAX),IF(J10="着手済","△","◎"),"✕"))))</f>
        <v/>
      </c>
      <c r="E10" s="13">
        <f>IF(P10="計画なし","－",IF(P10="策定済","✕",IF(N10="","？",IF(AND(N10&gt;=TGT_MIN,N10&lt;=TGT_MAX),IF(P10="着手済","△","◎"),"✕"))))</f>
        <v/>
      </c>
      <c r="F10" s="11" t="inlineStr">
        <is>
          <t>三沢市地域公共交通計画</t>
        </is>
      </c>
      <c r="G10" s="11" t="inlineStr">
        <is>
          <t>不明</t>
        </is>
      </c>
      <c r="H10" s="13" t="n"/>
      <c r="I10" s="13" t="inlineStr">
        <is>
          <t>不明</t>
        </is>
      </c>
      <c r="J10" s="13" t="inlineStr">
        <is>
          <t>未確認</t>
        </is>
      </c>
      <c r="K10" s="14" t="inlineStr">
        <is>
          <t>https://www.city.misawa.lg.jp/index.cfm/12,21981,57,254,html</t>
        </is>
      </c>
      <c r="L10" s="11" t="inlineStr">
        <is>
          <t>第2次三沢市環境基本計画</t>
        </is>
      </c>
      <c r="M10" s="11" t="inlineStr">
        <is>
          <t>H31〜R10</t>
        </is>
      </c>
      <c r="N10" s="13" t="n">
        <v>10</v>
      </c>
      <c r="O10" s="13" t="inlineStr">
        <is>
          <t>確認済</t>
        </is>
      </c>
      <c r="P10" s="13" t="inlineStr">
        <is>
          <t>未確認</t>
        </is>
      </c>
      <c r="Q10" s="14" t="inlineStr">
        <is>
          <t>https://www.city.misawa.lg.jp/index.cfm/12,31881,c,html/31881/20181207-151357.pdf</t>
        </is>
      </c>
      <c r="R10" s="11" t="inlineStr">
        <is>
          <t>交通：H28.3策定の地域公共交通網形成計画を継承して地域公共交通計画を策定（策定時期・期間は検索で確認できず）。素案ページ https://www.city.misawa.lg.jp/index.cfm/12,47680,79,350,html 。環境：第2次計画（素案表紙に2019.4〜2029.3と明記）。URLは素案PDF。</t>
        </is>
      </c>
      <c r="S10" s="15" t="inlineStr">
        <is>
          <t>調査済</t>
        </is>
      </c>
      <c r="T10" s="11" t="inlineStr">
        <is>
          <t>掲載</t>
        </is>
      </c>
    </row>
    <row r="11">
      <c r="A11" s="11" t="n">
        <v>8</v>
      </c>
      <c r="B11" s="11" t="inlineStr">
        <is>
          <t>むつ市</t>
        </is>
      </c>
      <c r="C11" s="12">
        <f>IF(OR(D11="◎",E11="◎"),"◎ 営業",IF(OR(D11="△",E11="△"),"△ 着手済・要確認",IF(OR(D11="？",E11="？"),"？ 期間要確認","✕ 対象外")))</f>
        <v/>
      </c>
      <c r="D11" s="13">
        <f>IF(J11="計画なし","－",IF(J11="策定済","✕",IF(H11="","？",IF(AND(H11&gt;=TGT_MIN,H11&lt;=TGT_MAX),IF(J11="着手済","△","◎"),"✕"))))</f>
        <v/>
      </c>
      <c r="E11" s="13">
        <f>IF(P11="計画なし","－",IF(P11="策定済","✕",IF(N11="","？",IF(AND(N11&gt;=TGT_MIN,N11&lt;=TGT_MAX),IF(P11="着手済","△","◎"),"✕"))))</f>
        <v/>
      </c>
      <c r="F11" s="11" t="inlineStr">
        <is>
          <t>下北地域公共交通計画（広域）</t>
        </is>
      </c>
      <c r="G11" s="11" t="inlineStr">
        <is>
          <t>R7〜R11</t>
        </is>
      </c>
      <c r="H11" s="13" t="n">
        <v>11</v>
      </c>
      <c r="I11" s="13" t="inlineStr">
        <is>
          <t>確認済</t>
        </is>
      </c>
      <c r="J11" s="13" t="inlineStr">
        <is>
          <t>策定済</t>
        </is>
      </c>
      <c r="K11" s="14" t="inlineStr">
        <is>
          <t>https://www.city.mutsu.lg.jp/government/katsudou/kyoudou/files/simokitatiikikoukyoukoutuukeikakusoann.pdf</t>
        </is>
      </c>
      <c r="L11" s="11" t="n"/>
      <c r="M11" s="11" t="inlineStr">
        <is>
          <t>不明</t>
        </is>
      </c>
      <c r="N11" s="13" t="n"/>
      <c r="O11" s="13" t="inlineStr">
        <is>
          <t>不明</t>
        </is>
      </c>
      <c r="P11" s="13" t="inlineStr">
        <is>
          <t>未確認</t>
        </is>
      </c>
      <c r="Q11" s="11" t="n"/>
      <c r="R11" s="11" t="inlineStr">
        <is>
          <t>交通：下北地域公共交通総合連携協議会（むつ市・大間町・東通村・風間浦村・佐井村）がR7.3策定、2025〜2029。URLは素案PDF（パブコメR7.2.17〜3.3）。前計画はH30.3の下北地域公共交通網形成計画。市単独ではむつ市公共交通再編関連資料（2026）https://www.city.mutsu.lg.jp/kurashi/koutsu/koutsu_sisaku/files/mutsu_kokyokotsusaihen_2026.pdf あり（地域公共交通計画ではなく再編計画の可能性）。環境：環境基本計画は検索で見当たらず。第4期むつ市地球温暖化対策推進実行計画（事務事業編）R7.6策定（https://www.city.mutsu.lg.jp/kurashi/kankyo/kankyo/files/ondankakeikaku4.pdf）。 【追加調査 2026-10】環境：市サイト限定検索・完全一致検索（『むつ市環境基本計画』『むつ市環境基本条例』）とも該当なし。生活環境ページ https://www.city.mutsu.lg.jp/kurashi/kankyo/kankyo/ には地球温暖化対策推進実行計画・緑の基本計画等のみ。計画なしの明示的根拠はないため未確認のまま。確認日2026-10-02。</t>
        </is>
      </c>
      <c r="S11" s="18" t="inlineStr">
        <is>
          <t>交通のみ調査</t>
        </is>
      </c>
      <c r="T11" s="11" t="inlineStr">
        <is>
          <t>掲載（広域：下北地域）</t>
        </is>
      </c>
    </row>
    <row r="12">
      <c r="A12" s="11" t="n">
        <v>9</v>
      </c>
      <c r="B12" s="11" t="inlineStr">
        <is>
          <t>つがる市</t>
        </is>
      </c>
      <c r="C12" s="12">
        <f>IF(OR(D12="◎",E12="◎"),"◎ 営業",IF(OR(D12="△",E12="△"),"△ 着手済・要確認",IF(OR(D12="？",E12="？"),"？ 期間要確認","✕ 対象外")))</f>
        <v/>
      </c>
      <c r="D12" s="13">
        <f>IF(J12="計画なし","－",IF(J12="策定済","✕",IF(H12="","？",IF(AND(H12&gt;=TGT_MIN,H12&lt;=TGT_MAX),IF(J12="着手済","△","◎"),"✕"))))</f>
        <v/>
      </c>
      <c r="E12" s="13">
        <f>IF(P12="計画なし","－",IF(P12="策定済","✕",IF(N12="","？",IF(AND(N12&gt;=TGT_MIN,N12&lt;=TGT_MAX),IF(P12="着手済","△","◎"),"✕"))))</f>
        <v/>
      </c>
      <c r="F12" s="11" t="n"/>
      <c r="G12" s="11" t="inlineStr">
        <is>
          <t>不明</t>
        </is>
      </c>
      <c r="H12" s="13" t="n"/>
      <c r="I12" s="13" t="inlineStr">
        <is>
          <t>不明</t>
        </is>
      </c>
      <c r="J12" s="13" t="inlineStr">
        <is>
          <t>未確認</t>
        </is>
      </c>
      <c r="K12" s="11" t="n"/>
      <c r="L12" s="11" t="inlineStr">
        <is>
          <t>第2次つがる市環境基本計画</t>
        </is>
      </c>
      <c r="M12" s="11" t="inlineStr">
        <is>
          <t>不明</t>
        </is>
      </c>
      <c r="N12" s="13" t="n"/>
      <c r="O12" s="13" t="inlineStr">
        <is>
          <t>不明</t>
        </is>
      </c>
      <c r="P12" s="13" t="inlineStr">
        <is>
          <t>未確認</t>
        </is>
      </c>
      <c r="Q12" s="14" t="inlineStr">
        <is>
          <t>https://www.city.tsugaru.aomori.jp/soshiki/minsei/shimin/kankyoeisei/gomi/kankyoukihonkeikaku/10184.html</t>
        </is>
      </c>
      <c r="R12" s="11" t="inlineStr">
        <is>
          <t>交通：地域公共交通計画は検索で確認できず。つがる市地域公共交通会議（H20.9設置）https://www.city.tsugaru.aomori.jp/soshiki/somu/tiikisousei/kikakusinnkou/kokyokotu/6434.html 。環境：第2次計画のページは確認、期間不明。区域施策編は西つがる3市町（つがる市・鰺ヶ沢町・深浦町）共同で策定（R6.3パブコメ https://www.town.fukaura.lg.jp/fixed_docs/2024032100017/）。 【追加調査 2026-10】環境：市サイト限定検索で『つがる市環境基本計画』一覧 https://www.city.tsugaru.aomori.jp/soshiki/minsei/shimin/kankyoeisei/gomi/kankyoukihonkeikaku/index.html と第2次計画ページ（10184.html、PDF約10MB公開、つがる市環境基本条例に基づく計画）を確認。計画期間・策定年は検索結果で確認できず（計4回検索）。市サイトはWebFetchブロック。確認日2026-10-02。</t>
        </is>
      </c>
      <c r="S12" s="18" t="inlineStr">
        <is>
          <t>環境のみ調査</t>
        </is>
      </c>
      <c r="T12" s="11" t="inlineStr">
        <is>
          <t>未掲載</t>
        </is>
      </c>
    </row>
    <row r="13">
      <c r="A13" s="11" t="n">
        <v>10</v>
      </c>
      <c r="B13" s="11" t="inlineStr">
        <is>
          <t>平川市</t>
        </is>
      </c>
      <c r="C13" s="12">
        <f>IF(OR(D13="◎",E13="◎"),"◎ 営業",IF(OR(D13="△",E13="△"),"△ 着手済・要確認",IF(OR(D13="？",E13="？"),"？ 期間要確認","✕ 対象外")))</f>
        <v/>
      </c>
      <c r="D13" s="13">
        <f>IF(J13="計画なし","－",IF(J13="策定済","✕",IF(H13="","？",IF(AND(H13&gt;=TGT_MIN,H13&lt;=TGT_MAX),IF(J13="着手済","△","◎"),"✕"))))</f>
        <v/>
      </c>
      <c r="E13" s="13">
        <f>IF(P13="計画なし","－",IF(P13="策定済","✕",IF(N13="","？",IF(AND(N13&gt;=TGT_MIN,N13&lt;=TGT_MAX),IF(P13="着手済","△","◎"),"✕"))))</f>
        <v/>
      </c>
      <c r="F13" s="11" t="inlineStr">
        <is>
          <t>平川市地域公共交通計画</t>
        </is>
      </c>
      <c r="G13" s="11" t="inlineStr">
        <is>
          <t>不明</t>
        </is>
      </c>
      <c r="H13" s="13" t="n"/>
      <c r="I13" s="13" t="inlineStr">
        <is>
          <t>不明</t>
        </is>
      </c>
      <c r="J13" s="13" t="inlineStr">
        <is>
          <t>未確認</t>
        </is>
      </c>
      <c r="K13" s="14" t="inlineStr">
        <is>
          <t>https://www.city.hirakawa.lg.jp/kurashi/keikaku/2021-0514-1007-25.html</t>
        </is>
      </c>
      <c r="L13" s="11" t="inlineStr">
        <is>
          <t>平川市環境基本計画</t>
        </is>
      </c>
      <c r="M13" s="11" t="inlineStr">
        <is>
          <t>H29〜R8</t>
        </is>
      </c>
      <c r="N13" s="13" t="n">
        <v>8</v>
      </c>
      <c r="O13" s="13" t="inlineStr">
        <is>
          <t>確認済</t>
        </is>
      </c>
      <c r="P13" s="13" t="inlineStr">
        <is>
          <t>未確認</t>
        </is>
      </c>
      <c r="Q13" s="14" t="inlineStr">
        <is>
          <t>https://www.city.hirakawa.lg.jp/kurashi/keikaku/kankyokihonkeikaku.html</t>
        </is>
      </c>
      <c r="R13" s="11" t="inlineStr">
        <is>
          <t>交通：R3（素案R3.3）策定、R4新庁舎開庁に合わせた再編のマスタープラン。期間は検索で確認できず（5年ならR3〜R7で既に終期到来の可能性、要確認）。策定業務プロポーザルページ https://www.city.hirakawa.lg.jp/shigoto/keiyaku/proposal/koukyoukoutsukeikaku_proposal.html（現行計画分か次期分か不明）。弘前圏域地域公共交通計画にも参加 https://www.city.hirakawa.lg.jp/kurashi/keikaku/hirosakikenikikoutsuukeikaku.html 。環境：H29〜R8の10年間でR8年度（今年度）終了。次期計画の策定業務公募等は検索で見つからず（要注視・有望）。</t>
        </is>
      </c>
      <c r="S13" s="15" t="inlineStr">
        <is>
          <t>調査済</t>
        </is>
      </c>
      <c r="T13" s="11" t="inlineStr">
        <is>
          <t>掲載</t>
        </is>
      </c>
    </row>
    <row r="14">
      <c r="A14" s="11" t="n">
        <v>11</v>
      </c>
      <c r="B14" s="11" t="inlineStr">
        <is>
          <t>平内町</t>
        </is>
      </c>
      <c r="C14" s="12">
        <f>IF(OR(D14="◎",E14="◎"),"◎ 営業",IF(OR(D14="△",E14="△"),"△ 着手済・要確認",IF(OR(D14="？",E14="？"),"？ 期間要確認","✕ 対象外")))</f>
        <v/>
      </c>
      <c r="D14" s="13">
        <f>IF(J14="計画なし","－",IF(J14="策定済","✕",IF(H14="","？",IF(AND(H14&gt;=TGT_MIN,H14&lt;=TGT_MAX),IF(J14="着手済","△","◎"),"✕"))))</f>
        <v/>
      </c>
      <c r="E14" s="13">
        <f>IF(P14="計画なし","－",IF(P14="策定済","✕",IF(N14="","？",IF(AND(N14&gt;=TGT_MIN,N14&lt;=TGT_MAX),IF(P14="着手済","△","◎"),"✕"))))</f>
        <v/>
      </c>
      <c r="F14" s="11" t="inlineStr">
        <is>
          <t>平内町地域公共交通計画</t>
        </is>
      </c>
      <c r="G14" s="11" t="inlineStr">
        <is>
          <t>R4〜R8</t>
        </is>
      </c>
      <c r="H14" s="16" t="n">
        <v>8</v>
      </c>
      <c r="I14" s="13" t="inlineStr">
        <is>
          <t>推定</t>
        </is>
      </c>
      <c r="J14" s="13" t="inlineStr">
        <is>
          <t>未確認</t>
        </is>
      </c>
      <c r="K14" s="14" t="inlineStr">
        <is>
          <t>https://www.town.hiranai.aomori.jp/chosei/machizukuri/3/1241.html</t>
        </is>
      </c>
      <c r="L14" s="11" t="n"/>
      <c r="M14" s="11" t="inlineStr">
        <is>
          <t>不明</t>
        </is>
      </c>
      <c r="N14" s="13" t="n"/>
      <c r="O14" s="13" t="inlineStr">
        <is>
          <t>不明</t>
        </is>
      </c>
      <c r="P14" s="13" t="inlineStr">
        <is>
          <t>計画なし</t>
        </is>
      </c>
      <c r="Q14" s="11" t="n"/>
      <c r="R14" s="11" t="inlineStr">
        <is>
          <t>交通：町HPに計画掲載、令和3年度策定と検索結果に記載（期間は未確認、5年計画と仮定しR4〜R8推定）。R8終了なら次期改定の動きに注意。環境基本計画は町/村名検索・公式サイト内検索で見当たらず（計画なしの確証はないため未確認）。 【追加調査 2026-10】環境：町サイト限定検索（town.hiranai.aomori.jp）で環境基本計画は見当たらず。町民課所管の環境関連計画として出るのは平内町地球温暖化対策実行計画（事務事業編、R2.3策定、R2〜R6）https://www.town.hiranai.aomori.jp/soshiki/chomin/1/3/1/chikyuondankataisaku01.html 、一般廃棄物処理基本計画、災害廃棄物処理計画のみ。環境分野は第六次平内町長期振興計画 https://www.town.hiranai.aomori.jp/soshiki/kikaku/1/1/2/414.html の分野別計画で扱う。町の計画一覧（まちづくり・計画 https://www.town.hiranai.aomori.jp/chosei/machizukuri/index.html ）にも無く計画なしと判断（明示的な記載ではない点に留意）。確認日2026-10-02。</t>
        </is>
      </c>
      <c r="S14" s="15" t="inlineStr">
        <is>
          <t>調査済</t>
        </is>
      </c>
      <c r="T14" s="11" t="inlineStr">
        <is>
          <t>掲載</t>
        </is>
      </c>
    </row>
    <row r="15">
      <c r="A15" s="11" t="n">
        <v>12</v>
      </c>
      <c r="B15" s="11" t="inlineStr">
        <is>
          <t>今別町</t>
        </is>
      </c>
      <c r="C15" s="12">
        <f>IF(OR(D15="◎",E15="◎"),"◎ 営業",IF(OR(D15="△",E15="△"),"△ 着手済・要確認",IF(OR(D15="？",E15="？"),"？ 期間要確認","✕ 対象外")))</f>
        <v/>
      </c>
      <c r="D15" s="13">
        <f>IF(J15="計画なし","－",IF(J15="策定済","✕",IF(H15="","？",IF(AND(H15&gt;=TGT_MIN,H15&lt;=TGT_MAX),IF(J15="着手済","△","◎"),"✕"))))</f>
        <v/>
      </c>
      <c r="E15" s="13">
        <f>IF(P15="計画なし","－",IF(P15="策定済","✕",IF(N15="","？",IF(AND(N15&gt;=TGT_MIN,N15&lt;=TGT_MAX),IF(P15="着手済","△","◎"),"✕"))))</f>
        <v/>
      </c>
      <c r="F15" s="11" t="inlineStr">
        <is>
          <t>今別町地域公共交通計画</t>
        </is>
      </c>
      <c r="G15" s="11" t="inlineStr">
        <is>
          <t>R5〜R9</t>
        </is>
      </c>
      <c r="H15" s="13" t="n">
        <v>9</v>
      </c>
      <c r="I15" s="13" t="inlineStr">
        <is>
          <t>確認済</t>
        </is>
      </c>
      <c r="J15" s="13" t="inlineStr">
        <is>
          <t>未確認</t>
        </is>
      </c>
      <c r="K15" s="14" t="inlineStr">
        <is>
          <t>https://www.town.imabetsu.lg.jp/gyousei/koukai/2023-0828-1639-1.html</t>
        </is>
      </c>
      <c r="L15" s="11" t="n"/>
      <c r="M15" s="11" t="inlineStr">
        <is>
          <t>不明</t>
        </is>
      </c>
      <c r="N15" s="13" t="n"/>
      <c r="O15" s="13" t="inlineStr">
        <is>
          <t>不明</t>
        </is>
      </c>
      <c r="P15" s="13" t="inlineStr">
        <is>
          <t>未確認</t>
        </is>
      </c>
      <c r="Q15" s="11" t="n"/>
      <c r="R15" s="11" t="inlineStr">
        <is>
          <t>交通：策定支援業務プロポーザル2022-10（https://www.town.imabetsu.lg.jp/news/gyousei/2022-1017-1745-1.html）、計画公表ページ2023-08-28。期間は検索結果で未確認（R5〜R9推定）。JR津軽線蟹田〜三厩は2027年4月廃止・バス/乗合タクシー転換予定（NPO今別外ヶ浜交通）で計画見直しの可能性あり。環境基本計画は町/村名検索・公式サイト内検索で見当たらず（計画なしの確証はないため未確認）。 【ファクトチェック 2026-10-01: 正しい】確認期間: R5〜R9（5年間）／次期: 確認できず（次期計画の策定業務・アンケートは見当たらず。ただしJR津軽線蟹田以北について、代行バス・わんタク・町営バス等を統合した自動車交通を令和9年4月1日から運行予定（広報今別733号 https://www.town.imabetsu／根拠: https://www.town.imabetsu.lg.jp/gyousei/koukai/2023-0828-1639-1.html 【追加調査 2026-10】環境：町サイト限定検索（town.imabetsu.lg.jp）で『環境基本計画』『地球温暖化対策実行計画』とも該当なし。町の施策一覧 https://www.town.imabetsu.lg.jp/gyousei/shisaku/ には総合計画（第6次、R7〜R16 https://www.town.imabetsu.lg.jp/gyousei/shisaku/files/No.6_sougou.pdf ）・総合戦略・地域公共交通計画等のみで、脱炭素は総合計画内で言及。計画なしの可能性大だが明示根拠に乏しく未確認のまま。確認日2026-10-02。</t>
        </is>
      </c>
      <c r="S15" s="18" t="inlineStr">
        <is>
          <t>交通のみ調査</t>
        </is>
      </c>
      <c r="T15" s="11" t="inlineStr">
        <is>
          <t>掲載</t>
        </is>
      </c>
    </row>
    <row r="16">
      <c r="A16" s="11" t="n">
        <v>13</v>
      </c>
      <c r="B16" s="11" t="inlineStr">
        <is>
          <t>蓬田村</t>
        </is>
      </c>
      <c r="C16" s="12">
        <f>IF(OR(D16="◎",E16="◎"),"◎ 営業",IF(OR(D16="△",E16="△"),"△ 着手済・要確認",IF(OR(D16="？",E16="？"),"？ 期間要確認","✕ 対象外")))</f>
        <v/>
      </c>
      <c r="D16" s="13">
        <f>IF(J16="計画なし","－",IF(J16="策定済","✕",IF(H16="","？",IF(AND(H16&gt;=TGT_MIN,H16&lt;=TGT_MAX),IF(J16="着手済","△","◎"),"✕"))))</f>
        <v/>
      </c>
      <c r="E16" s="13">
        <f>IF(P16="計画なし","－",IF(P16="策定済","✕",IF(N16="","？",IF(AND(N16&gt;=TGT_MIN,N16&lt;=TGT_MAX),IF(P16="着手済","△","◎"),"✕"))))</f>
        <v/>
      </c>
      <c r="F16" s="11" t="n"/>
      <c r="G16" s="11" t="inlineStr">
        <is>
          <t>不明</t>
        </is>
      </c>
      <c r="H16" s="13" t="n"/>
      <c r="I16" s="13" t="inlineStr">
        <is>
          <t>不明</t>
        </is>
      </c>
      <c r="J16" s="13" t="inlineStr">
        <is>
          <t>未確認</t>
        </is>
      </c>
      <c r="K16" s="11" t="n"/>
      <c r="L16" s="11" t="n"/>
      <c r="M16" s="11" t="inlineStr">
        <is>
          <t>不明</t>
        </is>
      </c>
      <c r="N16" s="13" t="n"/>
      <c r="O16" s="13" t="inlineStr">
        <is>
          <t>不明</t>
        </is>
      </c>
      <c r="P16" s="13" t="inlineStr">
        <is>
          <t>未確認</t>
        </is>
      </c>
      <c r="Q16" s="11" t="n"/>
      <c r="R16" s="11" t="inlineStr">
        <is>
          <t>交通：村名検索・村HP内検索で地域公共交通計画は見当たらず（公共交通ページ https://www.vill.yomogita.lg.jp/kurashi/kotsu/ のみ）。青森市計画は市単独。なお青森県地域公共交通計画（R5〜R9、県全域）は県計画として全市町村を対象。環境基本計画は町/村名検索・公式サイト内検索で見当たらず（計画なしの確証はないため未確認）。 【追加調査 2026-10】環境：村サイト限定検索（vill.yomogita.lg.jp）で環境基本計画は見当たらず。計画ページ https://www.vill.yomogita.lg.jp/sonsei/keikaku/ には過疎計画（R3〜R7）・青森圏域国土強靱化地域計画等。検索要約で『蓬田村地球温暖化対策推進実行計画』の存在が示唆されたがURL未確認。計画なしの確証はなく未確認のまま。確認日2026-10-02。</t>
        </is>
      </c>
      <c r="S16" s="18" t="inlineStr">
        <is>
          <t>未調査</t>
        </is>
      </c>
      <c r="T16" s="11" t="inlineStr">
        <is>
          <t>未掲載</t>
        </is>
      </c>
    </row>
    <row r="17">
      <c r="A17" s="11" t="n">
        <v>14</v>
      </c>
      <c r="B17" s="11" t="inlineStr">
        <is>
          <t>外ヶ浜町</t>
        </is>
      </c>
      <c r="C17" s="12">
        <f>IF(OR(D17="◎",E17="◎"),"◎ 営業",IF(OR(D17="△",E17="△"),"△ 着手済・要確認",IF(OR(D17="？",E17="？"),"？ 期間要確認","✕ 対象外")))</f>
        <v/>
      </c>
      <c r="D17" s="13">
        <f>IF(J17="計画なし","－",IF(J17="策定済","✕",IF(H17="","？",IF(AND(H17&gt;=TGT_MIN,H17&lt;=TGT_MAX),IF(J17="着手済","△","◎"),"✕"))))</f>
        <v/>
      </c>
      <c r="E17" s="13">
        <f>IF(P17="計画なし","－",IF(P17="策定済","✕",IF(N17="","？",IF(AND(N17&gt;=TGT_MIN,N17&lt;=TGT_MAX),IF(P17="着手済","△","◎"),"✕"))))</f>
        <v/>
      </c>
      <c r="F17" s="11" t="inlineStr">
        <is>
          <t>外ヶ浜町地域公共交通計画</t>
        </is>
      </c>
      <c r="G17" s="11" t="inlineStr">
        <is>
          <t>R6〜R10</t>
        </is>
      </c>
      <c r="H17" s="16" t="n">
        <v>10</v>
      </c>
      <c r="I17" s="13" t="inlineStr">
        <is>
          <t>推定</t>
        </is>
      </c>
      <c r="J17" s="13" t="inlineStr">
        <is>
          <t>未確認</t>
        </is>
      </c>
      <c r="K17" s="14" t="inlineStr">
        <is>
          <t>https://www.town.sotogahama.lg.jp/gyosei/public/2024-0227-tiikikoukyokoutukeikaku_pabukome.html</t>
        </is>
      </c>
      <c r="L17" s="11" t="n"/>
      <c r="M17" s="11" t="inlineStr">
        <is>
          <t>不明</t>
        </is>
      </c>
      <c r="N17" s="13" t="n"/>
      <c r="O17" s="13" t="inlineStr">
        <is>
          <t>不明</t>
        </is>
      </c>
      <c r="P17" s="13" t="inlineStr">
        <is>
          <t>計画なし</t>
        </is>
      </c>
      <c r="Q17" s="11" t="n"/>
      <c r="R17" s="11" t="inlineStr">
        <is>
          <t>交通計画は2024年2月27日パブコメ実施（URLは同パブコメページ、期間は5年と推定）。JR津軽線蟹田〜三厩の代行・転換が絡む。環境基本計画は確認できず（今回検索でも見当たらず）、代替として地球温暖化対策実行計画（区域施策編）令和8年3月策定: https://www.town.sotogahama.lg.jp/gyosei/keikaku/files/01_soto_kuikisesaku_plan.pdf 環境基本計画は検索で確認できず（計画なしの確証なし）。 【追加調査 2026-10】環境：町サイト限定検索で環境基本計画は見当たらず。各種計画ページ https://www.town.sotogahama.lg.jp/gyosei/keikaku/ の環境系は外ヶ浜町地球温暖化対策実行計画（区域施策編、2026-03-24策定）https://www.town.sotogahama.lg.jp/gyosei/keikaku/files/01_soto_kuikisesaku_plan.pdf と事務事業編（2020.3）https://www.town.sotogahama.lg.jp/kurashi/kankyo/2021-1022-ontaiho.html 、一般廃棄物処理基本計画のみ。2023.9ゼロカーボンシティ宣言。区域施策編のみで環境基本計画なしと判断。確認日2026-10-02。</t>
        </is>
      </c>
      <c r="S17" s="15" t="inlineStr">
        <is>
          <t>調査済</t>
        </is>
      </c>
      <c r="T17" s="11" t="inlineStr">
        <is>
          <t>掲載</t>
        </is>
      </c>
    </row>
    <row r="18">
      <c r="A18" s="11" t="n">
        <v>15</v>
      </c>
      <c r="B18" s="11" t="inlineStr">
        <is>
          <t>鰺ヶ沢町</t>
        </is>
      </c>
      <c r="C18" s="12">
        <f>IF(OR(D18="◎",E18="◎"),"◎ 営業",IF(OR(D18="△",E18="△"),"△ 着手済・要確認",IF(OR(D18="？",E18="？"),"？ 期間要確認","✕ 対象外")))</f>
        <v/>
      </c>
      <c r="D18" s="13">
        <f>IF(J18="計画なし","－",IF(J18="策定済","✕",IF(H18="","？",IF(AND(H18&gt;=TGT_MIN,H18&lt;=TGT_MAX),IF(J18="着手済","△","◎"),"✕"))))</f>
        <v/>
      </c>
      <c r="E18" s="13">
        <f>IF(P18="計画なし","－",IF(P18="策定済","✕",IF(N18="","？",IF(AND(N18&gt;=TGT_MIN,N18&lt;=TGT_MAX),IF(P18="着手済","△","◎"),"✕"))))</f>
        <v/>
      </c>
      <c r="F18" s="11" t="inlineStr">
        <is>
          <t>鰺ヶ沢町地域公共交通計画</t>
        </is>
      </c>
      <c r="G18" s="11" t="inlineStr">
        <is>
          <t>R6〜R10</t>
        </is>
      </c>
      <c r="H18" s="16" t="n">
        <v>10</v>
      </c>
      <c r="I18" s="13" t="inlineStr">
        <is>
          <t>推定</t>
        </is>
      </c>
      <c r="J18" s="13" t="inlineStr">
        <is>
          <t>未確認</t>
        </is>
      </c>
      <c r="K18" s="14" t="inlineStr">
        <is>
          <t>http://www.town.ajigasawa.lg.jp/gyosei_jyoho/kotsu/kokyokotukeikaku.html</t>
        </is>
      </c>
      <c r="L18" s="11" t="n"/>
      <c r="M18" s="11" t="inlineStr">
        <is>
          <t>不明</t>
        </is>
      </c>
      <c r="N18" s="13" t="n"/>
      <c r="O18" s="13" t="inlineStr">
        <is>
          <t>不明</t>
        </is>
      </c>
      <c r="P18" s="13" t="inlineStr">
        <is>
          <t>計画なし</t>
        </is>
      </c>
      <c r="Q18" s="11" t="n"/>
      <c r="R18" s="11" t="inlineStr">
        <is>
          <t>交通：旧メモ「単独計画は確認できず」は誤り。町HPで2024年3月策定を確認（パブコメ http://www.town.ajigasawa.lg.jp/gyosei_jyoho/publiccomment/kokyokotukeikaku.html）。期間は未確認で5年と仮定しR6〜R10推定。五所川原圏域定住自立圏構成町。環境基本計画は町/村名検索・公式サイト内検索で見当たらず（計画なしの確証はないため未確認）。 【追加調査 2026-10】環境：『鰺ヶ沢町 環境基本計画』検索・町サイト限定検索（環境基本計画/環境計画/環境基本条例）とも環境基本計画は見当たらず。環境分野は西つがる3市町（五所川原市・鰺ヶ沢町・深浦町）共同の地球温暖化対策実行計画（区域施策編） http://www.town.ajigasawa.lg.jp/gyosei_jyoho/keikaku/kikakusinkou240516.html と再生可能エネルギー導入計画 https://www.town.ajigasawa.lg.jp/gyosei_jyoho/keikaku/seisakusaiene.html のみ（区域施策編のみ）。町計画一覧 https://www.town.ajigasawa.lg.jp/gyosei_jyoho/keikaku/index.html はWebFetchブロックで目視不可。確認日2026-10-02</t>
        </is>
      </c>
      <c r="S18" s="15" t="inlineStr">
        <is>
          <t>調査済</t>
        </is>
      </c>
      <c r="T18" s="11" t="inlineStr">
        <is>
          <t>掲載</t>
        </is>
      </c>
    </row>
    <row r="19">
      <c r="A19" s="11" t="n">
        <v>16</v>
      </c>
      <c r="B19" s="11" t="inlineStr">
        <is>
          <t>深浦町</t>
        </is>
      </c>
      <c r="C19" s="12">
        <f>IF(OR(D19="◎",E19="◎"),"◎ 営業",IF(OR(D19="△",E19="△"),"△ 着手済・要確認",IF(OR(D19="？",E19="？"),"？ 期間要確認","✕ 対象外")))</f>
        <v/>
      </c>
      <c r="D19" s="13">
        <f>IF(J19="計画なし","－",IF(J19="策定済","✕",IF(H19="","？",IF(AND(H19&gt;=TGT_MIN,H19&lt;=TGT_MAX),IF(J19="着手済","△","◎"),"✕"))))</f>
        <v/>
      </c>
      <c r="E19" s="13">
        <f>IF(P19="計画なし","－",IF(P19="策定済","✕",IF(N19="","？",IF(AND(N19&gt;=TGT_MIN,N19&lt;=TGT_MAX),IF(P19="着手済","△","◎"),"✕"))))</f>
        <v/>
      </c>
      <c r="F19" s="11" t="inlineStr">
        <is>
          <t>深浦町地域公共交通計画</t>
        </is>
      </c>
      <c r="G19" s="11" t="inlineStr">
        <is>
          <t>R6〜R10</t>
        </is>
      </c>
      <c r="H19" s="16" t="n">
        <v>10</v>
      </c>
      <c r="I19" s="13" t="inlineStr">
        <is>
          <t>推定</t>
        </is>
      </c>
      <c r="J19" s="13" t="inlineStr">
        <is>
          <t>未確認</t>
        </is>
      </c>
      <c r="K19" s="14" t="inlineStr">
        <is>
          <t>https://www.town.fukaura.lg.jp/doc/2020031800019/file_contents/2020031800019_fixed_docs_2020031800019_file_contents_kotsukeikaku.pdf</t>
        </is>
      </c>
      <c r="L19" s="11" t="n"/>
      <c r="M19" s="11" t="inlineStr">
        <is>
          <t>不明</t>
        </is>
      </c>
      <c r="N19" s="13" t="n"/>
      <c r="O19" s="13" t="inlineStr">
        <is>
          <t>不明</t>
        </is>
      </c>
      <c r="P19" s="13" t="inlineStr">
        <is>
          <t>計画なし</t>
        </is>
      </c>
      <c r="Q19" s="11" t="n"/>
      <c r="R19" s="11" t="inlineStr">
        <is>
          <t>交通：計画書表紙「令和6年4月」。前計画は深浦町地域公共交通網形成計画（2020年3月策定）。期間は未確認で5年と仮定しR6〜R10推定。環境基本計画は町/村名検索・公式サイト内検索で見当たらず（計画なしの確証はないため未確認）。 【追加調査 2026-10】環境：町名検索・町サイト限定検索で環境基本計画は見当たらず。環境系は西つがる3市町地球温暖化対策実行計画［区域施策編］ https://www.town.fukaura.lg.jp/fixed_docs/2024032100017/ 、西つがる3市町再エネ導入計画 https://www.town.fukaura.lg.jp/fixed_docs/2024052000038/ 、循環型社会形成推進地域計画のみ（区域施策編のみ）。確認日2026-10-02</t>
        </is>
      </c>
      <c r="S19" s="15" t="inlineStr">
        <is>
          <t>調査済</t>
        </is>
      </c>
      <c r="T19" s="11" t="inlineStr">
        <is>
          <t>掲載</t>
        </is>
      </c>
    </row>
    <row r="20">
      <c r="A20" s="11" t="n">
        <v>17</v>
      </c>
      <c r="B20" s="11" t="inlineStr">
        <is>
          <t>西目屋村</t>
        </is>
      </c>
      <c r="C20" s="12">
        <f>IF(OR(D20="◎",E20="◎"),"◎ 営業",IF(OR(D20="△",E20="△"),"△ 着手済・要確認",IF(OR(D20="？",E20="？"),"？ 期間要確認","✕ 対象外")))</f>
        <v/>
      </c>
      <c r="D20" s="13">
        <f>IF(J20="計画なし","－",IF(J20="策定済","✕",IF(H20="","？",IF(AND(H20&gt;=TGT_MIN,H20&lt;=TGT_MAX),IF(J20="着手済","△","◎"),"✕"))))</f>
        <v/>
      </c>
      <c r="E20" s="13">
        <f>IF(P20="計画なし","－",IF(P20="策定済","✕",IF(N20="","？",IF(AND(N20&gt;=TGT_MIN,N20&lt;=TGT_MAX),IF(P20="着手済","△","◎"),"✕"))))</f>
        <v/>
      </c>
      <c r="F20" s="11" t="n"/>
      <c r="G20" s="11" t="inlineStr">
        <is>
          <t>不明</t>
        </is>
      </c>
      <c r="H20" s="13" t="n"/>
      <c r="I20" s="13" t="inlineStr">
        <is>
          <t>不明</t>
        </is>
      </c>
      <c r="J20" s="13" t="inlineStr">
        <is>
          <t>未確認</t>
        </is>
      </c>
      <c r="K20" s="11" t="n"/>
      <c r="L20" s="11" t="n"/>
      <c r="M20" s="11" t="inlineStr">
        <is>
          <t>不明</t>
        </is>
      </c>
      <c r="N20" s="13" t="n"/>
      <c r="O20" s="13" t="inlineStr">
        <is>
          <t>不明</t>
        </is>
      </c>
      <c r="P20" s="13" t="inlineStr">
        <is>
          <t>計画なし</t>
        </is>
      </c>
      <c r="Q20" s="11" t="n"/>
      <c r="R20" s="11" t="inlineStr">
        <is>
          <t>交通：村HP内検索で地域公共交通計画は見当たらず（コミュニティバスのみ https://www.nishimeya.jp/kurashi_tetsuzuki/kokyokotsu/300.html）。弘前市地域公共交通計画（R6.3）は市単独とみられる。なお青森県地域公共交通計画（R5〜R9、県全域）は県計画として全市町村を対象。環境：村HP内検索で環境基本計画は見当たらず（再生可能エネルギー振興策 https://www.nishimeya.jp/sonseijoho/seisaku_keikaku/5/7/228.html、災害廃棄物処理計画R8.1はあり）。計画なしの可能性が高いが確証なく未確認。 【追加調査 2026-10】環境：村名検索・村サイト限定検索で環境基本計画は見当たらず。西目屋村地球温暖化対策実行計画（区域施策編、2024年3月策定） https://www.nishimeya.jp/sonseijoho/gyozaisei/872.html 、バイオマス活用推進計画、再エネ振興策のみ（区域施策編のみ）。確認日2026-10-02</t>
        </is>
      </c>
      <c r="S20" s="18" t="inlineStr">
        <is>
          <t>環境のみ調査</t>
        </is>
      </c>
      <c r="T20" s="11" t="inlineStr">
        <is>
          <t>未掲載</t>
        </is>
      </c>
    </row>
    <row r="21">
      <c r="A21" s="11" t="n">
        <v>18</v>
      </c>
      <c r="B21" s="11" t="inlineStr">
        <is>
          <t>藤崎町</t>
        </is>
      </c>
      <c r="C21" s="12">
        <f>IF(OR(D21="◎",E21="◎"),"◎ 営業",IF(OR(D21="△",E21="△"),"△ 着手済・要確認",IF(OR(D21="？",E21="？"),"？ 期間要確認","✕ 対象外")))</f>
        <v/>
      </c>
      <c r="D21" s="13">
        <f>IF(J21="計画なし","－",IF(J21="策定済","✕",IF(H21="","？",IF(AND(H21&gt;=TGT_MIN,H21&lt;=TGT_MAX),IF(J21="着手済","△","◎"),"✕"))))</f>
        <v/>
      </c>
      <c r="E21" s="13">
        <f>IF(P21="計画なし","－",IF(P21="策定済","✕",IF(N21="","？",IF(AND(N21&gt;=TGT_MIN,N21&lt;=TGT_MAX),IF(P21="着手済","△","◎"),"✕"))))</f>
        <v/>
      </c>
      <c r="F21" s="11" t="n"/>
      <c r="G21" s="11" t="inlineStr">
        <is>
          <t>不明</t>
        </is>
      </c>
      <c r="H21" s="13" t="n"/>
      <c r="I21" s="13" t="inlineStr">
        <is>
          <t>不明</t>
        </is>
      </c>
      <c r="J21" s="13" t="inlineStr">
        <is>
          <t>未確認</t>
        </is>
      </c>
      <c r="K21" s="11" t="n"/>
      <c r="L21" s="11" t="n"/>
      <c r="M21" s="11" t="inlineStr">
        <is>
          <t>不明</t>
        </is>
      </c>
      <c r="N21" s="13" t="n"/>
      <c r="O21" s="13" t="inlineStr">
        <is>
          <t>不明</t>
        </is>
      </c>
      <c r="P21" s="13" t="inlineStr">
        <is>
          <t>計画なし</t>
        </is>
      </c>
      <c r="Q21" s="11" t="n"/>
      <c r="R21" s="11" t="inlineStr">
        <is>
          <t>交通：町名検索・町HP内検索で地域公共交通計画は見当たらず（都市計画マスタープラン・総合計画のみ）。弘前圏域8市町村の弘南鉄道維持活性化基本方針（2020）あり。なお青森県地域公共交通計画（R5〜R9、県全域）は県計画として全市町村を対象。環境基本計画は町/村名検索・公式サイト内検索で見当たらず（計画なしの確証はないため未確認）。 【追加調査 2026-10】環境：町名検索・町サイト限定検索で環境基本計画は見当たらず。藤崎町地球温暖化対策実行計画（R7策定、計画期間R8〜R12、2030年度52%削減・検索要約による） https://www.town.fujisaki.lg.jp/index.cfm/7,23198,24,339,html のみ（区域施策編のみ）。確認日2026-10-02</t>
        </is>
      </c>
      <c r="S21" s="18" t="inlineStr">
        <is>
          <t>環境のみ調査</t>
        </is>
      </c>
      <c r="T21" s="11" t="inlineStr">
        <is>
          <t>未掲載</t>
        </is>
      </c>
    </row>
    <row r="22">
      <c r="A22" s="11" t="n">
        <v>19</v>
      </c>
      <c r="B22" s="11" t="inlineStr">
        <is>
          <t>大鰐町</t>
        </is>
      </c>
      <c r="C22" s="12">
        <f>IF(OR(D22="◎",E22="◎"),"◎ 営業",IF(OR(D22="△",E22="△"),"△ 着手済・要確認",IF(OR(D22="？",E22="？"),"？ 期間要確認","✕ 対象外")))</f>
        <v/>
      </c>
      <c r="D22" s="13">
        <f>IF(J22="計画なし","－",IF(J22="策定済","✕",IF(H22="","？",IF(AND(H22&gt;=TGT_MIN,H22&lt;=TGT_MAX),IF(J22="着手済","△","◎"),"✕"))))</f>
        <v/>
      </c>
      <c r="E22" s="13">
        <f>IF(P22="計画なし","－",IF(P22="策定済","✕",IF(N22="","？",IF(AND(N22&gt;=TGT_MIN,N22&lt;=TGT_MAX),IF(P22="着手済","△","◎"),"✕"))))</f>
        <v/>
      </c>
      <c r="F22" s="11" t="inlineStr">
        <is>
          <t>大鰐町地域公共交通計画</t>
        </is>
      </c>
      <c r="G22" s="11" t="inlineStr">
        <is>
          <t>R5〜R9</t>
        </is>
      </c>
      <c r="H22" s="16" t="n">
        <v>9</v>
      </c>
      <c r="I22" s="13" t="inlineStr">
        <is>
          <t>推定</t>
        </is>
      </c>
      <c r="J22" s="13" t="inlineStr">
        <is>
          <t>未確認</t>
        </is>
      </c>
      <c r="K22" s="14" t="inlineStr">
        <is>
          <t>http://www.town.owani.lg.jp/aboutowani/plan/kokyo-kotsu.html</t>
        </is>
      </c>
      <c r="L22" s="11" t="n"/>
      <c r="M22" s="11" t="inlineStr">
        <is>
          <t>不明</t>
        </is>
      </c>
      <c r="N22" s="13" t="n"/>
      <c r="O22" s="13" t="inlineStr">
        <is>
          <t>不明</t>
        </is>
      </c>
      <c r="P22" s="13" t="inlineStr">
        <is>
          <t>未確認</t>
        </is>
      </c>
      <c r="Q22" s="11" t="n"/>
      <c r="R22" s="11" t="inlineStr">
        <is>
          <t>町HP「大鰐町地域公共交通計画策定について」ページに計画PDF（ファイル名R5.5.pdf）掲載→R5.5策定と見られ、5年計画ならR5〜R9（期間は未確認・推定）。過去に計画案策定支援業務の公募型プロポーザル実施: http://www.town.owani.lg.jp/news/index.cfm/detail.1.12187.html （日付未確認）。弘南鉄道大鰐線は運行休止/廃止方向で交通再編の動きあり。環境基本計画・温対計画は検索で見当たらず。 【ファクトチェック 2026-10-01: 確認できず】確認期間: None／次期: 確認できず（関連: 弘南鉄道大鰐線は2028年3月末で運行休止と発表され、代替交通は県主催の検討会議で調整中 https://trafficnews.jp/post/592513）／根拠: http://www.town.owani.lg.jp/aboutowani/plan/kokyo-kotsu.html 【追加調査 2026-10】【2026-10-02調査】検索3回（計画期間・次期計画/プロポ）で、町HP http://www.town.owani.lg.jp/aboutowani/plan/kokyo-kotsu.html のPDF（R5.5.pdf）以外に期間を示す本文は得られず、R5〜R9は推定のまま。町サイトはWebFetch不可（egress blocked）。次期計画の委託・パブコメ等は検索で見当たらず。 【追加調査 2026-10】環境：町名検索・町サイト限定検索（環境基本計画/温対実行計画/環境基本条例）とも該当なし。町計画ページ（振興計画・都市計画MP・地域防災計画等 http://www.town.owani.lg.jp/aboutowani/plan/shinko.html ）に環境計画は出ず。温対区域施策編も未確認のため根拠弱く未確認。確認日2026-10-02</t>
        </is>
      </c>
      <c r="S22" s="18" t="inlineStr">
        <is>
          <t>交通のみ調査</t>
        </is>
      </c>
      <c r="T22" s="11" t="inlineStr">
        <is>
          <t>掲載</t>
        </is>
      </c>
    </row>
    <row r="23">
      <c r="A23" s="11" t="n">
        <v>20</v>
      </c>
      <c r="B23" s="11" t="inlineStr">
        <is>
          <t>田舎館村</t>
        </is>
      </c>
      <c r="C23" s="12">
        <f>IF(OR(D23="◎",E23="◎"),"◎ 営業",IF(OR(D23="△",E23="△"),"△ 着手済・要確認",IF(OR(D23="？",E23="？"),"？ 期間要確認","✕ 対象外")))</f>
        <v/>
      </c>
      <c r="D23" s="13">
        <f>IF(J23="計画なし","－",IF(J23="策定済","✕",IF(H23="","？",IF(AND(H23&gt;=TGT_MIN,H23&lt;=TGT_MAX),IF(J23="着手済","△","◎"),"✕"))))</f>
        <v/>
      </c>
      <c r="E23" s="13">
        <f>IF(P23="計画なし","－",IF(P23="策定済","✕",IF(N23="","？",IF(AND(N23&gt;=TGT_MIN,N23&lt;=TGT_MAX),IF(P23="着手済","△","◎"),"✕"))))</f>
        <v/>
      </c>
      <c r="F23" s="11" t="n"/>
      <c r="G23" s="11" t="inlineStr">
        <is>
          <t>不明</t>
        </is>
      </c>
      <c r="H23" s="13" t="n"/>
      <c r="I23" s="13" t="inlineStr">
        <is>
          <t>不明</t>
        </is>
      </c>
      <c r="J23" s="13" t="inlineStr">
        <is>
          <t>未確認</t>
        </is>
      </c>
      <c r="K23" s="11" t="n"/>
      <c r="L23" s="11" t="n"/>
      <c r="M23" s="11" t="inlineStr">
        <is>
          <t>不明</t>
        </is>
      </c>
      <c r="N23" s="13" t="n"/>
      <c r="O23" s="13" t="inlineStr">
        <is>
          <t>不明</t>
        </is>
      </c>
      <c r="P23" s="13" t="inlineStr">
        <is>
          <t>未確認</t>
        </is>
      </c>
      <c r="Q23" s="11" t="n"/>
      <c r="R23" s="11" t="inlineStr">
        <is>
          <t>交通：村HP内検索で地域公共交通計画は見当たらず。弘南鉄道弘南線・大鰐線 維持活性化支援計画（5市町村、2021年1月）に参加 http://www.vill.inakadate.lg.jp/docs/2021022200016/。なお青森県地域公共交通計画（R5〜R9、県全域）は県計画として全市町村を対象。環境基本計画は町/村名検索・公式サイト内検索で見当たらず（計画なしの確証はないため未確認）。 【追加調査 2026-10】環境：村名検索・村サイト限定検索で環境基本計画・温対実行計画・環境基本条例いずれも該当なし（公共施設等総合管理計画等のみ http://www.vill.inakadate.lg.jp/docs/2016102100010/files/sougoukannri-kaitei.pdf ）。計画なしの可能性高いが確証なく未確認。確認日2026-10-02</t>
        </is>
      </c>
      <c r="S23" s="18" t="inlineStr">
        <is>
          <t>未調査</t>
        </is>
      </c>
      <c r="T23" s="11" t="inlineStr">
        <is>
          <t>未掲載</t>
        </is>
      </c>
    </row>
    <row r="24">
      <c r="A24" s="11" t="n">
        <v>21</v>
      </c>
      <c r="B24" s="11" t="inlineStr">
        <is>
          <t>板柳町</t>
        </is>
      </c>
      <c r="C24" s="12">
        <f>IF(OR(D24="◎",E24="◎"),"◎ 営業",IF(OR(D24="△",E24="△"),"△ 着手済・要確認",IF(OR(D24="？",E24="？"),"？ 期間要確認","✕ 対象外")))</f>
        <v/>
      </c>
      <c r="D24" s="13">
        <f>IF(J24="計画なし","－",IF(J24="策定済","✕",IF(H24="","？",IF(AND(H24&gt;=TGT_MIN,H24&lt;=TGT_MAX),IF(J24="着手済","△","◎"),"✕"))))</f>
        <v/>
      </c>
      <c r="E24" s="13">
        <f>IF(P24="計画なし","－",IF(P24="策定済","✕",IF(N24="","？",IF(AND(N24&gt;=TGT_MIN,N24&lt;=TGT_MAX),IF(P24="着手済","△","◎"),"✕"))))</f>
        <v/>
      </c>
      <c r="F24" s="11" t="n"/>
      <c r="G24" s="11" t="inlineStr">
        <is>
          <t>不明</t>
        </is>
      </c>
      <c r="H24" s="13" t="n"/>
      <c r="I24" s="13" t="inlineStr">
        <is>
          <t>不明</t>
        </is>
      </c>
      <c r="J24" s="13" t="inlineStr">
        <is>
          <t>未確認</t>
        </is>
      </c>
      <c r="K24" s="11" t="n"/>
      <c r="L24" s="11" t="n"/>
      <c r="M24" s="11" t="inlineStr">
        <is>
          <t>不明</t>
        </is>
      </c>
      <c r="N24" s="13" t="n"/>
      <c r="O24" s="13" t="inlineStr">
        <is>
          <t>不明</t>
        </is>
      </c>
      <c r="P24" s="13" t="inlineStr">
        <is>
          <t>未確認</t>
        </is>
      </c>
      <c r="Q24" s="11" t="n"/>
      <c r="R24" s="11" t="inlineStr">
        <is>
          <t>交通：町名検索・町HP内検索で地域公共交通計画は見当たらず（都市計画マスタープラン案R7.2に公共交通の記述あり https://www.town.itayanagi.aomori.jp/administration/salary/files/toshimasu.pdf）。なお青森県地域公共交通計画（R5〜R9、県全域）は県計画として全市町村を対象。環境基本計画は町/村名検索・公式サイト内検索で見当たらず（計画なしの確証はないため未確認）。 【追加調査 2026-10】環境：町名検索・町サイト限定検索で環境基本計画・温対実行計画・環境基本条例いずれもヒットなし（地域再生計画の汚水処理関連のみ）。計画なしの可能性高いが確証なく未確認。確認日2026-10-02</t>
        </is>
      </c>
      <c r="S24" s="18" t="inlineStr">
        <is>
          <t>未調査</t>
        </is>
      </c>
      <c r="T24" s="11" t="inlineStr">
        <is>
          <t>未掲載</t>
        </is>
      </c>
    </row>
    <row r="25">
      <c r="A25" s="11" t="n">
        <v>22</v>
      </c>
      <c r="B25" s="11" t="inlineStr">
        <is>
          <t>鶴田町</t>
        </is>
      </c>
      <c r="C25" s="12">
        <f>IF(OR(D25="◎",E25="◎"),"◎ 営業",IF(OR(D25="△",E25="△"),"△ 着手済・要確認",IF(OR(D25="？",E25="？"),"？ 期間要確認","✕ 対象外")))</f>
        <v/>
      </c>
      <c r="D25" s="13">
        <f>IF(J25="計画なし","－",IF(J25="策定済","✕",IF(H25="","？",IF(AND(H25&gt;=TGT_MIN,H25&lt;=TGT_MAX),IF(J25="着手済","△","◎"),"✕"))))</f>
        <v/>
      </c>
      <c r="E25" s="13">
        <f>IF(P25="計画なし","－",IF(P25="策定済","✕",IF(N25="","？",IF(AND(N25&gt;=TGT_MIN,N25&lt;=TGT_MAX),IF(P25="着手済","△","◎"),"✕"))))</f>
        <v/>
      </c>
      <c r="F25" s="11" t="n"/>
      <c r="G25" s="11" t="inlineStr">
        <is>
          <t>不明</t>
        </is>
      </c>
      <c r="H25" s="13" t="n"/>
      <c r="I25" s="13" t="inlineStr">
        <is>
          <t>不明</t>
        </is>
      </c>
      <c r="J25" s="13" t="inlineStr">
        <is>
          <t>未確認</t>
        </is>
      </c>
      <c r="K25" s="11" t="n"/>
      <c r="L25" s="11" t="n"/>
      <c r="M25" s="11" t="inlineStr">
        <is>
          <t>不明</t>
        </is>
      </c>
      <c r="N25" s="13" t="n"/>
      <c r="O25" s="13" t="inlineStr">
        <is>
          <t>不明</t>
        </is>
      </c>
      <c r="P25" s="13" t="inlineStr">
        <is>
          <t>計画なし</t>
        </is>
      </c>
      <c r="Q25" s="11" t="n"/>
      <c r="R25" s="11" t="inlineStr">
        <is>
          <t>交通：町名検索・町HP内検索で地域公共交通計画は見当たらず（各種計画ページ https://www.town.tsuruta.lg.jp/syoukai/syoukai-kakusyu/index.html に該当表示なし、要目視確認）。なお青森県地域公共交通計画（R5〜R9、県全域）は県計画として全市町村を対象。環境基本計画は町/村名検索・公式サイト内検索で見当たらず（計画なしの確証はないため未確認）。 【追加調査 2026-10】環境：町名検索・町サイト限定検索で環境基本計画は見当たらず。各種計画ページ https://www.town.tsuruta.lg.jp/syoukai/syoukai-kakusyu/index.html には鶴田町地域脱炭素実行計画（温対法21条4項の区域施策編・気候変動適応計画兼ねる、R7〜R12、2025年4月策定） https://www.town.tsuruta.lg.jp/info/document/jikko_keikaku.pdf が掲載（区域施策編のみ）。ページはWebFetchブロックで目視未了。確認日2026-10-02</t>
        </is>
      </c>
      <c r="S25" s="18" t="inlineStr">
        <is>
          <t>環境のみ調査</t>
        </is>
      </c>
      <c r="T25" s="11" t="inlineStr">
        <is>
          <t>未掲載</t>
        </is>
      </c>
    </row>
    <row r="26">
      <c r="A26" s="11" t="n">
        <v>23</v>
      </c>
      <c r="B26" s="11" t="inlineStr">
        <is>
          <t>中泊町</t>
        </is>
      </c>
      <c r="C26" s="12">
        <f>IF(OR(D26="◎",E26="◎"),"◎ 営業",IF(OR(D26="△",E26="△"),"△ 着手済・要確認",IF(OR(D26="？",E26="？"),"？ 期間要確認","✕ 対象外")))</f>
        <v/>
      </c>
      <c r="D26" s="13">
        <f>IF(J26="計画なし","－",IF(J26="策定済","✕",IF(H26="","？",IF(AND(H26&gt;=TGT_MIN,H26&lt;=TGT_MAX),IF(J26="着手済","△","◎"),"✕"))))</f>
        <v/>
      </c>
      <c r="E26" s="13">
        <f>IF(P26="計画なし","－",IF(P26="策定済","✕",IF(N26="","？",IF(AND(N26&gt;=TGT_MIN,N26&lt;=TGT_MAX),IF(P26="着手済","△","◎"),"✕"))))</f>
        <v/>
      </c>
      <c r="F26" s="11" t="inlineStr">
        <is>
          <t>中泊町地域公共交通計画</t>
        </is>
      </c>
      <c r="G26" s="11" t="inlineStr">
        <is>
          <t>R5〜R9</t>
        </is>
      </c>
      <c r="H26" s="13" t="n">
        <v>9</v>
      </c>
      <c r="I26" s="13" t="inlineStr">
        <is>
          <t>確認済</t>
        </is>
      </c>
      <c r="J26" s="13" t="inlineStr">
        <is>
          <t>未確認</t>
        </is>
      </c>
      <c r="K26" s="14" t="inlineStr">
        <is>
          <t>https://www.town.nakadomari.lg.jp/material/files/group/3/koutuukeikakur6.pdf</t>
        </is>
      </c>
      <c r="L26" s="11" t="n"/>
      <c r="M26" s="11" t="inlineStr">
        <is>
          <t>不明</t>
        </is>
      </c>
      <c r="N26" s="13" t="n"/>
      <c r="O26" s="13" t="inlineStr">
        <is>
          <t>不明</t>
        </is>
      </c>
      <c r="P26" s="13" t="inlineStr">
        <is>
          <t>計画なし</t>
        </is>
      </c>
      <c r="Q26" s="11" t="n"/>
      <c r="R26" s="11" t="inlineStr">
        <is>
          <t>交通：計画書表紙「令和5年4月」、計画ページ https://www.town.nakadomari.lg.jp/soshikikarasagasu/sogosenryakuka/gyomuannai/5/1/1/4311.html 。ファイル名にr6とあり令和6年に改訂の可能性。期間は未確認で5年と仮定しR5〜R9推定。環境基本計画は町/村名検索・公式サイト内検索で見当たらず（計画なしの確証はないため未確認）。 【ファクトチェック 2026-10-01: 正しい】確認期間: R5〜R9／次期: 確認できず（町のプロポーザル一覧に交通計画関連は見当たらず）／根拠: https://www.town.nakadomari.lg.jp/soshikikarasagasu/sogosenryakuka/gyomuannai/5/1/1/4311.html 【追加調査 2026-10】環境：町名検索・町サイト限定検索で環境基本計画は見当たらず。中泊町地球温暖化対策実行計画（事務事業編・区域施策編）、再エネ導入戦略、NAKAZERO共創アクション（脱炭素行動計画、R8.4策定、脱炭素先行地域選定） https://www.town.nakadomari.lg.jp/soshikikarasagasu/sogosenryakuka/gyomuannai/tikyuuondankataisaku/5369.html のみ（区域施策編のみ）。確認日2026-10-02</t>
        </is>
      </c>
      <c r="S26" s="15" t="inlineStr">
        <is>
          <t>調査済</t>
        </is>
      </c>
      <c r="T26" s="11" t="inlineStr">
        <is>
          <t>掲載</t>
        </is>
      </c>
    </row>
    <row r="27">
      <c r="A27" s="11" t="n">
        <v>24</v>
      </c>
      <c r="B27" s="11" t="inlineStr">
        <is>
          <t>野辺地町</t>
        </is>
      </c>
      <c r="C27" s="12">
        <f>IF(OR(D27="◎",E27="◎"),"◎ 営業",IF(OR(D27="△",E27="△"),"△ 着手済・要確認",IF(OR(D27="？",E27="？"),"？ 期間要確認","✕ 対象外")))</f>
        <v/>
      </c>
      <c r="D27" s="13">
        <f>IF(J27="計画なし","－",IF(J27="策定済","✕",IF(H27="","？",IF(AND(H27&gt;=TGT_MIN,H27&lt;=TGT_MAX),IF(J27="着手済","△","◎"),"✕"))))</f>
        <v/>
      </c>
      <c r="E27" s="13">
        <f>IF(P27="計画なし","－",IF(P27="策定済","✕",IF(N27="","？",IF(AND(N27&gt;=TGT_MIN,N27&lt;=TGT_MAX),IF(P27="着手済","△","◎"),"✕"))))</f>
        <v/>
      </c>
      <c r="F27" s="11" t="n"/>
      <c r="G27" s="11" t="inlineStr">
        <is>
          <t>不明</t>
        </is>
      </c>
      <c r="H27" s="13" t="n"/>
      <c r="I27" s="13" t="inlineStr">
        <is>
          <t>不明</t>
        </is>
      </c>
      <c r="J27" s="13" t="inlineStr">
        <is>
          <t>未確認</t>
        </is>
      </c>
      <c r="K27" s="11" t="n"/>
      <c r="L27" s="11" t="n"/>
      <c r="M27" s="11" t="inlineStr">
        <is>
          <t>不明</t>
        </is>
      </c>
      <c r="N27" s="13" t="n"/>
      <c r="O27" s="13" t="inlineStr">
        <is>
          <t>不明</t>
        </is>
      </c>
      <c r="P27" s="13" t="inlineStr">
        <is>
          <t>未確認</t>
        </is>
      </c>
      <c r="Q27" s="11" t="n"/>
      <c r="R27" s="11" t="inlineStr">
        <is>
          <t>交通・環境とも町単独計画は検索で確認できず（町HP「まちの計画」 https://www.town.noheji.aomori.jp/life/chosei/machidukuri/machi-keikaku は存在するが内容未確認、町サイトは取得不可）。地域間幹線系統確保維持費補助金交付要綱あり https://www.town.noheji.aomori.jp/reiki_int/reiki_honbun/c041RG00000724.html 。改定作業の情報なし。 【追加調査 2026-10】環境：町名検索・町サイト限定検索で環境基本計画・温対実行計画・環境基本条例いずれも見当たらず（ヒットは地域防災計画・過疎計画R3〜R7等。過疎計画内に温暖化対策の記述あり https://www.town.noheji.aomori.jp/application/files/8816/4030/5415/ebdf28da23a799a96da8885110e20596.pdf ）。町サイトWebFetch不可。確証なく未確認。確認日2026-10-02</t>
        </is>
      </c>
      <c r="S27" s="18" t="inlineStr">
        <is>
          <t>未調査</t>
        </is>
      </c>
      <c r="T27" s="11" t="inlineStr">
        <is>
          <t>未掲載</t>
        </is>
      </c>
    </row>
    <row r="28">
      <c r="A28" s="11" t="n">
        <v>25</v>
      </c>
      <c r="B28" s="11" t="inlineStr">
        <is>
          <t>七戸町</t>
        </is>
      </c>
      <c r="C28" s="12">
        <f>IF(OR(D28="◎",E28="◎"),"◎ 営業",IF(OR(D28="△",E28="△"),"△ 着手済・要確認",IF(OR(D28="？",E28="？"),"？ 期間要確認","✕ 対象外")))</f>
        <v/>
      </c>
      <c r="D28" s="13">
        <f>IF(J28="計画なし","－",IF(J28="策定済","✕",IF(H28="","？",IF(AND(H28&gt;=TGT_MIN,H28&lt;=TGT_MAX),IF(J28="着手済","△","◎"),"✕"))))</f>
        <v/>
      </c>
      <c r="E28" s="13">
        <f>IF(P28="計画なし","－",IF(P28="策定済","✕",IF(N28="","？",IF(AND(N28&gt;=TGT_MIN,N28&lt;=TGT_MAX),IF(P28="着手済","△","◎"),"✕"))))</f>
        <v/>
      </c>
      <c r="F28" s="11" t="inlineStr">
        <is>
          <t>七戸町地域公共交通網形成計画</t>
        </is>
      </c>
      <c r="G28" s="11" t="inlineStr">
        <is>
          <t>不明</t>
        </is>
      </c>
      <c r="H28" s="13" t="n"/>
      <c r="I28" s="13" t="inlineStr">
        <is>
          <t>不明</t>
        </is>
      </c>
      <c r="J28" s="13" t="inlineStr">
        <is>
          <t>未確認</t>
        </is>
      </c>
      <c r="K28" s="14" t="inlineStr">
        <is>
          <t>https://www.town.shichinohe.lg.jp/gyosei/keikaku/kurashi/post-197.html</t>
        </is>
      </c>
      <c r="L28" s="11" t="n"/>
      <c r="M28" s="11" t="inlineStr">
        <is>
          <t>不明</t>
        </is>
      </c>
      <c r="N28" s="13" t="n"/>
      <c r="O28" s="13" t="inlineStr">
        <is>
          <t>不明</t>
        </is>
      </c>
      <c r="P28" s="13" t="inlineStr">
        <is>
          <t>計画なし</t>
        </is>
      </c>
      <c r="Q28" s="11" t="n"/>
      <c r="R28" s="11" t="inlineStr">
        <is>
          <t>網形成計画（策定支援プロポ: http://www.town.shichinohe.lg.jp/jigyo/nyuusatsu/post-65.html）。期間未確認で既に期限切れの可能性、後継の地域公共交通計画は未確認（H21に地域公共交通会議設置・総合連携計画策定の経緯あり）。環境基本計画は確認できず、関連として地域省エネルギー重点ビジョン（H22）あり（計画なしは弱い根拠）。 環境基本計画は検索で確認できず（計画なしの確証なし）。 【追加調査 2026-10】環境：町名検索・町サイト限定検索・条例検索で環境基本計画/環境基本条例は見当たらず。七戸町地球温暖化対策実行計画（区域施策編、令和6年3月） https://www.town.shichinohe.lg.jp/gyosei/2024/d97c0d43297ff492dc72aae03439179b.pdf が町政情報に掲載（区域施策編のみ）。他に地域省エネルギー重点ビジョン（H22）。確認日2026-10-02</t>
        </is>
      </c>
      <c r="S28" s="15" t="inlineStr">
        <is>
          <t>調査済</t>
        </is>
      </c>
      <c r="T28" s="17" t="inlineStr">
        <is>
          <t>掲載／期間満了</t>
        </is>
      </c>
    </row>
    <row r="29">
      <c r="A29" s="11" t="n">
        <v>26</v>
      </c>
      <c r="B29" s="11" t="inlineStr">
        <is>
          <t>六戸町</t>
        </is>
      </c>
      <c r="C29" s="12">
        <f>IF(OR(D29="◎",E29="◎"),"◎ 営業",IF(OR(D29="△",E29="△"),"△ 着手済・要確認",IF(OR(D29="？",E29="？"),"？ 期間要確認","✕ 対象外")))</f>
        <v/>
      </c>
      <c r="D29" s="13">
        <f>IF(J29="計画なし","－",IF(J29="策定済","✕",IF(H29="","？",IF(AND(H29&gt;=TGT_MIN,H29&lt;=TGT_MAX),IF(J29="着手済","△","◎"),"✕"))))</f>
        <v/>
      </c>
      <c r="E29" s="13">
        <f>IF(P29="計画なし","－",IF(P29="策定済","✕",IF(N29="","？",IF(AND(N29&gt;=TGT_MIN,N29&lt;=TGT_MAX),IF(P29="着手済","△","◎"),"✕"))))</f>
        <v/>
      </c>
      <c r="F29" s="11" t="n"/>
      <c r="G29" s="11" t="inlineStr">
        <is>
          <t>不明</t>
        </is>
      </c>
      <c r="H29" s="13" t="n"/>
      <c r="I29" s="13" t="inlineStr">
        <is>
          <t>不明</t>
        </is>
      </c>
      <c r="J29" s="13" t="inlineStr">
        <is>
          <t>着手済</t>
        </is>
      </c>
      <c r="K29" s="11" t="n"/>
      <c r="L29" s="11" t="n"/>
      <c r="M29" s="11" t="inlineStr">
        <is>
          <t>不明</t>
        </is>
      </c>
      <c r="N29" s="13" t="n"/>
      <c r="O29" s="13" t="inlineStr">
        <is>
          <t>不明</t>
        </is>
      </c>
      <c r="P29" s="13" t="inlineStr">
        <is>
          <t>未確認</t>
        </is>
      </c>
      <c r="Q29" s="11" t="n"/>
      <c r="R29" s="11" t="inlineStr">
        <is>
          <t>交通計画は未確認だが、2026年8月31日に「交通まちづくりワークショップ」開催告知（町バス利用者・学生・保護者・事業者対象）: https://www.town.rokunohe.aomori.jp/docs/2026083100015 。地域公共交通計画策定に向けた作業と推定（計画名・プロポは未確認）。環境基本計画・温対計画は検索で見当たらず。 【追加調査 2026-10】環境：町名検索・町サイト限定検索で環境基本計画・温対実行計画・環境基本条例いずれも見当たらず（公共施設等総合管理計画H29等のみ https://www.town.rokunohe.aomori.jp/file/chousei/shisaku/kokyoshisetsusougoukanriplan/kokyoshisetsusougoukanriplan.pdf ）。確証なく未確認。確認日2026-10-02</t>
        </is>
      </c>
      <c r="S29" s="18" t="inlineStr">
        <is>
          <t>未調査</t>
        </is>
      </c>
      <c r="T29" s="11" t="inlineStr">
        <is>
          <t>未掲載</t>
        </is>
      </c>
    </row>
    <row r="30">
      <c r="A30" s="11" t="n">
        <v>27</v>
      </c>
      <c r="B30" s="11" t="inlineStr">
        <is>
          <t>横浜町</t>
        </is>
      </c>
      <c r="C30" s="12">
        <f>IF(OR(D30="◎",E30="◎"),"◎ 営業",IF(OR(D30="△",E30="△"),"△ 着手済・要確認",IF(OR(D30="？",E30="？"),"？ 期間要確認","✕ 対象外")))</f>
        <v/>
      </c>
      <c r="D30" s="13">
        <f>IF(J30="計画なし","－",IF(J30="策定済","✕",IF(H30="","？",IF(AND(H30&gt;=TGT_MIN,H30&lt;=TGT_MAX),IF(J30="着手済","△","◎"),"✕"))))</f>
        <v/>
      </c>
      <c r="E30" s="13">
        <f>IF(P30="計画なし","－",IF(P30="策定済","✕",IF(N30="","？",IF(AND(N30&gt;=TGT_MIN,N30&lt;=TGT_MAX),IF(P30="着手済","△","◎"),"✕"))))</f>
        <v/>
      </c>
      <c r="F30" s="11" t="n"/>
      <c r="G30" s="11" t="inlineStr">
        <is>
          <t>不明</t>
        </is>
      </c>
      <c r="H30" s="13" t="n"/>
      <c r="I30" s="13" t="inlineStr">
        <is>
          <t>不明</t>
        </is>
      </c>
      <c r="J30" s="13" t="inlineStr">
        <is>
          <t>未確認</t>
        </is>
      </c>
      <c r="K30" s="11" t="n"/>
      <c r="L30" s="11" t="n"/>
      <c r="M30" s="11" t="inlineStr">
        <is>
          <t>不明</t>
        </is>
      </c>
      <c r="N30" s="13" t="n"/>
      <c r="O30" s="13" t="inlineStr">
        <is>
          <t>不明</t>
        </is>
      </c>
      <c r="P30" s="13" t="inlineStr">
        <is>
          <t>未確認</t>
        </is>
      </c>
      <c r="Q30" s="11" t="n"/>
      <c r="R30" s="11" t="inlineStr">
        <is>
          <t>町単独の地域公共交通計画は確認できず。下北地域公共交通計画（2025年3月策定、下北地域公共交通総合連携協議会）の対象はむつ市・大間町・東通村・風間浦村・佐井村の5市町村で横浜町は含まれない（むつ市資料 https://www.city.mutsu.lg.jp/government/katsudou/kyoudou/files/04kotsu.pdf で確認）。下北半島都市圏広域立地適正化方針（R5.8）には含まれる。町HPに2026-04-10付PDFあり内容未確認 https://www.town.yokohama.lg.jp/index.cfm/6,9299,c,html/9299/20260410-143501.pdf 。環境基本計画・区域施策編も検索で見当たらず（横浜市との再エネ連携協定はあり）。 【追加調査 2026-10】環境：環境基本計画は町名検索・町サイト(town.yokohama.lg.jp)限定検索ともヒットせず。町サイトではゼロカーボンシティ宣言ページに地球温暖化対策実行計画（事務事業編、R6.3策定）と、今後区域施策編を策定予定との記載のみ https://www.town.yokohama.lg.jp/index.cfm/6,11904,18,194,html 。環境基本計画の有無は断定できず未確認のまま。（確認日2026-10-02）</t>
        </is>
      </c>
      <c r="S30" s="18" t="inlineStr">
        <is>
          <t>未調査</t>
        </is>
      </c>
      <c r="T30" s="11" t="inlineStr">
        <is>
          <t>未掲載</t>
        </is>
      </c>
    </row>
    <row r="31">
      <c r="A31" s="11" t="n">
        <v>28</v>
      </c>
      <c r="B31" s="11" t="inlineStr">
        <is>
          <t>東北町</t>
        </is>
      </c>
      <c r="C31" s="12">
        <f>IF(OR(D31="◎",E31="◎"),"◎ 営業",IF(OR(D31="△",E31="△"),"△ 着手済・要確認",IF(OR(D31="？",E31="？"),"？ 期間要確認","✕ 対象外")))</f>
        <v/>
      </c>
      <c r="D31" s="13">
        <f>IF(J31="計画なし","－",IF(J31="策定済","✕",IF(H31="","？",IF(AND(H31&gt;=TGT_MIN,H31&lt;=TGT_MAX),IF(J31="着手済","△","◎"),"✕"))))</f>
        <v/>
      </c>
      <c r="E31" s="13">
        <f>IF(P31="計画なし","－",IF(P31="策定済","✕",IF(N31="","？",IF(AND(N31&gt;=TGT_MIN,N31&lt;=TGT_MAX),IF(P31="着手済","△","◎"),"✕"))))</f>
        <v/>
      </c>
      <c r="F31" s="11" t="n"/>
      <c r="G31" s="11" t="inlineStr">
        <is>
          <t>不明</t>
        </is>
      </c>
      <c r="H31" s="13" t="n"/>
      <c r="I31" s="13" t="inlineStr">
        <is>
          <t>不明</t>
        </is>
      </c>
      <c r="J31" s="13" t="inlineStr">
        <is>
          <t>未確認</t>
        </is>
      </c>
      <c r="K31" s="11" t="n"/>
      <c r="L31" s="11" t="n"/>
      <c r="M31" s="11" t="inlineStr">
        <is>
          <t>不明</t>
        </is>
      </c>
      <c r="N31" s="13" t="n"/>
      <c r="O31" s="13" t="inlineStr">
        <is>
          <t>不明</t>
        </is>
      </c>
      <c r="P31" s="13" t="inlineStr">
        <is>
          <t>計画なし</t>
        </is>
      </c>
      <c r="Q31" s="11" t="n"/>
      <c r="R31" s="11" t="inlineStr">
        <is>
          <t>東北町地域公共交通会議あり（会議録 https://www.town.tohoku.lg.jp/chousei/info/info_yakuba_03-54.html ）。地域公共交通計画の有無は検索で確認できず（東北運輸局の計画一覧PDF https://wwwtb.mlit.go.jp/tohoku/content/000338501.pdf がヒットしたが中身未確認）。環境基本計画も見当たらず、関連は「小川原湖環境再生」計画（地域再生計画、汚水処理）程度。第2期まち・ひと・しごと創生推進計画はR8.4〜R13.3。 【追加調査 2026-10】環境：町サイト限定検索で環境基本計画はヒットせず、代わりに東北町地球温暖化対策実行計画（区域施策編）（計画期間2026〜2035＝R8〜R17、2030年度50%削減・2050実質ゼロ）の策定業務プロポーザル資料・計画ページのみ（区域施策編で対応）。 https://www.town.tohoku.lg.jp/chousei/info/info_yakuba_09-42.html 、仕様書 https://www.town.tohoku.lg.jp/chousei/info/file/info_yakuba_09-29-02.pdf 。根拠は検索結果ベースでやや弱い。（確認日2026-10-02） 根拠: 計画期間は、2026（令和8）年度から2035（令和17）年度までの10年間（区域施策編・検索要約）</t>
        </is>
      </c>
      <c r="S31" s="18" t="inlineStr">
        <is>
          <t>環境のみ調査</t>
        </is>
      </c>
      <c r="T31" s="11" t="inlineStr">
        <is>
          <t>未掲載</t>
        </is>
      </c>
    </row>
    <row r="32">
      <c r="A32" s="11" t="n">
        <v>29</v>
      </c>
      <c r="B32" s="11" t="inlineStr">
        <is>
          <t>六ヶ所村</t>
        </is>
      </c>
      <c r="C32" s="12">
        <f>IF(OR(D32="◎",E32="◎"),"◎ 営業",IF(OR(D32="△",E32="△"),"△ 着手済・要確認",IF(OR(D32="？",E32="？"),"？ 期間要確認","✕ 対象外")))</f>
        <v/>
      </c>
      <c r="D32" s="13">
        <f>IF(J32="計画なし","－",IF(J32="策定済","✕",IF(H32="","？",IF(AND(H32&gt;=TGT_MIN,H32&lt;=TGT_MAX),IF(J32="着手済","△","◎"),"✕"))))</f>
        <v/>
      </c>
      <c r="E32" s="13">
        <f>IF(P32="計画なし","－",IF(P32="策定済","✕",IF(N32="","？",IF(AND(N32&gt;=TGT_MIN,N32&lt;=TGT_MAX),IF(P32="着手済","△","◎"),"✕"))))</f>
        <v/>
      </c>
      <c r="F32" s="11" t="inlineStr">
        <is>
          <t>六ヶ所村地域公共交通計画</t>
        </is>
      </c>
      <c r="G32" s="11" t="inlineStr">
        <is>
          <t>R7〜（終期不明）</t>
        </is>
      </c>
      <c r="H32" s="13" t="n"/>
      <c r="I32" s="13" t="inlineStr">
        <is>
          <t>不明</t>
        </is>
      </c>
      <c r="J32" s="13" t="inlineStr">
        <is>
          <t>策定済</t>
        </is>
      </c>
      <c r="K32" s="14" t="inlineStr">
        <is>
          <t>https://www.rokkasho.jp/index.cfm/14,19918,c,html/19918/20250620-120455.pdf</t>
        </is>
      </c>
      <c r="L32" s="11" t="n"/>
      <c r="M32" s="11" t="inlineStr">
        <is>
          <t>不明</t>
        </is>
      </c>
      <c r="N32" s="13" t="n"/>
      <c r="O32" s="13" t="inlineStr">
        <is>
          <t>不明</t>
        </is>
      </c>
      <c r="P32" s="13" t="inlineStr">
        <is>
          <t>計画なし</t>
        </is>
      </c>
      <c r="Q32" s="11" t="n"/>
      <c r="R32" s="11" t="inlineStr">
        <is>
          <t>R7.3策定（素案住民意見聴取後）。計画ページ https://www.rokkasho.jp/index.cfm/11,19571,31,177,html 。R7.6に計画に基づく再編・見直し検討及び実証運行支援業務の公募型プロポーザル実施 https://www.rokkasho.jp/index.cfm/14,19918,31,177,html 。環境基本計画は検索で見当たらず（関連: 水環境保全計画、地域新エネルギービジョン、バイオマスタウン構想）。 【追加調査 2026-10】環境：村サイト限定検索で環境基本計画はヒットせず。代わりに六ヶ所村地球温暖化対策実行計画（区域施策編）（R6.3策定、R6〜R15、ゼロカーボンシティ宣言R4.12）http://www.rokkasho.jp/index.cfm/10,17954,31,124,html 、新エネルギー推進計画、水環境保全計画あり。区域施策編等の個別計画で対応と判断（根拠は検索結果ベース）。（確認日2026-10-02） 根拠: 区域施策編の計画期間 令和6年度～令和15年度（検索要約）</t>
        </is>
      </c>
      <c r="S32" s="15" t="inlineStr">
        <is>
          <t>調査済</t>
        </is>
      </c>
      <c r="T32" s="11" t="inlineStr">
        <is>
          <t>掲載</t>
        </is>
      </c>
    </row>
    <row r="33">
      <c r="A33" s="11" t="n">
        <v>30</v>
      </c>
      <c r="B33" s="11" t="inlineStr">
        <is>
          <t>おいらせ町</t>
        </is>
      </c>
      <c r="C33" s="12">
        <f>IF(OR(D33="◎",E33="◎"),"◎ 営業",IF(OR(D33="△",E33="△"),"△ 着手済・要確認",IF(OR(D33="？",E33="？"),"？ 期間要確認","✕ 対象外")))</f>
        <v/>
      </c>
      <c r="D33" s="13">
        <f>IF(J33="計画なし","－",IF(J33="策定済","✕",IF(H33="","？",IF(AND(H33&gt;=TGT_MIN,H33&lt;=TGT_MAX),IF(J33="着手済","△","◎"),"✕"))))</f>
        <v/>
      </c>
      <c r="E33" s="13">
        <f>IF(P33="計画なし","－",IF(P33="策定済","✕",IF(N33="","？",IF(AND(N33&gt;=TGT_MIN,N33&lt;=TGT_MAX),IF(P33="着手済","△","◎"),"✕"))))</f>
        <v/>
      </c>
      <c r="F33" s="11" t="inlineStr">
        <is>
          <t>八戸圏域地域公共交通計画（八戸圏域8市町村共同）</t>
        </is>
      </c>
      <c r="G33" s="11" t="inlineStr">
        <is>
          <t>R5〜R10</t>
        </is>
      </c>
      <c r="H33" s="13" t="n">
        <v>10</v>
      </c>
      <c r="I33" s="13" t="inlineStr">
        <is>
          <t>確認済</t>
        </is>
      </c>
      <c r="J33" s="13" t="inlineStr">
        <is>
          <t>未確認</t>
        </is>
      </c>
      <c r="K33" s="14" t="inlineStr">
        <is>
          <t>https://wwwtb.mlit.go.jp/tohoku/content/000181287.pdf</t>
        </is>
      </c>
      <c r="L33" s="11" t="n"/>
      <c r="M33" s="11" t="inlineStr">
        <is>
          <t>不明</t>
        </is>
      </c>
      <c r="N33" s="13" t="n"/>
      <c r="O33" s="13" t="inlineStr">
        <is>
          <t>不明</t>
        </is>
      </c>
      <c r="P33" s="13" t="inlineStr">
        <is>
          <t>未確認</t>
        </is>
      </c>
      <c r="Q33" s="11" t="n"/>
      <c r="R33" s="11" t="inlineStr">
        <is>
          <t>交通計画は八戸圏域8市町村の圏域共同計画（R5〜R10）。環境基本計画は町名検索・ゼロカーボン検索とも該当なし（地域再生計画等のみヒット）。区域施策編も未確認。 【追加調査 2026-10】環境：町名検索・町サイト限定検索とも環境基本計画はヒットせず。町サイトでは第2次総合計画後期基本計画（R6〜R10）https://www.town.oirase.aomori.jp/uploaded/attachment/22191.pdf の環境保全施策、都市計画MP、地球温暖化対策実行計画（事務事業編）、自然・地域と再生可能エネルギー共生審議会 https://www.town.oirase.aomori.jp/soshiki/1232/kanykoukyousei.html のみ。区域施策編も確認できず。（確認日2026-10-02）</t>
        </is>
      </c>
      <c r="S33" s="18" t="inlineStr">
        <is>
          <t>交通のみ調査</t>
        </is>
      </c>
      <c r="T33" s="11" t="inlineStr">
        <is>
          <t>掲載（広域：八戸圏域）</t>
        </is>
      </c>
    </row>
    <row r="34">
      <c r="A34" s="11" t="n">
        <v>31</v>
      </c>
      <c r="B34" s="11" t="inlineStr">
        <is>
          <t>大間町</t>
        </is>
      </c>
      <c r="C34" s="12">
        <f>IF(OR(D34="◎",E34="◎"),"◎ 営業",IF(OR(D34="△",E34="△"),"△ 着手済・要確認",IF(OR(D34="？",E34="？"),"？ 期間要確認","✕ 対象外")))</f>
        <v/>
      </c>
      <c r="D34" s="13">
        <f>IF(J34="計画なし","－",IF(J34="策定済","✕",IF(H34="","？",IF(AND(H34&gt;=TGT_MIN,H34&lt;=TGT_MAX),IF(J34="着手済","△","◎"),"✕"))))</f>
        <v/>
      </c>
      <c r="E34" s="13">
        <f>IF(P34="計画なし","－",IF(P34="策定済","✕",IF(N34="","？",IF(AND(N34&gt;=TGT_MIN,N34&lt;=TGT_MAX),IF(P34="着手済","△","◎"),"✕"))))</f>
        <v/>
      </c>
      <c r="F34" s="11" t="inlineStr">
        <is>
          <t>下北地域公共交通計画（下北地域公共交通総合連携協議会：むつ市・大間町・東通村・風間浦村・佐井村）</t>
        </is>
      </c>
      <c r="G34" s="11" t="inlineStr">
        <is>
          <t>R7〜R11</t>
        </is>
      </c>
      <c r="H34" s="13" t="n">
        <v>11</v>
      </c>
      <c r="I34" s="13" t="inlineStr">
        <is>
          <t>確認済</t>
        </is>
      </c>
      <c r="J34" s="13" t="inlineStr">
        <is>
          <t>策定済</t>
        </is>
      </c>
      <c r="K34" s="14" t="inlineStr">
        <is>
          <t>https://www.city.mutsu.lg.jp/government/katsudou/kyoudou/files/simokitatiikikoukyoukoutuukeikakusoann.pdf</t>
        </is>
      </c>
      <c r="L34" s="11" t="n"/>
      <c r="M34" s="11" t="inlineStr">
        <is>
          <t>不明</t>
        </is>
      </c>
      <c r="N34" s="13" t="n"/>
      <c r="O34" s="13" t="inlineStr">
        <is>
          <t>不明</t>
        </is>
      </c>
      <c r="P34" s="13" t="inlineStr">
        <is>
          <t>未確認</t>
        </is>
      </c>
      <c r="Q34" s="11" t="n"/>
      <c r="R34" s="11" t="inlineStr">
        <is>
          <t>交通計画は下北5市町村の圏域共同計画（2025〜2029＝R7〜R11、R7.3策定）。t_urlはむつ市サイト掲載の素案PDF（確定版URLは検索で見つからず）。環境基本計画・温暖化対策実行計画とも検索でヒットせず。 【追加調査 2026-10】環境：環境基本計画は検索でヒットせず。町サイト(town.ooma.lg.jp)の公表情報一覧に第3次地球温暖化対策実行計画（2024-12-13公表、事務事業編とみられる）、第2次(2019)、第1次(2013)の記載あり https://www.town.ooma.lg.jp/allpub_index.html 。環境基本計画の有無は断定できず。（確認日2026-10-02）</t>
        </is>
      </c>
      <c r="S34" s="18" t="inlineStr">
        <is>
          <t>交通のみ調査</t>
        </is>
      </c>
      <c r="T34" s="11" t="inlineStr">
        <is>
          <t>掲載（広域：下北地域）</t>
        </is>
      </c>
    </row>
    <row r="35">
      <c r="A35" s="11" t="n">
        <v>32</v>
      </c>
      <c r="B35" s="11" t="inlineStr">
        <is>
          <t>東通村</t>
        </is>
      </c>
      <c r="C35" s="12">
        <f>IF(OR(D35="◎",E35="◎"),"◎ 営業",IF(OR(D35="△",E35="△"),"△ 着手済・要確認",IF(OR(D35="？",E35="？"),"？ 期間要確認","✕ 対象外")))</f>
        <v/>
      </c>
      <c r="D35" s="13">
        <f>IF(J35="計画なし","－",IF(J35="策定済","✕",IF(H35="","？",IF(AND(H35&gt;=TGT_MIN,H35&lt;=TGT_MAX),IF(J35="着手済","△","◎"),"✕"))))</f>
        <v/>
      </c>
      <c r="E35" s="13">
        <f>IF(P35="計画なし","－",IF(P35="策定済","✕",IF(N35="","？",IF(AND(N35&gt;=TGT_MIN,N35&lt;=TGT_MAX),IF(P35="着手済","△","◎"),"✕"))))</f>
        <v/>
      </c>
      <c r="F35" s="11" t="inlineStr">
        <is>
          <t>下北地域公共交通計画（下北地域公共交通総合連携協議会：むつ市・大間町・東通村・風間浦村・佐井村）</t>
        </is>
      </c>
      <c r="G35" s="11" t="inlineStr">
        <is>
          <t>R7〜R11</t>
        </is>
      </c>
      <c r="H35" s="13" t="n">
        <v>11</v>
      </c>
      <c r="I35" s="13" t="inlineStr">
        <is>
          <t>確認済</t>
        </is>
      </c>
      <c r="J35" s="13" t="inlineStr">
        <is>
          <t>策定済</t>
        </is>
      </c>
      <c r="K35" s="14" t="inlineStr">
        <is>
          <t>https://www.city.mutsu.lg.jp/government/katsudou/kyoudou/files/simokitatiikikoukyoukoutuukeikakusoann.pdf</t>
        </is>
      </c>
      <c r="L35" s="11" t="n"/>
      <c r="M35" s="11" t="inlineStr">
        <is>
          <t>不明</t>
        </is>
      </c>
      <c r="N35" s="13" t="n"/>
      <c r="O35" s="13" t="inlineStr">
        <is>
          <t>不明</t>
        </is>
      </c>
      <c r="P35" s="13" t="inlineStr">
        <is>
          <t>未確認</t>
        </is>
      </c>
      <c r="Q35" s="11" t="n"/>
      <c r="R35" s="11" t="inlineStr">
        <is>
          <t>交通計画は下北5市町村の圏域共同計画（2025〜2029＝R7〜R11、R7.3策定）。t_urlはむつ市サイト掲載の素案PDF（確定版URLは検索で見つからず）。環境基本計画は検索でヒットせず（原発モニタリング・風力アセス関連のみ）。 【追加調査 2026-10】環境：環境基本計画は検索でヒットせず（原発関連の環境放射線モニタリング基本計画のみ：県 https://www.pref.aomori.lg.jp/soshiki/kikikanri/atom/higashidori-monitoring-keikaku-R0803.pdf ）。村サイト限定検索は結果なし。温暖化対策実行計画も確認できず。（確認日2026-10-02）</t>
        </is>
      </c>
      <c r="S35" s="18" t="inlineStr">
        <is>
          <t>交通のみ調査</t>
        </is>
      </c>
      <c r="T35" s="11" t="inlineStr">
        <is>
          <t>掲載（広域：下北地域）</t>
        </is>
      </c>
    </row>
    <row r="36">
      <c r="A36" s="11" t="n">
        <v>33</v>
      </c>
      <c r="B36" s="11" t="inlineStr">
        <is>
          <t>風間浦村</t>
        </is>
      </c>
      <c r="C36" s="12">
        <f>IF(OR(D36="◎",E36="◎"),"◎ 営業",IF(OR(D36="△",E36="△"),"△ 着手済・要確認",IF(OR(D36="？",E36="？"),"？ 期間要確認","✕ 対象外")))</f>
        <v/>
      </c>
      <c r="D36" s="13">
        <f>IF(J36="計画なし","－",IF(J36="策定済","✕",IF(H36="","？",IF(AND(H36&gt;=TGT_MIN,H36&lt;=TGT_MAX),IF(J36="着手済","△","◎"),"✕"))))</f>
        <v/>
      </c>
      <c r="E36" s="13">
        <f>IF(P36="計画なし","－",IF(P36="策定済","✕",IF(N36="","？",IF(AND(N36&gt;=TGT_MIN,N36&lt;=TGT_MAX),IF(P36="着手済","△","◎"),"✕"))))</f>
        <v/>
      </c>
      <c r="F36" s="11" t="inlineStr">
        <is>
          <t>下北地域公共交通計画（下北地域公共交通総合連携協議会：むつ市・大間町・東通村・風間浦村・佐井村）</t>
        </is>
      </c>
      <c r="G36" s="11" t="inlineStr">
        <is>
          <t>R7〜R11</t>
        </is>
      </c>
      <c r="H36" s="13" t="n">
        <v>11</v>
      </c>
      <c r="I36" s="13" t="inlineStr">
        <is>
          <t>確認済</t>
        </is>
      </c>
      <c r="J36" s="13" t="inlineStr">
        <is>
          <t>策定済</t>
        </is>
      </c>
      <c r="K36" s="14" t="inlineStr">
        <is>
          <t>https://www.city.mutsu.lg.jp/government/katsudou/kyoudou/files/simokitatiikikoukyoukoutuukeikakusoann.pdf</t>
        </is>
      </c>
      <c r="L36" s="11" t="n"/>
      <c r="M36" s="11" t="inlineStr">
        <is>
          <t>不明</t>
        </is>
      </c>
      <c r="N36" s="13" t="n"/>
      <c r="O36" s="13" t="inlineStr">
        <is>
          <t>不明</t>
        </is>
      </c>
      <c r="P36" s="13" t="inlineStr">
        <is>
          <t>未確認</t>
        </is>
      </c>
      <c r="Q36" s="11" t="n"/>
      <c r="R36" s="11" t="inlineStr">
        <is>
          <t>交通計画は下北5市町村の圏域共同計画（2025〜2029＝R7〜R11、R7.3策定）。t_urlはむつ市サイト掲載の素案PDF（確定版URLは検索で見つからず）。環境基本計画・温暖化対策実行計画とも検索でヒットせず。 【追加調査 2026-10】環境：環境基本計画は検索でヒットせず。村サイト(kazamaura.jp)では第2次風間浦村地球温暖化対策実行計画（事務事業編）の2024年度実施状況 https://www.kazamaura.jp/2026/01/27/%E7%AC%AC%EF%BC%92%E6%AC%A1%E9%A2%A8%E9%96%93%E6%B5%A6%E6%9D%91%E5%9C%B0%E7%90%83%E6%B8%A9%E6%9A%96%E5%8C%96%E5%AF%BE%E7%AD%96%E5%AE%9F%E8%A1%8C%E8%A8%88%E7%94%BB%EF%BC%88%E4%BA%8B%E5%8B%99%E4%BA%8B-4/ 、ゼロカーボンシティ宣言（R5.3.1）、ブルーカーボン調査のみ。（確認日2026-10-02）</t>
        </is>
      </c>
      <c r="S36" s="18" t="inlineStr">
        <is>
          <t>交通のみ調査</t>
        </is>
      </c>
      <c r="T36" s="11" t="inlineStr">
        <is>
          <t>掲載（広域：下北地域）</t>
        </is>
      </c>
    </row>
    <row r="37">
      <c r="A37" s="11" t="n">
        <v>34</v>
      </c>
      <c r="B37" s="11" t="inlineStr">
        <is>
          <t>佐井村</t>
        </is>
      </c>
      <c r="C37" s="12">
        <f>IF(OR(D37="◎",E37="◎"),"◎ 営業",IF(OR(D37="△",E37="△"),"△ 着手済・要確認",IF(OR(D37="？",E37="？"),"？ 期間要確認","✕ 対象外")))</f>
        <v/>
      </c>
      <c r="D37" s="13">
        <f>IF(J37="計画なし","－",IF(J37="策定済","✕",IF(H37="","？",IF(AND(H37&gt;=TGT_MIN,H37&lt;=TGT_MAX),IF(J37="着手済","△","◎"),"✕"))))</f>
        <v/>
      </c>
      <c r="E37" s="13">
        <f>IF(P37="計画なし","－",IF(P37="策定済","✕",IF(N37="","？",IF(AND(N37&gt;=TGT_MIN,N37&lt;=TGT_MAX),IF(P37="着手済","△","◎"),"✕"))))</f>
        <v/>
      </c>
      <c r="F37" s="11" t="inlineStr">
        <is>
          <t>下北地域公共交通計画（下北地域公共交通総合連携協議会：むつ市・大間町・東通村・風間浦村・佐井村）</t>
        </is>
      </c>
      <c r="G37" s="11" t="inlineStr">
        <is>
          <t>R7〜R11</t>
        </is>
      </c>
      <c r="H37" s="13" t="n">
        <v>11</v>
      </c>
      <c r="I37" s="13" t="inlineStr">
        <is>
          <t>確認済</t>
        </is>
      </c>
      <c r="J37" s="13" t="inlineStr">
        <is>
          <t>策定済</t>
        </is>
      </c>
      <c r="K37" s="14" t="inlineStr">
        <is>
          <t>https://www.city.mutsu.lg.jp/government/katsudou/kyoudou/files/simokitatiikikoukyoukoutuukeikakusoann.pdf</t>
        </is>
      </c>
      <c r="L37" s="11" t="n"/>
      <c r="M37" s="11" t="inlineStr">
        <is>
          <t>不明</t>
        </is>
      </c>
      <c r="N37" s="13" t="n"/>
      <c r="O37" s="13" t="inlineStr">
        <is>
          <t>不明</t>
        </is>
      </c>
      <c r="P37" s="13" t="inlineStr">
        <is>
          <t>未確認</t>
        </is>
      </c>
      <c r="Q37" s="11" t="n"/>
      <c r="R37" s="11" t="inlineStr">
        <is>
          <t>交通計画は下北5市町村の圏域共同計画（2025〜2029＝R7〜R11、R7.3策定）。t_urlはむつ市サイト掲載の素案PDF（確定版URLは検索で見つからず）。環境基本計画・温暖化対策実行計画とも検索でヒットせず。 【追加調査 2026-10】環境：環境基本計画は検索でヒットせず。村サイト(vill.sai.lg.jp)では脱炭素先行地域（2023.4選定）関連補助金 https://www.vill.sai.lg.jp/status-initiatives/decarbonization/ 、ゼロカーボンシティさい表明、ブルーカーボン推進事業のみ。温暖化対策実行計画の有無も未確認。（確認日2026-10-02）</t>
        </is>
      </c>
      <c r="S37" s="18" t="inlineStr">
        <is>
          <t>交通のみ調査</t>
        </is>
      </c>
      <c r="T37" s="11" t="inlineStr">
        <is>
          <t>掲載（広域：下北地域）</t>
        </is>
      </c>
    </row>
    <row r="38">
      <c r="A38" s="11" t="n">
        <v>35</v>
      </c>
      <c r="B38" s="11" t="inlineStr">
        <is>
          <t>三戸町</t>
        </is>
      </c>
      <c r="C38" s="12">
        <f>IF(OR(D38="◎",E38="◎"),"◎ 営業",IF(OR(D38="△",E38="△"),"△ 着手済・要確認",IF(OR(D38="？",E38="？"),"？ 期間要確認","✕ 対象外")))</f>
        <v/>
      </c>
      <c r="D38" s="13">
        <f>IF(J38="計画なし","－",IF(J38="策定済","✕",IF(H38="","？",IF(AND(H38&gt;=TGT_MIN,H38&lt;=TGT_MAX),IF(J38="着手済","△","◎"),"✕"))))</f>
        <v/>
      </c>
      <c r="E38" s="13">
        <f>IF(P38="計画なし","－",IF(P38="策定済","✕",IF(N38="","？",IF(AND(N38&gt;=TGT_MIN,N38&lt;=TGT_MAX),IF(P38="着手済","△","◎"),"✕"))))</f>
        <v/>
      </c>
      <c r="F38" s="11" t="inlineStr">
        <is>
          <t>八戸圏域地域公共交通計画（八戸圏域8市町村共同）</t>
        </is>
      </c>
      <c r="G38" s="11" t="inlineStr">
        <is>
          <t>R5〜R10</t>
        </is>
      </c>
      <c r="H38" s="13" t="n">
        <v>10</v>
      </c>
      <c r="I38" s="13" t="inlineStr">
        <is>
          <t>確認済</t>
        </is>
      </c>
      <c r="J38" s="13" t="inlineStr">
        <is>
          <t>未確認</t>
        </is>
      </c>
      <c r="K38" s="14" t="inlineStr">
        <is>
          <t>https://wwwtb.mlit.go.jp/tohoku/content/000181287.pdf</t>
        </is>
      </c>
      <c r="L38" s="11" t="n"/>
      <c r="M38" s="11" t="inlineStr">
        <is>
          <t>不明</t>
        </is>
      </c>
      <c r="N38" s="13" t="n"/>
      <c r="O38" s="13" t="inlineStr">
        <is>
          <t>不明</t>
        </is>
      </c>
      <c r="P38" s="13" t="inlineStr">
        <is>
          <t>計画なし</t>
        </is>
      </c>
      <c r="Q38" s="11" t="n"/>
      <c r="R38" s="11" t="inlineStr">
        <is>
          <t>交通計画は八戸圏域8市町村の圏域共同計画（R5〜R10）。環境基本計画・地球温暖化対策実行計画とも検索でヒットせず（地域再生計画・風力アセスのみ）。 【追加調査 2026-10】環境：町名検索・町サイト限定検索とも環境基本計画はヒットせず。代わりに三戸町地球温暖化対策実行計画（事務事業編＋町全体の区域の削減施策を含む、R6〜R12、2030年度58.7%削減）https://www.town.sannohe.aomori.jp/soshiki/soumu/gyouseijouhou/1/4712.html と2050ゼロカーボン宣言。温暖化実行計画で対応と判断（根拠は検索結果ベース）。（確認日2026-10-02） 根拠: 計画期間 令和6年度～令和12年度（温暖化実行計画・検索要約）</t>
        </is>
      </c>
      <c r="S38" s="15" t="inlineStr">
        <is>
          <t>調査済</t>
        </is>
      </c>
      <c r="T38" s="11" t="inlineStr">
        <is>
          <t>掲載（広域：八戸圏域）</t>
        </is>
      </c>
    </row>
    <row r="39">
      <c r="A39" s="11" t="n">
        <v>36</v>
      </c>
      <c r="B39" s="11" t="inlineStr">
        <is>
          <t>五戸町</t>
        </is>
      </c>
      <c r="C39" s="12">
        <f>IF(OR(D39="◎",E39="◎"),"◎ 営業",IF(OR(D39="△",E39="△"),"△ 着手済・要確認",IF(OR(D39="？",E39="？"),"？ 期間要確認","✕ 対象外")))</f>
        <v/>
      </c>
      <c r="D39" s="13">
        <f>IF(J39="計画なし","－",IF(J39="策定済","✕",IF(H39="","？",IF(AND(H39&gt;=TGT_MIN,H39&lt;=TGT_MAX),IF(J39="着手済","△","◎"),"✕"))))</f>
        <v/>
      </c>
      <c r="E39" s="13">
        <f>IF(P39="計画なし","－",IF(P39="策定済","✕",IF(N39="","？",IF(AND(N39&gt;=TGT_MIN,N39&lt;=TGT_MAX),IF(P39="着手済","△","◎"),"✕"))))</f>
        <v/>
      </c>
      <c r="F39" s="11" t="inlineStr">
        <is>
          <t>八戸圏域地域公共交通計画（八戸圏域8市町村共同）</t>
        </is>
      </c>
      <c r="G39" s="11" t="inlineStr">
        <is>
          <t>R5〜R10</t>
        </is>
      </c>
      <c r="H39" s="13" t="n">
        <v>10</v>
      </c>
      <c r="I39" s="13" t="inlineStr">
        <is>
          <t>確認済</t>
        </is>
      </c>
      <c r="J39" s="13" t="inlineStr">
        <is>
          <t>未確認</t>
        </is>
      </c>
      <c r="K39" s="14" t="inlineStr">
        <is>
          <t>https://wwwtb.mlit.go.jp/tohoku/content/000181287.pdf</t>
        </is>
      </c>
      <c r="L39" s="11" t="n"/>
      <c r="M39" s="11" t="inlineStr">
        <is>
          <t>不明</t>
        </is>
      </c>
      <c r="N39" s="13" t="n"/>
      <c r="O39" s="13" t="inlineStr">
        <is>
          <t>不明</t>
        </is>
      </c>
      <c r="P39" s="13" t="inlineStr">
        <is>
          <t>計画なし</t>
        </is>
      </c>
      <c r="Q39" s="11" t="n"/>
      <c r="R39" s="11" t="inlineStr">
        <is>
          <t>交通計画は八戸圏域8市町村の圏域共同計画（R5〜R10）。環境基本計画は検索でヒットせず。代替として五戸町地球温暖化対策実行計画（区域施策編・地域気候変動適応計画兼ねる、R7.3策定、環境省地域脱炭素実現支援事業で作成）あり：https://www.town.gonohe.aomori.jp/chosei/tikyuondankahonpen.pdf （概要版 https://www.town.gonohe.aomori.jp/chosei/tikyuondankagaiyouban.pdf ）。期間は検索結果で確認できず。環境省策定状況 https://www.env.go.jp/policy/local_keikaku/sakutei2/02/02442.html 【追加調査 2026-10】環境：町名検索で環境基本計画はヒットせず、町サイトPDFは五戸町地球温暖化対策実行計画（区域施策編・適応計画兼、R7.3策定、計画期間R7〜R12）https://www.town.gonohe.aomori.jp/chosei/tikyuondankahonpen.pdf 、概要版 https://www.town.gonohe.aomori.jp/chosei/tikyuondankagaiyouban.pdf 、ごみ処理基本計画（R8〜R17）のみ。区域施策編のみと判断。（確認日2026-10-02） 根拠: 令和7（2025）年度から令和12（2030）年度までの6年間（区域施策編概要版・検索要約）</t>
        </is>
      </c>
      <c r="S39" s="15" t="inlineStr">
        <is>
          <t>調査済</t>
        </is>
      </c>
      <c r="T39" s="11" t="inlineStr">
        <is>
          <t>掲載（広域：八戸圏域）</t>
        </is>
      </c>
    </row>
    <row r="40">
      <c r="A40" s="11" t="n">
        <v>37</v>
      </c>
      <c r="B40" s="11" t="inlineStr">
        <is>
          <t>田子町</t>
        </is>
      </c>
      <c r="C40" s="12">
        <f>IF(OR(D40="◎",E40="◎"),"◎ 営業",IF(OR(D40="△",E40="△"),"△ 着手済・要確認",IF(OR(D40="？",E40="？"),"？ 期間要確認","✕ 対象外")))</f>
        <v/>
      </c>
      <c r="D40" s="13">
        <f>IF(J40="計画なし","－",IF(J40="策定済","✕",IF(H40="","？",IF(AND(H40&gt;=TGT_MIN,H40&lt;=TGT_MAX),IF(J40="着手済","△","◎"),"✕"))))</f>
        <v/>
      </c>
      <c r="E40" s="13">
        <f>IF(P40="計画なし","－",IF(P40="策定済","✕",IF(N40="","？",IF(AND(N40&gt;=TGT_MIN,N40&lt;=TGT_MAX),IF(P40="着手済","△","◎"),"✕"))))</f>
        <v/>
      </c>
      <c r="F40" s="11" t="inlineStr">
        <is>
          <t>八戸圏域地域公共交通計画（八戸圏域8市町村共同）</t>
        </is>
      </c>
      <c r="G40" s="11" t="inlineStr">
        <is>
          <t>R5〜R10</t>
        </is>
      </c>
      <c r="H40" s="13" t="n">
        <v>10</v>
      </c>
      <c r="I40" s="13" t="inlineStr">
        <is>
          <t>確認済</t>
        </is>
      </c>
      <c r="J40" s="13" t="inlineStr">
        <is>
          <t>未確認</t>
        </is>
      </c>
      <c r="K40" s="14" t="inlineStr">
        <is>
          <t>https://wwwtb.mlit.go.jp/tohoku/content/000181287.pdf</t>
        </is>
      </c>
      <c r="L40" s="11" t="n"/>
      <c r="M40" s="11" t="inlineStr">
        <is>
          <t>不明</t>
        </is>
      </c>
      <c r="N40" s="13" t="n"/>
      <c r="O40" s="13" t="inlineStr">
        <is>
          <t>不明</t>
        </is>
      </c>
      <c r="P40" s="13" t="inlineStr">
        <is>
          <t>未確認</t>
        </is>
      </c>
      <c r="Q40" s="11" t="n"/>
      <c r="R40" s="11" t="inlineStr">
        <is>
          <t>交通計画は八戸圏域8市町村の圏域共同計画（R5〜R10）。環境基本計画・温暖化対策実行計画とも検索でヒットせず。 【追加調査 2026-10】環境：環境基本計画は町名検索・町サイト限定検索ともヒットせず。町サイト計画ページには田子町総合計画、地球温暖化対策実行計画（事務事業編、H24〜H28と古い）https://www.town.takko.lg.jp/index.cfm/13,234,50,202,html 、森林整備計画等。計画一覧 http://www.town.takko.lg.jp/index.cfm/13,0,50,202,html の全体は未確認のため未確認のまま。（確認日2026-10-02）</t>
        </is>
      </c>
      <c r="S40" s="18" t="inlineStr">
        <is>
          <t>交通のみ調査</t>
        </is>
      </c>
      <c r="T40" s="11" t="inlineStr">
        <is>
          <t>掲載（広域：八戸圏域）</t>
        </is>
      </c>
    </row>
    <row r="41">
      <c r="A41" s="11" t="n">
        <v>38</v>
      </c>
      <c r="B41" s="11" t="inlineStr">
        <is>
          <t>南部町</t>
        </is>
      </c>
      <c r="C41" s="12">
        <f>IF(OR(D41="◎",E41="◎"),"◎ 営業",IF(OR(D41="△",E41="△"),"△ 着手済・要確認",IF(OR(D41="？",E41="？"),"？ 期間要確認","✕ 対象外")))</f>
        <v/>
      </c>
      <c r="D41" s="13">
        <f>IF(J41="計画なし","－",IF(J41="策定済","✕",IF(H41="","？",IF(AND(H41&gt;=TGT_MIN,H41&lt;=TGT_MAX),IF(J41="着手済","△","◎"),"✕"))))</f>
        <v/>
      </c>
      <c r="E41" s="13">
        <f>IF(P41="計画なし","－",IF(P41="策定済","✕",IF(N41="","？",IF(AND(N41&gt;=TGT_MIN,N41&lt;=TGT_MAX),IF(P41="着手済","△","◎"),"✕"))))</f>
        <v/>
      </c>
      <c r="F41" s="11" t="inlineStr">
        <is>
          <t>八戸圏域地域公共交通計画（八戸圏域8市町村共同）</t>
        </is>
      </c>
      <c r="G41" s="11" t="inlineStr">
        <is>
          <t>R5〜R10</t>
        </is>
      </c>
      <c r="H41" s="13" t="n">
        <v>10</v>
      </c>
      <c r="I41" s="13" t="inlineStr">
        <is>
          <t>確認済</t>
        </is>
      </c>
      <c r="J41" s="13" t="inlineStr">
        <is>
          <t>未確認</t>
        </is>
      </c>
      <c r="K41" s="14" t="inlineStr">
        <is>
          <t>https://wwwtb.mlit.go.jp/tohoku/content/000181287.pdf</t>
        </is>
      </c>
      <c r="L41" s="11" t="n"/>
      <c r="M41" s="11" t="inlineStr">
        <is>
          <t>不明</t>
        </is>
      </c>
      <c r="N41" s="13" t="n"/>
      <c r="O41" s="13" t="inlineStr">
        <is>
          <t>不明</t>
        </is>
      </c>
      <c r="P41" s="13" t="inlineStr">
        <is>
          <t>未確認</t>
        </is>
      </c>
      <c r="Q41" s="11" t="n"/>
      <c r="R41" s="11" t="inlineStr">
        <is>
          <t>交通計画は八戸圏域8市町村の圏域共同計画（R5〜R10）。青森県三戸郡南部町。環境基本計画・温暖化対策実行計画とも検索でヒットせず（地域再生計画のみ）。 【追加調査 2026-10】環境：青森県三戸郡南部町（山梨・鳥取の南部町と別）。町サイト(town.aomori-nanbu.lg.jp)限定検索で環境基本計画・区域施策編はヒットせず（議会会議録、公共施設等総合管理計画の脱炭素記載、第2次総合振興計画進捗報告のみ）。（確認日2026-10-02）</t>
        </is>
      </c>
      <c r="S41" s="18" t="inlineStr">
        <is>
          <t>交通のみ調査</t>
        </is>
      </c>
      <c r="T41" s="11" t="inlineStr">
        <is>
          <t>掲載（広域：八戸圏域）</t>
        </is>
      </c>
    </row>
    <row r="42">
      <c r="A42" s="11" t="n">
        <v>39</v>
      </c>
      <c r="B42" s="11" t="inlineStr">
        <is>
          <t>階上町</t>
        </is>
      </c>
      <c r="C42" s="12">
        <f>IF(OR(D42="◎",E42="◎"),"◎ 営業",IF(OR(D42="△",E42="△"),"△ 着手済・要確認",IF(OR(D42="？",E42="？"),"？ 期間要確認","✕ 対象外")))</f>
        <v/>
      </c>
      <c r="D42" s="13">
        <f>IF(J42="計画なし","－",IF(J42="策定済","✕",IF(H42="","？",IF(AND(H42&gt;=TGT_MIN,H42&lt;=TGT_MAX),IF(J42="着手済","△","◎"),"✕"))))</f>
        <v/>
      </c>
      <c r="E42" s="13">
        <f>IF(P42="計画なし","－",IF(P42="策定済","✕",IF(N42="","？",IF(AND(N42&gt;=TGT_MIN,N42&lt;=TGT_MAX),IF(P42="着手済","△","◎"),"✕"))))</f>
        <v/>
      </c>
      <c r="F42" s="11" t="inlineStr">
        <is>
          <t>八戸圏域地域公共交通計画（八戸圏域8市町村共同）</t>
        </is>
      </c>
      <c r="G42" s="11" t="inlineStr">
        <is>
          <t>R5〜R10</t>
        </is>
      </c>
      <c r="H42" s="13" t="n">
        <v>10</v>
      </c>
      <c r="I42" s="13" t="inlineStr">
        <is>
          <t>確認済</t>
        </is>
      </c>
      <c r="J42" s="13" t="inlineStr">
        <is>
          <t>未確認</t>
        </is>
      </c>
      <c r="K42" s="14" t="inlineStr">
        <is>
          <t>https://wwwtb.mlit.go.jp/tohoku/content/000181287.pdf</t>
        </is>
      </c>
      <c r="L42" s="11" t="n"/>
      <c r="M42" s="11" t="inlineStr">
        <is>
          <t>不明</t>
        </is>
      </c>
      <c r="N42" s="13" t="n"/>
      <c r="O42" s="13" t="inlineStr">
        <is>
          <t>不明</t>
        </is>
      </c>
      <c r="P42" s="13" t="inlineStr">
        <is>
          <t>未確認</t>
        </is>
      </c>
      <c r="Q42" s="11" t="n"/>
      <c r="R42" s="11" t="inlineStr">
        <is>
          <t>交通計画は八戸圏域8市町村の圏域共同計画（R5〜R10）。環境基本計画・温暖化対策実行計画・ゼロカーボン関連とも検索でヒットせず。 【追加調査 2026-10】環境：環境基本計画は町名検索・町サイト限定検索ともヒットせず。町サイトでは第2次階上町環境保全率先行動計画（階上町地球温暖化対策推進実行計画、H26.12）https://www.town.hashikami.lg.jp/index.cfm/9,2212,c,html/2212/20200316-154455.pdf と自家消費型太陽光補助のみ。（確認日2026-10-02）</t>
        </is>
      </c>
      <c r="S42" s="18" t="inlineStr">
        <is>
          <t>交通のみ調査</t>
        </is>
      </c>
      <c r="T42" s="11" t="inlineStr">
        <is>
          <t>掲載（広域：八戸圏域）</t>
        </is>
      </c>
    </row>
    <row r="43">
      <c r="A43" s="11" t="n">
        <v>40</v>
      </c>
      <c r="B43" s="11" t="inlineStr">
        <is>
          <t>新郷村</t>
        </is>
      </c>
      <c r="C43" s="12">
        <f>IF(OR(D43="◎",E43="◎"),"◎ 営業",IF(OR(D43="△",E43="△"),"△ 着手済・要確認",IF(OR(D43="？",E43="？"),"？ 期間要確認","✕ 対象外")))</f>
        <v/>
      </c>
      <c r="D43" s="13">
        <f>IF(J43="計画なし","－",IF(J43="策定済","✕",IF(H43="","？",IF(AND(H43&gt;=TGT_MIN,H43&lt;=TGT_MAX),IF(J43="着手済","△","◎"),"✕"))))</f>
        <v/>
      </c>
      <c r="E43" s="13">
        <f>IF(P43="計画なし","－",IF(P43="策定済","✕",IF(N43="","？",IF(AND(N43&gt;=TGT_MIN,N43&lt;=TGT_MAX),IF(P43="着手済","△","◎"),"✕"))))</f>
        <v/>
      </c>
      <c r="F43" s="11" t="inlineStr">
        <is>
          <t>八戸圏域地域公共交通計画（八戸圏域8市町村共同）</t>
        </is>
      </c>
      <c r="G43" s="11" t="inlineStr">
        <is>
          <t>R5〜R10</t>
        </is>
      </c>
      <c r="H43" s="13" t="n">
        <v>10</v>
      </c>
      <c r="I43" s="13" t="inlineStr">
        <is>
          <t>確認済</t>
        </is>
      </c>
      <c r="J43" s="13" t="inlineStr">
        <is>
          <t>未確認</t>
        </is>
      </c>
      <c r="K43" s="14" t="inlineStr">
        <is>
          <t>https://wwwtb.mlit.go.jp/tohoku/content/000181287.pdf</t>
        </is>
      </c>
      <c r="L43" s="11" t="n"/>
      <c r="M43" s="11" t="inlineStr">
        <is>
          <t>不明</t>
        </is>
      </c>
      <c r="N43" s="13" t="n"/>
      <c r="O43" s="13" t="inlineStr">
        <is>
          <t>不明</t>
        </is>
      </c>
      <c r="P43" s="13" t="inlineStr">
        <is>
          <t>計画なし</t>
        </is>
      </c>
      <c r="Q43" s="11" t="n"/>
      <c r="R43" s="11" t="inlineStr">
        <is>
          <t>交通計画は八戸圏域8市町村の圏域共同計画（R5〜R10）。環境基本計画・温暖化対策実行計画とも検索でヒットせず。 【追加調査 2026-10】環境：村サイトの「ゴミ・リサイクル・環境」ページ https://www.vill.shingo.aomori.jp/public/anzeneisei/ に掲載の計画はごみ減量・分別収集・一般廃棄物処理基本計画・地球温暖化対策実行計画（事務事業編）・災害廃棄物処理計画で、環境基本計画は無し（検索要約ベース）。村名検索でもヒットせず。（確認日2026-10-02）</t>
        </is>
      </c>
      <c r="S43" s="15" t="inlineStr">
        <is>
          <t>調査済</t>
        </is>
      </c>
      <c r="T43" s="11" t="inlineStr">
        <is>
          <t>掲載（広域：八戸圏域）</t>
        </is>
      </c>
    </row>
  </sheetData>
  <autoFilter ref="A3:T43"/>
  <conditionalFormatting sqref="A4:T43">
    <cfRule type="expression" priority="5" dxfId="0">
      <formula>LEFT($C4,1)="◎"</formula>
    </cfRule>
    <cfRule type="expression" priority="6" dxfId="1">
      <formula>LEFT($C4,1)="△"</formula>
    </cfRule>
    <cfRule type="expression" priority="7" dxfId="2">
      <formula>LEFT($C4,1)="？"</formula>
    </cfRule>
    <cfRule type="expression" priority="8" dxfId="3">
      <formula>LEFT($C4,1)="✕"</formula>
    </cfRule>
  </conditionalFormatting>
  <conditionalFormatting sqref="H4:H43">
    <cfRule type="expression" priority="1" dxfId="4" stopIfTrue="1">
      <formula>AND(ISNUMBER(H4),H4&gt;=TGT_MIN,H4&lt;=TGT_MAX)</formula>
    </cfRule>
    <cfRule type="expression" priority="2" dxfId="5">
      <formula>AND(ISNUMBER(H4),H4=TGT_MAX+1)</formula>
    </cfRule>
  </conditionalFormatting>
  <conditionalFormatting sqref="N4:N43">
    <cfRule type="expression" priority="3" dxfId="4" stopIfTrue="1">
      <formula>AND(ISNUMBER(N4),N4&gt;=TGT_MIN,N4&lt;=TGT_MAX)</formula>
    </cfRule>
    <cfRule type="expression" priority="4" dxfId="5">
      <formula>AND(ISNUMBER(N4),N4=TGT_MAX+1)</formula>
    </cfRule>
  </conditionalFormatting>
  <dataValidations count="1">
    <dataValidation sqref="J4:J43 P4:P43" showDropDown="0" showInputMessage="0" showErrorMessage="0" allowBlank="1" type="list">
      <formula1>"未確認,着手済,策定済,計画なし"</formula1>
    </dataValidation>
  </dataValidations>
  <hyperlinks>
    <hyperlink xmlns:r="http://schemas.openxmlformats.org/officeDocument/2006/relationships" ref="K4" r:id="rId1"/>
    <hyperlink xmlns:r="http://schemas.openxmlformats.org/officeDocument/2006/relationships" ref="Q4" r:id="rId2"/>
    <hyperlink xmlns:r="http://schemas.openxmlformats.org/officeDocument/2006/relationships" ref="K5" r:id="rId3"/>
    <hyperlink xmlns:r="http://schemas.openxmlformats.org/officeDocument/2006/relationships" ref="Q5" r:id="rId4"/>
    <hyperlink xmlns:r="http://schemas.openxmlformats.org/officeDocument/2006/relationships" ref="K6" r:id="rId5"/>
    <hyperlink xmlns:r="http://schemas.openxmlformats.org/officeDocument/2006/relationships" ref="Q6" r:id="rId6"/>
    <hyperlink xmlns:r="http://schemas.openxmlformats.org/officeDocument/2006/relationships" ref="K7" r:id="rId7"/>
    <hyperlink xmlns:r="http://schemas.openxmlformats.org/officeDocument/2006/relationships" ref="Q7" r:id="rId8"/>
    <hyperlink xmlns:r="http://schemas.openxmlformats.org/officeDocument/2006/relationships" ref="K8" r:id="rId9"/>
    <hyperlink xmlns:r="http://schemas.openxmlformats.org/officeDocument/2006/relationships" ref="K9" r:id="rId10"/>
    <hyperlink xmlns:r="http://schemas.openxmlformats.org/officeDocument/2006/relationships" ref="K10" r:id="rId11"/>
    <hyperlink xmlns:r="http://schemas.openxmlformats.org/officeDocument/2006/relationships" ref="Q10" r:id="rId12"/>
    <hyperlink xmlns:r="http://schemas.openxmlformats.org/officeDocument/2006/relationships" ref="K11" r:id="rId13"/>
    <hyperlink xmlns:r="http://schemas.openxmlformats.org/officeDocument/2006/relationships" ref="Q12" r:id="rId14"/>
    <hyperlink xmlns:r="http://schemas.openxmlformats.org/officeDocument/2006/relationships" ref="K13" r:id="rId15"/>
    <hyperlink xmlns:r="http://schemas.openxmlformats.org/officeDocument/2006/relationships" ref="Q13" r:id="rId16"/>
    <hyperlink xmlns:r="http://schemas.openxmlformats.org/officeDocument/2006/relationships" ref="K14" r:id="rId17"/>
    <hyperlink xmlns:r="http://schemas.openxmlformats.org/officeDocument/2006/relationships" ref="K15" r:id="rId18"/>
    <hyperlink xmlns:r="http://schemas.openxmlformats.org/officeDocument/2006/relationships" ref="K17" r:id="rId19"/>
    <hyperlink xmlns:r="http://schemas.openxmlformats.org/officeDocument/2006/relationships" ref="K18" r:id="rId20"/>
    <hyperlink xmlns:r="http://schemas.openxmlformats.org/officeDocument/2006/relationships" ref="K19" r:id="rId21"/>
    <hyperlink xmlns:r="http://schemas.openxmlformats.org/officeDocument/2006/relationships" ref="K22" r:id="rId22"/>
    <hyperlink xmlns:r="http://schemas.openxmlformats.org/officeDocument/2006/relationships" ref="K26" r:id="rId23"/>
    <hyperlink xmlns:r="http://schemas.openxmlformats.org/officeDocument/2006/relationships" ref="K28" r:id="rId24"/>
    <hyperlink xmlns:r="http://schemas.openxmlformats.org/officeDocument/2006/relationships" ref="K32" r:id="rId25"/>
    <hyperlink xmlns:r="http://schemas.openxmlformats.org/officeDocument/2006/relationships" ref="K33" r:id="rId26"/>
    <hyperlink xmlns:r="http://schemas.openxmlformats.org/officeDocument/2006/relationships" ref="K34" r:id="rId27"/>
    <hyperlink xmlns:r="http://schemas.openxmlformats.org/officeDocument/2006/relationships" ref="K35" r:id="rId28"/>
    <hyperlink xmlns:r="http://schemas.openxmlformats.org/officeDocument/2006/relationships" ref="K36" r:id="rId29"/>
    <hyperlink xmlns:r="http://schemas.openxmlformats.org/officeDocument/2006/relationships" ref="K37" r:id="rId30"/>
    <hyperlink xmlns:r="http://schemas.openxmlformats.org/officeDocument/2006/relationships" ref="K38" r:id="rId31"/>
    <hyperlink xmlns:r="http://schemas.openxmlformats.org/officeDocument/2006/relationships" ref="K39" r:id="rId32"/>
    <hyperlink xmlns:r="http://schemas.openxmlformats.org/officeDocument/2006/relationships" ref="K40" r:id="rId33"/>
    <hyperlink xmlns:r="http://schemas.openxmlformats.org/officeDocument/2006/relationships" ref="K41" r:id="rId34"/>
    <hyperlink xmlns:r="http://schemas.openxmlformats.org/officeDocument/2006/relationships" ref="K42" r:id="rId35"/>
    <hyperlink xmlns:r="http://schemas.openxmlformats.org/officeDocument/2006/relationships" ref="K43" r:id="rId3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6" customWidth="1" min="3" max="3"/>
    <col width="7" customWidth="1" min="4" max="4"/>
    <col width="7" customWidth="1" min="5" max="5"/>
    <col width="30" customWidth="1" min="6" max="6"/>
    <col width="15" customWidth="1" min="7" max="7"/>
    <col width="9" customWidth="1" min="8" max="8"/>
    <col width="8" customWidth="1" min="9" max="9"/>
    <col width="9" customWidth="1" min="10" max="10"/>
    <col width="34" customWidth="1" min="11" max="11"/>
    <col width="30" customWidth="1" min="12" max="12"/>
    <col width="15" customWidth="1" min="13" max="13"/>
    <col width="9" customWidth="1" min="14" max="14"/>
    <col width="8" customWidth="1" min="15" max="15"/>
    <col width="9" customWidth="1" min="16" max="16"/>
    <col width="34" customWidth="1" min="17" max="17"/>
    <col width="55" customWidth="1" min="18" max="18"/>
    <col width="14" customWidth="1" min="19" max="19"/>
    <col width="24" customWidth="1" min="20" max="20"/>
  </cols>
  <sheetData>
    <row r="1">
      <c r="A1" s="1" t="inlineStr">
        <is>
          <t>岩手県　地域公共交通計画・環境基本計画の終期一覧（2026年9月30日時点の調査）</t>
        </is>
      </c>
    </row>
    <row r="2">
      <c r="A2" s="9">
        <f>"営業判定の対象：終期 R"&amp;TGT_MIN&amp;"〜R"&amp;TGT_MAX&amp;"年度 →◎（着手済は△、期間不明は？）。終期セルの色：緑＝対象年度／橙＝その翌年度（次の候補）。対象年度は「集計・設定」シートのC4・C5のプルダウンで切替。"</f>
        <v/>
      </c>
    </row>
    <row r="3" ht="32" customHeight="1">
      <c r="A3" s="10" t="inlineStr">
        <is>
          <t>No</t>
        </is>
      </c>
      <c r="B3" s="10" t="inlineStr">
        <is>
          <t>市町村</t>
        </is>
      </c>
      <c r="C3" s="10" t="inlineStr">
        <is>
          <t>営業判定</t>
        </is>
      </c>
      <c r="D3" s="10" t="inlineStr">
        <is>
          <t>交通判定</t>
        </is>
      </c>
      <c r="E3" s="10" t="inlineStr">
        <is>
          <t>環境判定</t>
        </is>
      </c>
      <c r="F3" s="10" t="inlineStr">
        <is>
          <t>地域公共交通計画</t>
        </is>
      </c>
      <c r="G3" s="10" t="inlineStr">
        <is>
          <t>交通 計画期間</t>
        </is>
      </c>
      <c r="H3" s="10" t="inlineStr">
        <is>
          <t>交通 終期(令和年度)</t>
        </is>
      </c>
      <c r="I3" s="10" t="inlineStr">
        <is>
          <t>交通 確度</t>
        </is>
      </c>
      <c r="J3" s="10" t="inlineStr">
        <is>
          <t>交通 改定状況</t>
        </is>
      </c>
      <c r="K3" s="10" t="inlineStr">
        <is>
          <t>交通 計画リンク（エビデンス）</t>
        </is>
      </c>
      <c r="L3" s="10" t="inlineStr">
        <is>
          <t>環境基本計画</t>
        </is>
      </c>
      <c r="M3" s="10" t="inlineStr">
        <is>
          <t>環境 計画期間</t>
        </is>
      </c>
      <c r="N3" s="10" t="inlineStr">
        <is>
          <t>環境 終期(令和年度)</t>
        </is>
      </c>
      <c r="O3" s="10" t="inlineStr">
        <is>
          <t>環境 確度</t>
        </is>
      </c>
      <c r="P3" s="10" t="inlineStr">
        <is>
          <t>環境 改定状況</t>
        </is>
      </c>
      <c r="Q3" s="10" t="inlineStr">
        <is>
          <t>環境 計画リンク（エビデンス）</t>
        </is>
      </c>
      <c r="R3" s="10" t="inlineStr">
        <is>
          <t>注釈（改定作業の状況など）</t>
        </is>
      </c>
      <c r="S3" s="10" t="inlineStr">
        <is>
          <t>調査状況</t>
        </is>
      </c>
      <c r="T3" s="10" t="inlineStr">
        <is>
          <t>国交省一覧(R8.5末)</t>
        </is>
      </c>
    </row>
    <row r="4">
      <c r="A4" s="11" t="n">
        <v>1</v>
      </c>
      <c r="B4" s="11" t="inlineStr">
        <is>
          <t>盛岡市</t>
        </is>
      </c>
      <c r="C4" s="12">
        <f>IF(OR(D4="◎",E4="◎"),"◎ 営業",IF(OR(D4="△",E4="△"),"△ 着手済・要確認",IF(OR(D4="？",E4="？"),"？ 期間要確認","✕ 対象外")))</f>
        <v/>
      </c>
      <c r="D4" s="13">
        <f>IF(J4="計画なし","－",IF(J4="策定済","✕",IF(H4="","？",IF(AND(H4&gt;=TGT_MIN,H4&lt;=TGT_MAX),IF(J4="着手済","△","◎"),"✕"))))</f>
        <v/>
      </c>
      <c r="E4" s="13">
        <f>IF(P4="計画なし","－",IF(P4="策定済","✕",IF(N4="","？",IF(AND(N4&gt;=TGT_MIN,N4&lt;=TGT_MAX),IF(P4="着手済","△","◎"),"✕"))))</f>
        <v/>
      </c>
      <c r="F4" s="11" t="inlineStr">
        <is>
          <t>盛岡都市圏地域公共交通計画（盛岡市・滝沢市・矢巾町共同）</t>
        </is>
      </c>
      <c r="G4" s="11" t="inlineStr">
        <is>
          <t>R8〜R12</t>
        </is>
      </c>
      <c r="H4" s="13" t="n">
        <v>12</v>
      </c>
      <c r="I4" s="13" t="inlineStr">
        <is>
          <t>確認済</t>
        </is>
      </c>
      <c r="J4" s="13" t="inlineStr">
        <is>
          <t>策定済</t>
        </is>
      </c>
      <c r="K4" s="14" t="inlineStr">
        <is>
          <t>https://www.city.morioka.iwate.jp/_res/projects/default_project/_page_/001/043/162/R7honpen.pdf</t>
        </is>
      </c>
      <c r="L4" s="11" t="inlineStr">
        <is>
          <t>盛岡市環境基本計画（第三次）</t>
        </is>
      </c>
      <c r="M4" s="11" t="inlineStr">
        <is>
          <t>R3〜R12</t>
        </is>
      </c>
      <c r="N4" s="13" t="n">
        <v>12</v>
      </c>
      <c r="O4" s="13" t="inlineStr">
        <is>
          <t>確認済</t>
        </is>
      </c>
      <c r="P4" s="13" t="inlineStr">
        <is>
          <t>未確認</t>
        </is>
      </c>
      <c r="Q4" s="14" t="inlineStr">
        <is>
          <t>https://www.city.morioka.iwate.jp/_res/projects/default_project/_page_/001/010/054/kihonntekizikou.pdf</t>
        </is>
      </c>
      <c r="R4" s="11" t="inlineStr">
        <is>
          <t>交通：3市町共同の都市圏計画をR7.9.30公表（R8〜R12）。環境：R3〜R12の10年計画、改定作業は未確認。</t>
        </is>
      </c>
      <c r="S4" s="15" t="inlineStr">
        <is>
          <t>調査済</t>
        </is>
      </c>
      <c r="T4" s="11" t="inlineStr">
        <is>
          <t>掲載（広域：盛岡市・滝沢市・矢巾町）</t>
        </is>
      </c>
    </row>
    <row r="5">
      <c r="A5" s="11" t="n">
        <v>2</v>
      </c>
      <c r="B5" s="11" t="inlineStr">
        <is>
          <t>宮古市</t>
        </is>
      </c>
      <c r="C5" s="12">
        <f>IF(OR(D5="◎",E5="◎"),"◎ 営業",IF(OR(D5="△",E5="△"),"△ 着手済・要確認",IF(OR(D5="？",E5="？"),"？ 期間要確認","✕ 対象外")))</f>
        <v/>
      </c>
      <c r="D5" s="13">
        <f>IF(J5="計画なし","－",IF(J5="策定済","✕",IF(H5="","？",IF(AND(H5&gt;=TGT_MIN,H5&lt;=TGT_MAX),IF(J5="着手済","△","◎"),"✕"))))</f>
        <v/>
      </c>
      <c r="E5" s="13">
        <f>IF(P5="計画なし","－",IF(P5="策定済","✕",IF(N5="","？",IF(AND(N5&gt;=TGT_MIN,N5&lt;=TGT_MAX),IF(P5="着手済","△","◎"),"✕"))))</f>
        <v/>
      </c>
      <c r="F5" s="11" t="inlineStr">
        <is>
          <t>宮古市地域公共交通計画</t>
        </is>
      </c>
      <c r="G5" s="11" t="inlineStr">
        <is>
          <t>R5〜R11</t>
        </is>
      </c>
      <c r="H5" s="13" t="n">
        <v>11</v>
      </c>
      <c r="I5" s="13" t="inlineStr">
        <is>
          <t>確認済</t>
        </is>
      </c>
      <c r="J5" s="13" t="inlineStr">
        <is>
          <t>未確認</t>
        </is>
      </c>
      <c r="K5" s="14" t="inlineStr">
        <is>
          <t>https://www.city.miyako.iwate.jp/material/files/group/8/miyakositiikikoukyoukoutuukeikaku.pdf</t>
        </is>
      </c>
      <c r="L5" s="11" t="inlineStr">
        <is>
          <t>宮古市環境基本計画（R7.3策定）</t>
        </is>
      </c>
      <c r="M5" s="11" t="inlineStr">
        <is>
          <t>R7〜R12</t>
        </is>
      </c>
      <c r="N5" s="13" t="n">
        <v>12</v>
      </c>
      <c r="O5" s="13" t="inlineStr">
        <is>
          <t>確認済</t>
        </is>
      </c>
      <c r="P5" s="13" t="inlineStr">
        <is>
          <t>策定済</t>
        </is>
      </c>
      <c r="Q5" s="14" t="inlineStr">
        <is>
          <t>https://www.city.miyako.iwate.jp/material/files/group/14/kihonkeikaku.pdf</t>
        </is>
      </c>
      <c r="R5" s="11" t="inlineStr">
        <is>
          <t>交通：2023〜2029年度の7年計画。利便増進実施計画あり https://www.city.miyako.iwate.jp/material/files/group/8/miyakosiribennzousinnjissikeikaku.pdf 。三陸鉄道沿線の広域計画 https://www.city.miyako.iwate.jp/material/files/group/8/sanntetsukoutuukeikaku2024.pdf もあり。環境：前計画R2〜R6、R7.3に新計画策定（R7〜R12）。 三陸鉄道沿線地域等公共交通計画の策定ページ https://www.city.miyako.iwate.jp/gyosei/soshiki/kokyokotsuusuishin/2/1/605.html 。</t>
        </is>
      </c>
      <c r="S5" s="15" t="inlineStr">
        <is>
          <t>調査済</t>
        </is>
      </c>
      <c r="T5" s="11" t="inlineStr">
        <is>
          <t>掲載（広域：三陸鉄道沿線地域等）</t>
        </is>
      </c>
    </row>
    <row r="6">
      <c r="A6" s="11" t="n">
        <v>3</v>
      </c>
      <c r="B6" s="11" t="inlineStr">
        <is>
          <t>大船渡市</t>
        </is>
      </c>
      <c r="C6" s="12">
        <f>IF(OR(D6="◎",E6="◎"),"◎ 営業",IF(OR(D6="△",E6="△"),"△ 着手済・要確認",IF(OR(D6="？",E6="？"),"？ 期間要確認","✕ 対象外")))</f>
        <v/>
      </c>
      <c r="D6" s="13">
        <f>IF(J6="計画なし","－",IF(J6="策定済","✕",IF(H6="","？",IF(AND(H6&gt;=TGT_MIN,H6&lt;=TGT_MAX),IF(J6="着手済","△","◎"),"✕"))))</f>
        <v/>
      </c>
      <c r="E6" s="13">
        <f>IF(P6="計画なし","－",IF(P6="策定済","✕",IF(N6="","？",IF(AND(N6&gt;=TGT_MIN,N6&lt;=TGT_MAX),IF(P6="着手済","△","◎"),"✕"))))</f>
        <v/>
      </c>
      <c r="F6" s="11" t="inlineStr">
        <is>
          <t>大船渡市地域公共交通計画</t>
        </is>
      </c>
      <c r="G6" s="11" t="inlineStr">
        <is>
          <t>R8〜R12</t>
        </is>
      </c>
      <c r="H6" s="13" t="n">
        <v>12</v>
      </c>
      <c r="I6" s="13" t="inlineStr">
        <is>
          <t>確認済</t>
        </is>
      </c>
      <c r="J6" s="13" t="inlineStr">
        <is>
          <t>策定済</t>
        </is>
      </c>
      <c r="K6" s="14" t="inlineStr">
        <is>
          <t>https://www.city.ofunato.iwate.jp/archive/contents-5125</t>
        </is>
      </c>
      <c r="L6" s="11" t="inlineStr">
        <is>
          <t>第3次大船渡市環境基本計画</t>
        </is>
      </c>
      <c r="M6" s="11" t="inlineStr">
        <is>
          <t>R5〜R14</t>
        </is>
      </c>
      <c r="N6" s="13" t="n">
        <v>14</v>
      </c>
      <c r="O6" s="13" t="inlineStr">
        <is>
          <t>確認済</t>
        </is>
      </c>
      <c r="P6" s="13" t="inlineStr">
        <is>
          <t>未確認</t>
        </is>
      </c>
      <c r="Q6" s="14" t="inlineStr">
        <is>
          <t>https://www.city.ofunato.iwate.jp/site/kankyokeikaku/</t>
        </is>
      </c>
      <c r="R6" s="11" t="inlineStr">
        <is>
          <t>交通：旧計画R4〜R7（R6.9第一次改定 https://www.city.ofunato.iwate.jp/uploads/contents/archive_0000000476_00/38921.pdf ）の後継として、計画ページ上の期間はR8〜R12（検索結果本文）。R8.7に持続可能な鉄道接続型地域交通モデル調査業務プロポーザル https://www.city.ofunato.iwate.jp/archive/p20260721171526 。三陸鉄道沿線地域等公共交通計画（岩手県・沿線12市町村の広域計画、2024策定） https://www.city.miyako.iwate.jp/gyosei/soshiki/kokyokotsuusuishin/2/1/605.html もカバー。環境：R5年度から10年間（パブコメR5.1）。</t>
        </is>
      </c>
      <c r="S6" s="15" t="inlineStr">
        <is>
          <t>調査済</t>
        </is>
      </c>
      <c r="T6" s="11" t="inlineStr">
        <is>
          <t>掲載（広域：三陸鉄道沿線地域等）</t>
        </is>
      </c>
    </row>
    <row r="7">
      <c r="A7" s="11" t="n">
        <v>4</v>
      </c>
      <c r="B7" s="11" t="inlineStr">
        <is>
          <t>花巻市</t>
        </is>
      </c>
      <c r="C7" s="12">
        <f>IF(OR(D7="◎",E7="◎"),"◎ 営業",IF(OR(D7="△",E7="△"),"△ 着手済・要確認",IF(OR(D7="？",E7="？"),"？ 期間要確認","✕ 対象外")))</f>
        <v/>
      </c>
      <c r="D7" s="13">
        <f>IF(J7="計画なし","－",IF(J7="策定済","✕",IF(H7="","？",IF(AND(H7&gt;=TGT_MIN,H7&lt;=TGT_MAX),IF(J7="着手済","△","◎"),"✕"))))</f>
        <v/>
      </c>
      <c r="E7" s="13">
        <f>IF(P7="計画なし","－",IF(P7="策定済","✕",IF(N7="","？",IF(AND(N7&gt;=TGT_MIN,N7&lt;=TGT_MAX),IF(P7="着手済","△","◎"),"✕"))))</f>
        <v/>
      </c>
      <c r="F7" s="11" t="inlineStr">
        <is>
          <t>花巻市地域公共交通計画</t>
        </is>
      </c>
      <c r="G7" s="11" t="inlineStr">
        <is>
          <t>R6〜R10</t>
        </is>
      </c>
      <c r="H7" s="13" t="n">
        <v>10</v>
      </c>
      <c r="I7" s="13" t="inlineStr">
        <is>
          <t>確認済</t>
        </is>
      </c>
      <c r="J7" s="13" t="inlineStr">
        <is>
          <t>未確認</t>
        </is>
      </c>
      <c r="K7" s="14" t="inlineStr">
        <is>
          <t>https://www.city.hanamaki.iwate.jp/_res/projects/default_project/_page_/001/021/245/keikaku.pdf</t>
        </is>
      </c>
      <c r="L7" s="11" t="inlineStr">
        <is>
          <t>第3次花巻市環境基本計画</t>
        </is>
      </c>
      <c r="M7" s="11" t="inlineStr">
        <is>
          <t>R6〜R13</t>
        </is>
      </c>
      <c r="N7" s="13" t="n">
        <v>13</v>
      </c>
      <c r="O7" s="13" t="inlineStr">
        <is>
          <t>確認済</t>
        </is>
      </c>
      <c r="P7" s="13" t="inlineStr">
        <is>
          <t>未確認</t>
        </is>
      </c>
      <c r="Q7" s="14" t="inlineStr">
        <is>
          <t>https://www.city.hanamaki.iwate.jp/shisei/shisei/keikaku/1002782.html</t>
        </is>
      </c>
      <c r="R7" s="11" t="inlineStr">
        <is>
          <t>交通：R6.3策定、R6〜R10の5年。環境：第2次（H28.3〜R6.3満了）の後継としてR6.3に第3次策定（R6〜R13の8年）、区域施策編を別冊で同時策定。</t>
        </is>
      </c>
      <c r="S7" s="15" t="inlineStr">
        <is>
          <t>調査済</t>
        </is>
      </c>
      <c r="T7" s="11" t="inlineStr">
        <is>
          <t>掲載</t>
        </is>
      </c>
    </row>
    <row r="8">
      <c r="A8" s="11" t="n">
        <v>5</v>
      </c>
      <c r="B8" s="11" t="inlineStr">
        <is>
          <t>北上市</t>
        </is>
      </c>
      <c r="C8" s="12">
        <f>IF(OR(D8="◎",E8="◎"),"◎ 営業",IF(OR(D8="△",E8="△"),"△ 着手済・要確認",IF(OR(D8="？",E8="？"),"？ 期間要確認","✕ 対象外")))</f>
        <v/>
      </c>
      <c r="D8" s="13">
        <f>IF(J8="計画なし","－",IF(J8="策定済","✕",IF(H8="","？",IF(AND(H8&gt;=TGT_MIN,H8&lt;=TGT_MAX),IF(J8="着手済","△","◎"),"✕"))))</f>
        <v/>
      </c>
      <c r="E8" s="13">
        <f>IF(P8="計画なし","－",IF(P8="策定済","✕",IF(N8="","？",IF(AND(N8&gt;=TGT_MIN,N8&lt;=TGT_MAX),IF(P8="着手済","△","◎"),"✕"))))</f>
        <v/>
      </c>
      <c r="F8" s="11" t="inlineStr">
        <is>
          <t>北上市地域公共交通計画2026-2030</t>
        </is>
      </c>
      <c r="G8" s="11" t="inlineStr">
        <is>
          <t>R8〜R12</t>
        </is>
      </c>
      <c r="H8" s="13" t="n">
        <v>12</v>
      </c>
      <c r="I8" s="13" t="inlineStr">
        <is>
          <t>確認済</t>
        </is>
      </c>
      <c r="J8" s="13" t="inlineStr">
        <is>
          <t>策定済</t>
        </is>
      </c>
      <c r="K8" s="14" t="inlineStr">
        <is>
          <t>https://www.city.kitakami.iwate.jp/life/soshikikarasagasu/toshisaiseisuishin/koutsuuseisaku/1_1/21919.html</t>
        </is>
      </c>
      <c r="L8" s="11" t="inlineStr">
        <is>
          <t>北上市環境基本計画（第三次、R8.3改定）</t>
        </is>
      </c>
      <c r="M8" s="11" t="inlineStr">
        <is>
          <t>R3〜R12</t>
        </is>
      </c>
      <c r="N8" s="13" t="n">
        <v>12</v>
      </c>
      <c r="O8" s="13" t="inlineStr">
        <is>
          <t>確認済</t>
        </is>
      </c>
      <c r="P8" s="13" t="inlineStr">
        <is>
          <t>未確認</t>
        </is>
      </c>
      <c r="Q8" s="14" t="inlineStr">
        <is>
          <t>https://www.city.kitakami.iwate.jp/material/files/group/14/kankyokeikaku_0803.pdf</t>
        </is>
      </c>
      <c r="R8" s="11" t="inlineStr">
        <is>
          <t>交通：R8〜R12の新計画を策定（案 R8.3.13会議資料 https://www.city.kitakami.iwate.jp/material/files/group/56/260313_siryou.pdf ）。環境：第三次R3〜R12、R8.3中間改定（区域施策編も改定）。</t>
        </is>
      </c>
      <c r="S8" s="15" t="inlineStr">
        <is>
          <t>調査済</t>
        </is>
      </c>
      <c r="T8" s="11" t="inlineStr">
        <is>
          <t>掲載</t>
        </is>
      </c>
    </row>
    <row r="9">
      <c r="A9" s="11" t="n">
        <v>6</v>
      </c>
      <c r="B9" s="11" t="inlineStr">
        <is>
          <t>久慈市</t>
        </is>
      </c>
      <c r="C9" s="12">
        <f>IF(OR(D9="◎",E9="◎"),"◎ 営業",IF(OR(D9="△",E9="△"),"△ 着手済・要確認",IF(OR(D9="？",E9="？"),"？ 期間要確認","✕ 対象外")))</f>
        <v/>
      </c>
      <c r="D9" s="13">
        <f>IF(J9="計画なし","－",IF(J9="策定済","✕",IF(H9="","？",IF(AND(H9&gt;=TGT_MIN,H9&lt;=TGT_MAX),IF(J9="着手済","△","◎"),"✕"))))</f>
        <v/>
      </c>
      <c r="E9" s="13">
        <f>IF(P9="計画なし","－",IF(P9="策定済","✕",IF(N9="","？",IF(AND(N9&gt;=TGT_MIN,N9&lt;=TGT_MAX),IF(P9="着手済","△","◎"),"✕"))))</f>
        <v/>
      </c>
      <c r="F9" s="11" t="inlineStr">
        <is>
          <t>久慈市地域公共交通計画（R6.3策定）</t>
        </is>
      </c>
      <c r="G9" s="11" t="inlineStr">
        <is>
          <t>H30〜R9</t>
        </is>
      </c>
      <c r="H9" s="16" t="n">
        <v>9</v>
      </c>
      <c r="I9" s="13" t="inlineStr">
        <is>
          <t>推定</t>
        </is>
      </c>
      <c r="J9" s="13" t="inlineStr">
        <is>
          <t>未確認</t>
        </is>
      </c>
      <c r="K9" s="14" t="inlineStr">
        <is>
          <t>https://www.city.kuji.lg.jp/material/files/group/19/keikaku.pdf</t>
        </is>
      </c>
      <c r="L9" s="11" t="inlineStr">
        <is>
          <t>第2次久慈市環境基本計画</t>
        </is>
      </c>
      <c r="M9" s="11" t="inlineStr">
        <is>
          <t>H30〜R9</t>
        </is>
      </c>
      <c r="N9" s="13" t="n">
        <v>9</v>
      </c>
      <c r="O9" s="13" t="inlineStr">
        <is>
          <t>確認済</t>
        </is>
      </c>
      <c r="P9" s="13" t="inlineStr">
        <is>
          <t>未確認</t>
        </is>
      </c>
      <c r="Q9" s="14" t="inlineStr">
        <is>
          <t>https://www.city.kuji.lg.jp/material/files/group/19/2021_kuji_kankyou_1.pdf</t>
        </is>
      </c>
      <c r="R9" s="11" t="inlineStr">
        <is>
          <t>交通：網形成計画（H30〜）をR6.3に地域公共交通計画として策定、計画期間は2018〜2027年度（R9終期）とする検索結果が1回のみで、2026.10の再検索では裏付けが得られず推定、2028年度以降に見直し予定。計画ページ https://www.city.kuji.lg.jp/soshiki/chiikizukurishinko/1/6/1/1835.html 。次期計画の委託等は未確認。三陸鉄道沿線地域等公共交通計画（岩手県・沿線12市町村の広域計画、2024策定） https://www.city.miyako.iwate.jp/gyosei/soshiki/kokyokotsuusuishin/2/1/605.html もカバー。環境：10年計画（R10以降に見直しとの記載あり）、正確な期間未確認。区域施策編改訂支援業務プロポーザルあり https://www.city.kuji.iwate.jp/assets/fukushi/siyousyo_ondankapropo.pdf 。 【ファクトチェック 2026-10-01: 確認できず】確認期間: None／次期: 確認できず／根拠: https://www.city.kuji.lg.jp/soshiki/chiikizukurishinko/1/6/1/1835.html 【追加調査 2026-10】【2026-10-02調査】検索3回で計画ページ https://www.city.kuji.lg.jp/soshiki/chiikizukurishinko/1/6/1/1835.html は確認できたが、計画期間（H30〜R9=2018〜2027年度）を示す本文抜粋は得られず推定のまま。市サイトはWebFetch不可（egress blocked）。次期計画の委託等も検索で見当たらず。 【追加調査 2026-10】環境：市サイト限定検索2回で『第1章 計画の基本的事項』(2021_kuji_kankyou_1.pdf)の本文として「2018年度から2027年度までの10年間」を確認（PDF直接取得は不可）。前回メモの『R10以降に見直し』と整合。R9終期のため次期（第3次）計画の策定委託・審議会・パブコメを検索したが見当たらず（着手未確認）。確認日2026-10-02。 根拠: 計画の期間は…2018年度から2027年度までの10年間とします</t>
        </is>
      </c>
      <c r="S9" s="15" t="inlineStr">
        <is>
          <t>調査済</t>
        </is>
      </c>
      <c r="T9" s="11" t="inlineStr">
        <is>
          <t>掲載（広域：三陸鉄道沿線地域等）</t>
        </is>
      </c>
    </row>
    <row r="10">
      <c r="A10" s="11" t="n">
        <v>7</v>
      </c>
      <c r="B10" s="11" t="inlineStr">
        <is>
          <t>遠野市</t>
        </is>
      </c>
      <c r="C10" s="12">
        <f>IF(OR(D10="◎",E10="◎"),"◎ 営業",IF(OR(D10="△",E10="△"),"△ 着手済・要確認",IF(OR(D10="？",E10="？"),"？ 期間要確認","✕ 対象外")))</f>
        <v/>
      </c>
      <c r="D10" s="13">
        <f>IF(J10="計画なし","－",IF(J10="策定済","✕",IF(H10="","？",IF(AND(H10&gt;=TGT_MIN,H10&lt;=TGT_MAX),IF(J10="着手済","△","◎"),"✕"))))</f>
        <v/>
      </c>
      <c r="E10" s="13">
        <f>IF(P10="計画なし","－",IF(P10="策定済","✕",IF(N10="","？",IF(AND(N10&gt;=TGT_MIN,N10&lt;=TGT_MAX),IF(P10="着手済","△","◎"),"✕"))))</f>
        <v/>
      </c>
      <c r="F10" s="11" t="inlineStr">
        <is>
          <t>遠野市地域公共交通計画</t>
        </is>
      </c>
      <c r="G10" s="11" t="inlineStr">
        <is>
          <t>R7〜R12</t>
        </is>
      </c>
      <c r="H10" s="13" t="n">
        <v>12</v>
      </c>
      <c r="I10" s="13" t="inlineStr">
        <is>
          <t>確認済</t>
        </is>
      </c>
      <c r="J10" s="13" t="inlineStr">
        <is>
          <t>策定済</t>
        </is>
      </c>
      <c r="K10" s="14" t="inlineStr">
        <is>
          <t>https://www.city.tono.iwate.jp/index.cfm/50,13281,311,html</t>
        </is>
      </c>
      <c r="L10" s="11" t="inlineStr">
        <is>
          <t>第5次遠野市環境基本計画</t>
        </is>
      </c>
      <c r="M10" s="11" t="inlineStr">
        <is>
          <t>R8〜R12</t>
        </is>
      </c>
      <c r="N10" s="13" t="n">
        <v>12</v>
      </c>
      <c r="O10" s="13" t="inlineStr">
        <is>
          <t>確認済</t>
        </is>
      </c>
      <c r="P10" s="13" t="inlineStr">
        <is>
          <t>策定済</t>
        </is>
      </c>
      <c r="Q10" s="14" t="inlineStr">
        <is>
          <t>https://www.city.tono.iwate.jp/index.cfm/45,34797,247,html</t>
        </is>
      </c>
      <c r="R10" s="11" t="inlineStr">
        <is>
          <t>交通：R7〜R12（R7年度開始の新計画）。環境：第5次計画を公開、期間は検索結果で未確認。 【追加調査 2026-10】環境：市サイト限定検索2回（別クエリ）で環境基本計画ページの本文として「第５次遠野市環境基本計画の期間は令和8年から令和12年度まで」を確認。R8開始の新計画（第3次遠野市総合計画R8〜R17と同時期）のため策定済と判断（策定月・パブコメは未確認）。市サイトはWebFetchブロック。確認日2026-10-02。URL https://www.city.tono.iwate.jp/index.cfm/45,34797,247,html 根拠: 第５次遠野市環境基本計画…令和8年から令和12年度まで</t>
        </is>
      </c>
      <c r="S10" s="15" t="inlineStr">
        <is>
          <t>調査済</t>
        </is>
      </c>
      <c r="T10" s="11" t="inlineStr">
        <is>
          <t>掲載</t>
        </is>
      </c>
    </row>
    <row r="11">
      <c r="A11" s="11" t="n">
        <v>8</v>
      </c>
      <c r="B11" s="11" t="inlineStr">
        <is>
          <t>一関市</t>
        </is>
      </c>
      <c r="C11" s="12">
        <f>IF(OR(D11="◎",E11="◎"),"◎ 営業",IF(OR(D11="△",E11="△"),"△ 着手済・要確認",IF(OR(D11="？",E11="？"),"？ 期間要確認","✕ 対象外")))</f>
        <v/>
      </c>
      <c r="D11" s="13">
        <f>IF(J11="計画なし","－",IF(J11="策定済","✕",IF(H11="","？",IF(AND(H11&gt;=TGT_MIN,H11&lt;=TGT_MAX),IF(J11="着手済","△","◎"),"✕"))))</f>
        <v/>
      </c>
      <c r="E11" s="13">
        <f>IF(P11="計画なし","－",IF(P11="策定済","✕",IF(N11="","？",IF(AND(N11&gt;=TGT_MIN,N11&lt;=TGT_MAX),IF(P11="着手済","△","◎"),"✕"))))</f>
        <v/>
      </c>
      <c r="F11" s="11" t="inlineStr">
        <is>
          <t>一関市地域公共交通計画</t>
        </is>
      </c>
      <c r="G11" s="11" t="inlineStr">
        <is>
          <t>R6〜R10</t>
        </is>
      </c>
      <c r="H11" s="13" t="n">
        <v>10</v>
      </c>
      <c r="I11" s="13" t="inlineStr">
        <is>
          <t>確認済</t>
        </is>
      </c>
      <c r="J11" s="13" t="inlineStr">
        <is>
          <t>未確認</t>
        </is>
      </c>
      <c r="K11" s="14" t="inlineStr">
        <is>
          <t>https://www.city.ichinoseki.iwate.jp/index.cfm/7,166695,c,html/166695/20240410-160623.pdf</t>
        </is>
      </c>
      <c r="L11" s="11" t="inlineStr">
        <is>
          <t>一関市環境基本計画（R3.3改定）</t>
        </is>
      </c>
      <c r="M11" s="11" t="inlineStr">
        <is>
          <t>H29〜R8</t>
        </is>
      </c>
      <c r="N11" s="13" t="n">
        <v>8</v>
      </c>
      <c r="O11" s="13" t="inlineStr">
        <is>
          <t>確認済</t>
        </is>
      </c>
      <c r="P11" s="13" t="inlineStr">
        <is>
          <t>未確認</t>
        </is>
      </c>
      <c r="Q11" s="14" t="inlineStr">
        <is>
          <t>https://www.city.ichinoseki.iwate.jp/index.cfm/7,90284,125,html</t>
        </is>
      </c>
      <c r="R11" s="11" t="inlineStr">
        <is>
          <t>交通：R6〜R10、一部改訂あり https://www.city.ichinoseki.iwate.jp/index.cfm/7,175828,125,html 。環境：H29〜R8の10年計画でR8年度終期。次期計画の策定作業（委託・パブコメ）は検索で確認できず。要注視。</t>
        </is>
      </c>
      <c r="S11" s="15" t="inlineStr">
        <is>
          <t>調査済</t>
        </is>
      </c>
      <c r="T11" s="11" t="inlineStr">
        <is>
          <t>掲載</t>
        </is>
      </c>
    </row>
    <row r="12">
      <c r="A12" s="11" t="n">
        <v>9</v>
      </c>
      <c r="B12" s="11" t="inlineStr">
        <is>
          <t>陸前高田市</t>
        </is>
      </c>
      <c r="C12" s="12">
        <f>IF(OR(D12="◎",E12="◎"),"◎ 営業",IF(OR(D12="△",E12="△"),"△ 着手済・要確認",IF(OR(D12="？",E12="？"),"？ 期間要確認","✕ 対象外")))</f>
        <v/>
      </c>
      <c r="D12" s="13">
        <f>IF(J12="計画なし","－",IF(J12="策定済","✕",IF(H12="","？",IF(AND(H12&gt;=TGT_MIN,H12&lt;=TGT_MAX),IF(J12="着手済","△","◎"),"✕"))))</f>
        <v/>
      </c>
      <c r="E12" s="13">
        <f>IF(P12="計画なし","－",IF(P12="策定済","✕",IF(N12="","？",IF(AND(N12&gt;=TGT_MIN,N12&lt;=TGT_MAX),IF(P12="着手済","△","◎"),"✕"))))</f>
        <v/>
      </c>
      <c r="F12" s="11" t="inlineStr">
        <is>
          <t>陸前高田市地域公共交通計画</t>
        </is>
      </c>
      <c r="G12" s="11" t="inlineStr">
        <is>
          <t>R6〜R10</t>
        </is>
      </c>
      <c r="H12" s="13" t="n">
        <v>10</v>
      </c>
      <c r="I12" s="13" t="inlineStr">
        <is>
          <t>確認済</t>
        </is>
      </c>
      <c r="J12" s="13" t="inlineStr">
        <is>
          <t>未確認</t>
        </is>
      </c>
      <c r="K12" s="14" t="inlineStr">
        <is>
          <t>https://www.city.rikuzentakata.iwate.jp/material/files/group/19/20231124_4-2.pdf</t>
        </is>
      </c>
      <c r="L12" s="11" t="n"/>
      <c r="M12" s="11" t="inlineStr">
        <is>
          <t>不明</t>
        </is>
      </c>
      <c r="N12" s="13" t="n"/>
      <c r="O12" s="13" t="inlineStr">
        <is>
          <t>不明</t>
        </is>
      </c>
      <c r="P12" s="13" t="inlineStr">
        <is>
          <t>計画なし</t>
        </is>
      </c>
      <c r="Q12" s="11" t="n"/>
      <c r="R12" s="11" t="inlineStr">
        <is>
          <t>交通：2024〜2028年度の5年。計画ページ https://www.city.rikuzentakata.iwate.jp/soshiki/machizukurisuishinka/seikatsukankyokakari/3/8100.html 。環境：環境基本計画は検索で確認できず（まちづくり総合計画・SDGs未来都市計画で代替か）。</t>
        </is>
      </c>
      <c r="S12" s="15" t="inlineStr">
        <is>
          <t>調査済</t>
        </is>
      </c>
      <c r="T12" s="11" t="inlineStr">
        <is>
          <t>掲載（広域：三陸鉄道沿線地域等）</t>
        </is>
      </c>
    </row>
    <row r="13">
      <c r="A13" s="11" t="n">
        <v>10</v>
      </c>
      <c r="B13" s="11" t="inlineStr">
        <is>
          <t>釜石市</t>
        </is>
      </c>
      <c r="C13" s="12">
        <f>IF(OR(D13="◎",E13="◎"),"◎ 営業",IF(OR(D13="△",E13="△"),"△ 着手済・要確認",IF(OR(D13="？",E13="？"),"？ 期間要確認","✕ 対象外")))</f>
        <v/>
      </c>
      <c r="D13" s="13">
        <f>IF(J13="計画なし","－",IF(J13="策定済","✕",IF(H13="","？",IF(AND(H13&gt;=TGT_MIN,H13&lt;=TGT_MAX),IF(J13="着手済","△","◎"),"✕"))))</f>
        <v/>
      </c>
      <c r="E13" s="13">
        <f>IF(P13="計画なし","－",IF(P13="策定済","✕",IF(N13="","？",IF(AND(N13&gt;=TGT_MIN,N13&lt;=TGT_MAX),IF(P13="着手済","△","◎"),"✕"))))</f>
        <v/>
      </c>
      <c r="F13" s="11" t="inlineStr">
        <is>
          <t>釜石市地域公共交通計画（R6.1一部改訂）</t>
        </is>
      </c>
      <c r="G13" s="11" t="inlineStr">
        <is>
          <t>R3〜R7</t>
        </is>
      </c>
      <c r="H13" s="13" t="n">
        <v>7</v>
      </c>
      <c r="I13" s="13" t="inlineStr">
        <is>
          <t>確認済</t>
        </is>
      </c>
      <c r="J13" s="13" t="inlineStr">
        <is>
          <t>未確認</t>
        </is>
      </c>
      <c r="K13" s="14" t="inlineStr">
        <is>
          <t>https://www.city.kamaishi.iwate.jp/docs/2021040500020/file_contents/001.pdf</t>
        </is>
      </c>
      <c r="L13" s="11" t="inlineStr">
        <is>
          <t>第二次釜石市環境基本計画</t>
        </is>
      </c>
      <c r="M13" s="11" t="inlineStr">
        <is>
          <t>R5〜R12</t>
        </is>
      </c>
      <c r="N13" s="13" t="n">
        <v>12</v>
      </c>
      <c r="O13" s="13" t="inlineStr">
        <is>
          <t>確認済</t>
        </is>
      </c>
      <c r="P13" s="13" t="inlineStr">
        <is>
          <t>未確認</t>
        </is>
      </c>
      <c r="Q13" s="14" t="inlineStr">
        <is>
          <t>https://www.city.kamaishi.iwate.jp/docs/2023110200014/</t>
        </is>
      </c>
      <c r="R13" s="11" t="inlineStr">
        <is>
          <t>交通：R3〜R7で終期経過。R8.2施政方針でも現計画に基づく取組を記載、次期計画の策定・延長は検索で確認できず。環境：2023〜2030の8年、中間見直し予定。</t>
        </is>
      </c>
      <c r="S13" s="15" t="inlineStr">
        <is>
          <t>調査済</t>
        </is>
      </c>
      <c r="T13" s="11" t="inlineStr">
        <is>
          <t>掲載（広域：三陸鉄道沿線地域等）</t>
        </is>
      </c>
    </row>
    <row r="14">
      <c r="A14" s="11" t="n">
        <v>11</v>
      </c>
      <c r="B14" s="11" t="inlineStr">
        <is>
          <t>二戸市</t>
        </is>
      </c>
      <c r="C14" s="12">
        <f>IF(OR(D14="◎",E14="◎"),"◎ 営業",IF(OR(D14="△",E14="△"),"△ 着手済・要確認",IF(OR(D14="？",E14="？"),"？ 期間要確認","✕ 対象外")))</f>
        <v/>
      </c>
      <c r="D14" s="13">
        <f>IF(J14="計画なし","－",IF(J14="策定済","✕",IF(H14="","？",IF(AND(H14&gt;=TGT_MIN,H14&lt;=TGT_MAX),IF(J14="着手済","△","◎"),"✕"))))</f>
        <v/>
      </c>
      <c r="E14" s="13">
        <f>IF(P14="計画なし","－",IF(P14="策定済","✕",IF(N14="","？",IF(AND(N14&gt;=TGT_MIN,N14&lt;=TGT_MAX),IF(P14="着手済","△","◎"),"✕"))))</f>
        <v/>
      </c>
      <c r="F14" s="11" t="inlineStr">
        <is>
          <t>二戸市地域公共交通計画</t>
        </is>
      </c>
      <c r="G14" s="11" t="inlineStr">
        <is>
          <t>不明</t>
        </is>
      </c>
      <c r="H14" s="13" t="n"/>
      <c r="I14" s="13" t="inlineStr">
        <is>
          <t>不明</t>
        </is>
      </c>
      <c r="J14" s="13" t="inlineStr">
        <is>
          <t>未確認</t>
        </is>
      </c>
      <c r="K14" s="14" t="inlineStr">
        <is>
          <t>https://www.city.ninohe.lg.jp/info/2661</t>
        </is>
      </c>
      <c r="L14" s="11" t="n"/>
      <c r="M14" s="11" t="inlineStr">
        <is>
          <t>不明</t>
        </is>
      </c>
      <c r="N14" s="13" t="n"/>
      <c r="O14" s="13" t="inlineStr">
        <is>
          <t>不明</t>
        </is>
      </c>
      <c r="P14" s="13" t="inlineStr">
        <is>
          <t>計画なし</t>
        </is>
      </c>
      <c r="Q14" s="11" t="n"/>
      <c r="R14" s="11" t="inlineStr">
        <is>
          <t>交通：計画ページ（2021.6.30掲載）あり、期間は検索結果で確認できず（R3策定なら5年でR7終期の可能性）。環境：環境基本計画は検索で確認できず。</t>
        </is>
      </c>
      <c r="S14" s="15" t="inlineStr">
        <is>
          <t>調査済</t>
        </is>
      </c>
      <c r="T14" s="11" t="inlineStr">
        <is>
          <t>掲載</t>
        </is>
      </c>
    </row>
    <row r="15">
      <c r="A15" s="11" t="n">
        <v>12</v>
      </c>
      <c r="B15" s="11" t="inlineStr">
        <is>
          <t>八幡平市</t>
        </is>
      </c>
      <c r="C15" s="12">
        <f>IF(OR(D15="◎",E15="◎"),"◎ 営業",IF(OR(D15="△",E15="△"),"△ 着手済・要確認",IF(OR(D15="？",E15="？"),"？ 期間要確認","✕ 対象外")))</f>
        <v/>
      </c>
      <c r="D15" s="13">
        <f>IF(J15="計画なし","－",IF(J15="策定済","✕",IF(H15="","？",IF(AND(H15&gt;=TGT_MIN,H15&lt;=TGT_MAX),IF(J15="着手済","△","◎"),"✕"))))</f>
        <v/>
      </c>
      <c r="E15" s="13">
        <f>IF(P15="計画なし","－",IF(P15="策定済","✕",IF(N15="","？",IF(AND(N15&gt;=TGT_MIN,N15&lt;=TGT_MAX),IF(P15="着手済","△","◎"),"✕"))))</f>
        <v/>
      </c>
      <c r="F15" s="11" t="inlineStr">
        <is>
          <t>八幡平市地域公共交通計画</t>
        </is>
      </c>
      <c r="G15" s="11" t="inlineStr">
        <is>
          <t>R6〜R12</t>
        </is>
      </c>
      <c r="H15" s="13" t="n">
        <v>12</v>
      </c>
      <c r="I15" s="13" t="inlineStr">
        <is>
          <t>確認済</t>
        </is>
      </c>
      <c r="J15" s="13" t="inlineStr">
        <is>
          <t>未確認</t>
        </is>
      </c>
      <c r="K15" s="14" t="inlineStr">
        <is>
          <t>https://www.city.hachimantai.lg.jp/soshiki/machi/1517.html</t>
        </is>
      </c>
      <c r="L15" s="11" t="inlineStr">
        <is>
          <t>第2次八幡平市環境基本計画</t>
        </is>
      </c>
      <c r="M15" s="11" t="inlineStr">
        <is>
          <t>R4〜R13</t>
        </is>
      </c>
      <c r="N15" s="13" t="n">
        <v>13</v>
      </c>
      <c r="O15" s="13" t="inlineStr">
        <is>
          <t>確認済</t>
        </is>
      </c>
      <c r="P15" s="13" t="inlineStr">
        <is>
          <t>未確認</t>
        </is>
      </c>
      <c r="Q15" s="14" t="inlineStr">
        <is>
          <t>https://www.city.hachimantai.lg.jp/uploaded/attachment/13185.pdf</t>
        </is>
      </c>
      <c r="R15" s="11" t="inlineStr">
        <is>
          <t>交通：2024年3月策定、R6〜R12の7年。環境：R4.7策定、R4〜R13、区域施策編を内包。e_urlは案段階PDF。</t>
        </is>
      </c>
      <c r="S15" s="15" t="inlineStr">
        <is>
          <t>調査済</t>
        </is>
      </c>
      <c r="T15" s="11" t="inlineStr">
        <is>
          <t>掲載</t>
        </is>
      </c>
    </row>
    <row r="16">
      <c r="A16" s="11" t="n">
        <v>13</v>
      </c>
      <c r="B16" s="11" t="inlineStr">
        <is>
          <t>奥州市</t>
        </is>
      </c>
      <c r="C16" s="12">
        <f>IF(OR(D16="◎",E16="◎"),"◎ 営業",IF(OR(D16="△",E16="△"),"△ 着手済・要確認",IF(OR(D16="？",E16="？"),"？ 期間要確認","✕ 対象外")))</f>
        <v/>
      </c>
      <c r="D16" s="13">
        <f>IF(J16="計画なし","－",IF(J16="策定済","✕",IF(H16="","？",IF(AND(H16&gt;=TGT_MIN,H16&lt;=TGT_MAX),IF(J16="着手済","△","◎"),"✕"))))</f>
        <v/>
      </c>
      <c r="E16" s="13">
        <f>IF(P16="計画なし","－",IF(P16="策定済","✕",IF(N16="","？",IF(AND(N16&gt;=TGT_MIN,N16&lt;=TGT_MAX),IF(P16="着手済","△","◎"),"✕"))))</f>
        <v/>
      </c>
      <c r="F16" s="11" t="inlineStr">
        <is>
          <t>奥州市地域公共交通計画（第4次奥州市バス交通計画）</t>
        </is>
      </c>
      <c r="G16" s="11" t="inlineStr">
        <is>
          <t>R6〜R10</t>
        </is>
      </c>
      <c r="H16" s="13" t="n">
        <v>10</v>
      </c>
      <c r="I16" s="13" t="inlineStr">
        <is>
          <t>確認済</t>
        </is>
      </c>
      <c r="J16" s="13" t="inlineStr">
        <is>
          <t>未確認</t>
        </is>
      </c>
      <c r="K16" s="14" t="inlineStr">
        <is>
          <t>https://www.city.oshu.iwate.jp/soshiki/2/1004/12523.html</t>
        </is>
      </c>
      <c r="L16" s="11" t="inlineStr">
        <is>
          <t>第2次奥州市環境基本計画（R4.3改定）</t>
        </is>
      </c>
      <c r="M16" s="11" t="inlineStr">
        <is>
          <t>H29〜R8</t>
        </is>
      </c>
      <c r="N16" s="13" t="n">
        <v>8</v>
      </c>
      <c r="O16" s="13" t="inlineStr">
        <is>
          <t>確認済</t>
        </is>
      </c>
      <c r="P16" s="13" t="inlineStr">
        <is>
          <t>着手済</t>
        </is>
      </c>
      <c r="Q16" s="14" t="inlineStr">
        <is>
          <t>https://www.city.oshu.iwate.jp/material/files/group/183/dai2jikankyoukihonnkeikaku_GX.pdf</t>
        </is>
      </c>
      <c r="R16" s="11" t="inlineStr">
        <is>
          <t>交通：R6.3策定、変更あり https://www.city.oshu.iwate.jp/soshiki/2/1004/17684.html 。R6〜R10（県計画との整合）。県利便増進実施計画（奥州市版）R8.2 https://www.city.oshu.iwate.jp/soshiki/2/1004/17721.html 。環境：R8年度終期。R7年度に基礎調査委託、R8年度素案策定、R9.4から第3次計画（区域施策編含む）開始予定（市議会建設環境常任委員会R6.10.8会議録 https://www.city.oshu.iwate.jp/material/files/group/76/202410080000001.pdf ）。</t>
        </is>
      </c>
      <c r="S16" s="15" t="inlineStr">
        <is>
          <t>調査済</t>
        </is>
      </c>
      <c r="T16" s="11" t="inlineStr">
        <is>
          <t>掲載</t>
        </is>
      </c>
    </row>
    <row r="17">
      <c r="A17" s="11" t="n">
        <v>14</v>
      </c>
      <c r="B17" s="11" t="inlineStr">
        <is>
          <t>滝沢市</t>
        </is>
      </c>
      <c r="C17" s="12">
        <f>IF(OR(D17="◎",E17="◎"),"◎ 営業",IF(OR(D17="△",E17="△"),"△ 着手済・要確認",IF(OR(D17="？",E17="？"),"？ 期間要確認","✕ 対象外")))</f>
        <v/>
      </c>
      <c r="D17" s="13">
        <f>IF(J17="計画なし","－",IF(J17="策定済","✕",IF(H17="","？",IF(AND(H17&gt;=TGT_MIN,H17&lt;=TGT_MAX),IF(J17="着手済","△","◎"),"✕"))))</f>
        <v/>
      </c>
      <c r="E17" s="13">
        <f>IF(P17="計画なし","－",IF(P17="策定済","✕",IF(N17="","？",IF(AND(N17&gt;=TGT_MIN,N17&lt;=TGT_MAX),IF(P17="着手済","△","◎"),"✕"))))</f>
        <v/>
      </c>
      <c r="F17" s="11" t="inlineStr">
        <is>
          <t>盛岡都市圏地域公共交通計画（盛岡市・滝沢市・矢巾町共同）</t>
        </is>
      </c>
      <c r="G17" s="11" t="inlineStr">
        <is>
          <t>R8〜R12</t>
        </is>
      </c>
      <c r="H17" s="13" t="n">
        <v>12</v>
      </c>
      <c r="I17" s="13" t="inlineStr">
        <is>
          <t>確認済</t>
        </is>
      </c>
      <c r="J17" s="13" t="inlineStr">
        <is>
          <t>策定済</t>
        </is>
      </c>
      <c r="K17" s="14" t="inlineStr">
        <is>
          <t>https://www.city.morioka.iwate.jp/_res/projects/default_project/_page_/001/043/162/R7honpen.pdf</t>
        </is>
      </c>
      <c r="L17" s="11" t="inlineStr">
        <is>
          <t>第1次滝沢市環境基本計画</t>
        </is>
      </c>
      <c r="M17" s="11" t="inlineStr">
        <is>
          <t>R5〜R12</t>
        </is>
      </c>
      <c r="N17" s="13" t="n">
        <v>12</v>
      </c>
      <c r="O17" s="13" t="inlineStr">
        <is>
          <t>確認済</t>
        </is>
      </c>
      <c r="P17" s="13" t="inlineStr">
        <is>
          <t>未確認</t>
        </is>
      </c>
      <c r="Q17" s="14" t="inlineStr">
        <is>
          <t>https://www.city.takizawa.iwate.jp/kurashi/kankyo/contents-12768/p20241204162009</t>
        </is>
      </c>
      <c r="R17" s="11" t="inlineStr">
        <is>
          <t>交通：3市町共同の都市圏計画（R7.9公表）。滝沢市側資料 https://www.city.takizawa.iwate.jp/uploads/contents/pages_0000002369_00/【資料3】次期地域公共交通計画の検討状況及び現行計画の変更等について.pdf 。環境：R5.3策定、R5〜R12の8年。</t>
        </is>
      </c>
      <c r="S17" s="15" t="inlineStr">
        <is>
          <t>調査済</t>
        </is>
      </c>
      <c r="T17" s="11" t="inlineStr">
        <is>
          <t>掲載（広域：盛岡市・滝沢市・矢巾町）</t>
        </is>
      </c>
    </row>
    <row r="18">
      <c r="A18" s="11" t="n">
        <v>15</v>
      </c>
      <c r="B18" s="11" t="inlineStr">
        <is>
          <t>雫石町</t>
        </is>
      </c>
      <c r="C18" s="12">
        <f>IF(OR(D18="◎",E18="◎"),"◎ 営業",IF(OR(D18="△",E18="△"),"△ 着手済・要確認",IF(OR(D18="？",E18="？"),"？ 期間要確認","✕ 対象外")))</f>
        <v/>
      </c>
      <c r="D18" s="13">
        <f>IF(J18="計画なし","－",IF(J18="策定済","✕",IF(H18="","？",IF(AND(H18&gt;=TGT_MIN,H18&lt;=TGT_MAX),IF(J18="着手済","△","◎"),"✕"))))</f>
        <v/>
      </c>
      <c r="E18" s="13">
        <f>IF(P18="計画なし","－",IF(P18="策定済","✕",IF(N18="","？",IF(AND(N18&gt;=TGT_MIN,N18&lt;=TGT_MAX),IF(P18="着手済","△","◎"),"✕"))))</f>
        <v/>
      </c>
      <c r="F18" s="11" t="inlineStr">
        <is>
          <t>第2次雫石町地域公共交通計画</t>
        </is>
      </c>
      <c r="G18" s="11" t="inlineStr">
        <is>
          <t>R7〜R11</t>
        </is>
      </c>
      <c r="H18" s="13" t="n">
        <v>11</v>
      </c>
      <c r="I18" s="13" t="inlineStr">
        <is>
          <t>確認済</t>
        </is>
      </c>
      <c r="J18" s="13" t="inlineStr">
        <is>
          <t>策定済</t>
        </is>
      </c>
      <c r="K18" s="14" t="inlineStr">
        <is>
          <t>https://www.town.shizukuishi.iwate.jp/docs/2021101200012/file_contents/honpen.pdf</t>
        </is>
      </c>
      <c r="L18" s="11" t="inlineStr">
        <is>
          <t>第二期雫石町環境基本計画</t>
        </is>
      </c>
      <c r="M18" s="11" t="inlineStr">
        <is>
          <t>R3〜R10</t>
        </is>
      </c>
      <c r="N18" s="13" t="n">
        <v>10</v>
      </c>
      <c r="O18" s="13" t="inlineStr">
        <is>
          <t>確認済</t>
        </is>
      </c>
      <c r="P18" s="13" t="inlineStr">
        <is>
          <t>未確認</t>
        </is>
      </c>
      <c r="Q18" s="14" t="inlineStr">
        <is>
          <t>https://www.town.shizukuishi.iwate.jp/docs/2016050600013/file_contents/kankyoukihonkeikaku.pdf</t>
        </is>
      </c>
      <c r="R18" s="11" t="inlineStr">
        <is>
          <t>交通：第1次R3.5〜R6.3、第2次（R7〜R11）はパブコメR7.3.17締切で策定 https://www.town.shizukuishi.iwate.jp/docs/2025021300036/ 。環境：R3.5策定、終期は検索で未確認（10年ならR12）。 【追加調査 2026-10】環境：第二期雫石町環境基本計画（R3.5策定）、計画期間R3〜R10（2021〜2028年度、8年間）。町サイト限定検索2回の取得本文で一致して確認。中間見直し規定あり。終期R10のため次期計画の着手状況は未調査。確認日2026-10-02。URL: https://www.town.shizukuishi.iwate.jp/docs/2016050600013/file_contents/kankyoukihonkeikaku.pdf 根拠: 計画期間は2021年度（令和3年度）から2028年度（令和10年度）までの8年間（検索取得本文の要約）</t>
        </is>
      </c>
      <c r="S18" s="15" t="inlineStr">
        <is>
          <t>調査済</t>
        </is>
      </c>
      <c r="T18" s="11" t="inlineStr">
        <is>
          <t>掲載</t>
        </is>
      </c>
    </row>
    <row r="19">
      <c r="A19" s="11" t="n">
        <v>16</v>
      </c>
      <c r="B19" s="11" t="inlineStr">
        <is>
          <t>葛巻町</t>
        </is>
      </c>
      <c r="C19" s="12">
        <f>IF(OR(D19="◎",E19="◎"),"◎ 営業",IF(OR(D19="△",E19="△"),"△ 着手済・要確認",IF(OR(D19="？",E19="？"),"？ 期間要確認","✕ 対象外")))</f>
        <v/>
      </c>
      <c r="D19" s="13">
        <f>IF(J19="計画なし","－",IF(J19="策定済","✕",IF(H19="","？",IF(AND(H19&gt;=TGT_MIN,H19&lt;=TGT_MAX),IF(J19="着手済","△","◎"),"✕"))))</f>
        <v/>
      </c>
      <c r="E19" s="13">
        <f>IF(P19="計画なし","－",IF(P19="策定済","✕",IF(N19="","？",IF(AND(N19&gt;=TGT_MIN,N19&lt;=TGT_MAX),IF(P19="着手済","△","◎"),"✕"))))</f>
        <v/>
      </c>
      <c r="F19" s="11" t="n"/>
      <c r="G19" s="11" t="inlineStr">
        <is>
          <t>不明</t>
        </is>
      </c>
      <c r="H19" s="13" t="n"/>
      <c r="I19" s="13" t="inlineStr">
        <is>
          <t>不明</t>
        </is>
      </c>
      <c r="J19" s="13" t="inlineStr">
        <is>
          <t>計画なし</t>
        </is>
      </c>
      <c r="K19" s="11" t="n"/>
      <c r="L19" s="11" t="n"/>
      <c r="M19" s="11" t="inlineStr">
        <is>
          <t>不明</t>
        </is>
      </c>
      <c r="N19" s="13" t="n"/>
      <c r="O19" s="13" t="inlineStr">
        <is>
          <t>不明</t>
        </is>
      </c>
      <c r="P19" s="13" t="inlineStr">
        <is>
          <t>計画なし</t>
        </is>
      </c>
      <c r="Q19" s="11" t="n"/>
      <c r="R19" s="11" t="inlineStr">
        <is>
          <t>交通・環境とも町サイト検索で計画を確認できず（公共交通マップのみ https://www.town.kuzumaki.iwate.jp/docs/2015102200249/ ）。県の地域公共交通計画でカバーされる可能性。</t>
        </is>
      </c>
      <c r="S19" s="18" t="inlineStr">
        <is>
          <t>環境のみ調査</t>
        </is>
      </c>
      <c r="T19" s="11" t="inlineStr">
        <is>
          <t>未掲載</t>
        </is>
      </c>
    </row>
    <row r="20">
      <c r="A20" s="11" t="n">
        <v>17</v>
      </c>
      <c r="B20" s="11" t="inlineStr">
        <is>
          <t>岩手町</t>
        </is>
      </c>
      <c r="C20" s="12">
        <f>IF(OR(D20="◎",E20="◎"),"◎ 営業",IF(OR(D20="△",E20="△"),"△ 着手済・要確認",IF(OR(D20="？",E20="？"),"？ 期間要確認","✕ 対象外")))</f>
        <v/>
      </c>
      <c r="D20" s="13">
        <f>IF(J20="計画なし","－",IF(J20="策定済","✕",IF(H20="","？",IF(AND(H20&gt;=TGT_MIN,H20&lt;=TGT_MAX),IF(J20="着手済","△","◎"),"✕"))))</f>
        <v/>
      </c>
      <c r="E20" s="13">
        <f>IF(P20="計画なし","－",IF(P20="策定済","✕",IF(N20="","？",IF(AND(N20&gt;=TGT_MIN,N20&lt;=TGT_MAX),IF(P20="着手済","△","◎"),"✕"))))</f>
        <v/>
      </c>
      <c r="F20" s="11" t="inlineStr">
        <is>
          <t>岩手町地域公共交通計画</t>
        </is>
      </c>
      <c r="G20" s="11" t="inlineStr">
        <is>
          <t>R4〜R8</t>
        </is>
      </c>
      <c r="H20" s="13" t="n">
        <v>8</v>
      </c>
      <c r="I20" s="13" t="inlineStr">
        <is>
          <t>確認済</t>
        </is>
      </c>
      <c r="J20" s="13" t="inlineStr">
        <is>
          <t>未確認</t>
        </is>
      </c>
      <c r="K20" s="14" t="inlineStr">
        <is>
          <t>https://town.iwate.iwate.jp/town/gyosei/koutsuumoukeisei2017-2021/</t>
        </is>
      </c>
      <c r="L20" s="11" t="n"/>
      <c r="M20" s="11" t="inlineStr">
        <is>
          <t>不明</t>
        </is>
      </c>
      <c r="N20" s="13" t="n"/>
      <c r="O20" s="13" t="inlineStr">
        <is>
          <t>不明</t>
        </is>
      </c>
      <c r="P20" s="13" t="inlineStr">
        <is>
          <t>計画なし</t>
        </is>
      </c>
      <c r="Q20" s="11" t="n"/>
      <c r="R20" s="11" t="inlineStr">
        <is>
          <t>交通：R4.4策定、2022〜2026年度でR8終期。県協議会資料に「令和8年度から令和12年度」との記載があり https://www.pref.iwate.jp/_res/projects/default_project/_page_/001/032/597/1127siryou5.pdf 、次期計画との関係は要確認。環境：環境基本計画は確認できず（SDGs未来都市計画あり）。</t>
        </is>
      </c>
      <c r="S20" s="15" t="inlineStr">
        <is>
          <t>調査済</t>
        </is>
      </c>
      <c r="T20" s="11" t="inlineStr">
        <is>
          <t>掲載</t>
        </is>
      </c>
    </row>
    <row r="21">
      <c r="A21" s="11" t="n">
        <v>18</v>
      </c>
      <c r="B21" s="11" t="inlineStr">
        <is>
          <t>紫波町</t>
        </is>
      </c>
      <c r="C21" s="12">
        <f>IF(OR(D21="◎",E21="◎"),"◎ 営業",IF(OR(D21="△",E21="△"),"△ 着手済・要確認",IF(OR(D21="？",E21="？"),"？ 期間要確認","✕ 対象外")))</f>
        <v/>
      </c>
      <c r="D21" s="13">
        <f>IF(J21="計画なし","－",IF(J21="策定済","✕",IF(H21="","？",IF(AND(H21&gt;=TGT_MIN,H21&lt;=TGT_MAX),IF(J21="着手済","△","◎"),"✕"))))</f>
        <v/>
      </c>
      <c r="E21" s="13">
        <f>IF(P21="計画なし","－",IF(P21="策定済","✕",IF(N21="","？",IF(AND(N21&gt;=TGT_MIN,N21&lt;=TGT_MAX),IF(P21="着手済","△","◎"),"✕"))))</f>
        <v/>
      </c>
      <c r="F21" s="11" t="inlineStr">
        <is>
          <t>紫波町地域公共交通計画</t>
        </is>
      </c>
      <c r="G21" s="11" t="inlineStr">
        <is>
          <t>R6〜R10</t>
        </is>
      </c>
      <c r="H21" s="13" t="n">
        <v>10</v>
      </c>
      <c r="I21" s="13" t="inlineStr">
        <is>
          <t>確認済</t>
        </is>
      </c>
      <c r="J21" s="13" t="inlineStr">
        <is>
          <t>未確認</t>
        </is>
      </c>
      <c r="K21" s="14" t="inlineStr">
        <is>
          <t>https://www.town.shiwa.iwate.jp/shiwatown/cms/soshiki/4/2_99/koukyoukoutsukeikaku.pdf</t>
        </is>
      </c>
      <c r="L21" s="11" t="inlineStr">
        <is>
          <t>紫波2100 2026環境・循環基本計画（2021環境・循環基本計画の中間見直し版）</t>
        </is>
      </c>
      <c r="M21" s="11" t="inlineStr">
        <is>
          <t>R8〜R12</t>
        </is>
      </c>
      <c r="N21" s="13" t="n">
        <v>12</v>
      </c>
      <c r="O21" s="13" t="inlineStr">
        <is>
          <t>確認済</t>
        </is>
      </c>
      <c r="P21" s="13" t="inlineStr">
        <is>
          <t>策定済</t>
        </is>
      </c>
      <c r="Q21" s="14" t="inlineStr">
        <is>
          <t>https://www.town.shiwa.iwate.jp/shiwatown/cms/soshiki/2_1/2_3/2026%E7%92%B0%E5%A2%83%E3%83%BB%E5%BE%AA%E7%92%B0%E5%9F%BA%E6%9C%AC%E8%A8%88%E7%94%BB%EF%BC%88%E6%9C%80%E7%B5%82%E8%AA%BF%E6%95%B4%EF%BC%89_20260316_%E7%A2%BA%E5%AE%9A.pdf</t>
        </is>
      </c>
      <c r="R21" s="11" t="inlineStr">
        <is>
          <t>交通：R6.3策定、R6〜R10。環境：環境・循環基本計画（2021年関連）の存在は示唆されるが期間・URLは確認できず。 【追加調査 2026-10】環境：2021環境・循環基本計画（R3.3策定、R3〜R12）の中間見直しとして2026版を策定。意見公募R7.11.14〜R7.12.3（https://www.town.shiwa.iwate.jp/soshiki/2_1/2_3/173492829222563-2/ ）、確定版PDF（20260316確定）。計画期間R8〜R12（5年間）。計画一覧 https://www.town.shiwa.iwate.jp/soshiki/2_1/2_3/452.html/ に2011版(H23〜R2)・2016版・2021版(R3〜R12)・2026版(R8〜R12)。確認日2026-10-02。 根拠: 計画期間は5年間とし、令和8（2026）年度を初年度、令和12（2030）年度を目標年度とします（意見公募ページ取得本文の要約）</t>
        </is>
      </c>
      <c r="S21" s="15" t="inlineStr">
        <is>
          <t>調査済</t>
        </is>
      </c>
      <c r="T21" s="11" t="inlineStr">
        <is>
          <t>掲載</t>
        </is>
      </c>
    </row>
    <row r="22">
      <c r="A22" s="11" t="n">
        <v>19</v>
      </c>
      <c r="B22" s="11" t="inlineStr">
        <is>
          <t>矢巾町</t>
        </is>
      </c>
      <c r="C22" s="12">
        <f>IF(OR(D22="◎",E22="◎"),"◎ 営業",IF(OR(D22="△",E22="△"),"△ 着手済・要確認",IF(OR(D22="？",E22="？"),"？ 期間要確認","✕ 対象外")))</f>
        <v/>
      </c>
      <c r="D22" s="13">
        <f>IF(J22="計画なし","－",IF(J22="策定済","✕",IF(H22="","？",IF(AND(H22&gt;=TGT_MIN,H22&lt;=TGT_MAX),IF(J22="着手済","△","◎"),"✕"))))</f>
        <v/>
      </c>
      <c r="E22" s="13">
        <f>IF(P22="計画なし","－",IF(P22="策定済","✕",IF(N22="","？",IF(AND(N22&gt;=TGT_MIN,N22&lt;=TGT_MAX),IF(P22="着手済","△","◎"),"✕"))))</f>
        <v/>
      </c>
      <c r="F22" s="11" t="inlineStr">
        <is>
          <t>盛岡都市圏地域公共交通計画（盛岡市・滝沢市・矢巾町共同）</t>
        </is>
      </c>
      <c r="G22" s="11" t="inlineStr">
        <is>
          <t>R8〜R12</t>
        </is>
      </c>
      <c r="H22" s="13" t="n">
        <v>12</v>
      </c>
      <c r="I22" s="13" t="inlineStr">
        <is>
          <t>確認済</t>
        </is>
      </c>
      <c r="J22" s="13" t="inlineStr">
        <is>
          <t>策定済</t>
        </is>
      </c>
      <c r="K22" s="14" t="inlineStr">
        <is>
          <t>https://www.city.morioka.iwate.jp/_res/projects/default_project/_page_/001/043/162/R7honpen.pdf</t>
        </is>
      </c>
      <c r="L22" s="11" t="n"/>
      <c r="M22" s="11" t="inlineStr">
        <is>
          <t>不明</t>
        </is>
      </c>
      <c r="N22" s="13" t="n"/>
      <c r="O22" s="13" t="inlineStr">
        <is>
          <t>不明</t>
        </is>
      </c>
      <c r="P22" s="13" t="inlineStr">
        <is>
          <t>計画なし</t>
        </is>
      </c>
      <c r="Q22" s="11" t="n"/>
      <c r="R22" s="11" t="inlineStr">
        <is>
          <t>交通：3市町共同の都市圏計画（R7.9公表）。環境：環境基本計画は確認できず（人と自然にやさしい環境基本条例、新エネルギービジョンR3改訂版 https://www.town.yahaba.iwate.jp/yahabatown/switch/2022/2022060800015/yahaba_newenergyvision.pdf ）。</t>
        </is>
      </c>
      <c r="S22" s="15" t="inlineStr">
        <is>
          <t>調査済</t>
        </is>
      </c>
      <c r="T22" s="11" t="inlineStr">
        <is>
          <t>掲載（広域：盛岡市・滝沢市・矢巾町）</t>
        </is>
      </c>
    </row>
    <row r="23">
      <c r="A23" s="11" t="n">
        <v>20</v>
      </c>
      <c r="B23" s="11" t="inlineStr">
        <is>
          <t>西和賀町</t>
        </is>
      </c>
      <c r="C23" s="12">
        <f>IF(OR(D23="◎",E23="◎"),"◎ 営業",IF(OR(D23="△",E23="△"),"△ 着手済・要確認",IF(OR(D23="？",E23="？"),"？ 期間要確認","✕ 対象外")))</f>
        <v/>
      </c>
      <c r="D23" s="13">
        <f>IF(J23="計画なし","－",IF(J23="策定済","✕",IF(H23="","？",IF(AND(H23&gt;=TGT_MIN,H23&lt;=TGT_MAX),IF(J23="着手済","△","◎"),"✕"))))</f>
        <v/>
      </c>
      <c r="E23" s="13">
        <f>IF(P23="計画なし","－",IF(P23="策定済","✕",IF(N23="","？",IF(AND(N23&gt;=TGT_MIN,N23&lt;=TGT_MAX),IF(P23="着手済","△","◎"),"✕"))))</f>
        <v/>
      </c>
      <c r="F23" s="11" t="inlineStr">
        <is>
          <t>西和賀町地域公共交通計画</t>
        </is>
      </c>
      <c r="G23" s="11" t="inlineStr">
        <is>
          <t>R5〜（終期不明）</t>
        </is>
      </c>
      <c r="H23" s="13" t="n"/>
      <c r="I23" s="13" t="inlineStr">
        <is>
          <t>不明</t>
        </is>
      </c>
      <c r="J23" s="13" t="inlineStr">
        <is>
          <t>未確認</t>
        </is>
      </c>
      <c r="K23" s="14" t="inlineStr">
        <is>
          <t>https://www.town.nishiwaga.lg.jp/material/files/group/1/2306nishiwagakotsukeikaku.pdf</t>
        </is>
      </c>
      <c r="L23" s="11" t="n"/>
      <c r="M23" s="11" t="inlineStr">
        <is>
          <t>不明</t>
        </is>
      </c>
      <c r="N23" s="13" t="n"/>
      <c r="O23" s="13" t="inlineStr">
        <is>
          <t>不明</t>
        </is>
      </c>
      <c r="P23" s="13" t="inlineStr">
        <is>
          <t>計画なし</t>
        </is>
      </c>
      <c r="Q23" s="11" t="n"/>
      <c r="R23" s="11" t="inlineStr">
        <is>
          <t>交通：R5.6策定、R7.1.24協議会で一部改正。期間は検索結果で未確認（5年ならR5〜R9の可能性、要確認）。環境：環境基本計画は確認できず。</t>
        </is>
      </c>
      <c r="S23" s="15" t="inlineStr">
        <is>
          <t>調査済</t>
        </is>
      </c>
      <c r="T23" s="11" t="inlineStr">
        <is>
          <t>掲載</t>
        </is>
      </c>
    </row>
    <row r="24">
      <c r="A24" s="11" t="n">
        <v>21</v>
      </c>
      <c r="B24" s="11" t="inlineStr">
        <is>
          <t>金ケ崎町</t>
        </is>
      </c>
      <c r="C24" s="12">
        <f>IF(OR(D24="◎",E24="◎"),"◎ 営業",IF(OR(D24="△",E24="△"),"△ 着手済・要確認",IF(OR(D24="？",E24="？"),"？ 期間要確認","✕ 対象外")))</f>
        <v/>
      </c>
      <c r="D24" s="13">
        <f>IF(J24="計画なし","－",IF(J24="策定済","✕",IF(H24="","？",IF(AND(H24&gt;=TGT_MIN,H24&lt;=TGT_MAX),IF(J24="着手済","△","◎"),"✕"))))</f>
        <v/>
      </c>
      <c r="E24" s="13">
        <f>IF(P24="計画なし","－",IF(P24="策定済","✕",IF(N24="","？",IF(AND(N24&gt;=TGT_MIN,N24&lt;=TGT_MAX),IF(P24="着手済","△","◎"),"✕"))))</f>
        <v/>
      </c>
      <c r="F24" s="11" t="inlineStr">
        <is>
          <t>金ケ崎町地域公共交通網形成計画</t>
        </is>
      </c>
      <c r="G24" s="11" t="inlineStr">
        <is>
          <t>R2〜R8</t>
        </is>
      </c>
      <c r="H24" s="13" t="n">
        <v>8</v>
      </c>
      <c r="I24" s="13" t="inlineStr">
        <is>
          <t>確認済</t>
        </is>
      </c>
      <c r="J24" s="13" t="inlineStr">
        <is>
          <t>未確認</t>
        </is>
      </c>
      <c r="K24" s="14" t="inlineStr">
        <is>
          <t>https://www.town.kanegasaki.iwate.jp/articles/2020032900015/file_contents/keikaku.pdf</t>
        </is>
      </c>
      <c r="L24" s="11" t="n"/>
      <c r="M24" s="11" t="inlineStr">
        <is>
          <t>不明</t>
        </is>
      </c>
      <c r="N24" s="13" t="n"/>
      <c r="O24" s="13" t="inlineStr">
        <is>
          <t>不明</t>
        </is>
      </c>
      <c r="P24" s="13" t="inlineStr">
        <is>
          <t>計画なし</t>
        </is>
      </c>
      <c r="Q24" s="11" t="n"/>
      <c r="R24" s="11" t="inlineStr">
        <is>
          <t>交通：網形成計画R2〜R8の7年でR8終期、次期計画の委託等は検索で確認できず。環境：環境基本計画は確認できず。代替として地球温暖化対策実行計画（区域施策編）R7〜R12（R6.12策定） https://www.town.kanegasaki.iwate.jp/articles/2025012900047/file_contents/kuikisisakuhen.pdf 。</t>
        </is>
      </c>
      <c r="S24" s="15" t="inlineStr">
        <is>
          <t>調査済</t>
        </is>
      </c>
      <c r="T24" s="11" t="inlineStr">
        <is>
          <t>掲載</t>
        </is>
      </c>
    </row>
    <row r="25">
      <c r="A25" s="11" t="n">
        <v>22</v>
      </c>
      <c r="B25" s="11" t="inlineStr">
        <is>
          <t>平泉町</t>
        </is>
      </c>
      <c r="C25" s="12">
        <f>IF(OR(D25="◎",E25="◎"),"◎ 営業",IF(OR(D25="△",E25="△"),"△ 着手済・要確認",IF(OR(D25="？",E25="？"),"？ 期間要確認","✕ 対象外")))</f>
        <v/>
      </c>
      <c r="D25" s="13">
        <f>IF(J25="計画なし","－",IF(J25="策定済","✕",IF(H25="","？",IF(AND(H25&gt;=TGT_MIN,H25&lt;=TGT_MAX),IF(J25="着手済","△","◎"),"✕"))))</f>
        <v/>
      </c>
      <c r="E25" s="13">
        <f>IF(P25="計画なし","－",IF(P25="策定済","✕",IF(N25="","？",IF(AND(N25&gt;=TGT_MIN,N25&lt;=TGT_MAX),IF(P25="着手済","△","◎"),"✕"))))</f>
        <v/>
      </c>
      <c r="F25" s="11" t="inlineStr">
        <is>
          <t>平泉町地域公共交通計画</t>
        </is>
      </c>
      <c r="G25" s="11" t="inlineStr">
        <is>
          <t>R7〜R11</t>
        </is>
      </c>
      <c r="H25" s="13" t="n">
        <v>11</v>
      </c>
      <c r="I25" s="13" t="inlineStr">
        <is>
          <t>確認済</t>
        </is>
      </c>
      <c r="J25" s="13" t="inlineStr">
        <is>
          <t>策定済</t>
        </is>
      </c>
      <c r="K25" s="14" t="inlineStr">
        <is>
          <t>https://www.town.hiraizumi.iwate.jp/%E5%B9%B3%E6%B3%89%E7%94%BA%E5%9C%B0%E5%9F%9F%E5%85%AC%E5%85%B1%E4%BA%A4%E9%80%9A%E8%A8%88%E7%94%BB%E3%82%92%E7%AD%96%E5%AE%9A%E3%81%97%E3%81%BE%E3%81%97%E3%81%9F-25574/</t>
        </is>
      </c>
      <c r="L25" s="11" t="n"/>
      <c r="M25" s="11" t="inlineStr">
        <is>
          <t>不明</t>
        </is>
      </c>
      <c r="N25" s="13" t="n"/>
      <c r="O25" s="13" t="inlineStr">
        <is>
          <t>不明</t>
        </is>
      </c>
      <c r="P25" s="13" t="inlineStr">
        <is>
          <t>計画なし</t>
        </is>
      </c>
      <c r="Q25" s="11" t="n"/>
      <c r="R25" s="11" t="inlineStr">
        <is>
          <t>交通：R6年度策定支援業務プロポーザルを経てR7年度から5年の計画を策定。環境：環境基本計画は確認できず。</t>
        </is>
      </c>
      <c r="S25" s="15" t="inlineStr">
        <is>
          <t>調査済</t>
        </is>
      </c>
      <c r="T25" s="11" t="inlineStr">
        <is>
          <t>掲載</t>
        </is>
      </c>
    </row>
    <row r="26">
      <c r="A26" s="11" t="n">
        <v>23</v>
      </c>
      <c r="B26" s="11" t="inlineStr">
        <is>
          <t>住田町</t>
        </is>
      </c>
      <c r="C26" s="12">
        <f>IF(OR(D26="◎",E26="◎"),"◎ 営業",IF(OR(D26="△",E26="△"),"△ 着手済・要確認",IF(OR(D26="？",E26="？"),"？ 期間要確認","✕ 対象外")))</f>
        <v/>
      </c>
      <c r="D26" s="13">
        <f>IF(J26="計画なし","－",IF(J26="策定済","✕",IF(H26="","？",IF(AND(H26&gt;=TGT_MIN,H26&lt;=TGT_MAX),IF(J26="着手済","△","◎"),"✕"))))</f>
        <v/>
      </c>
      <c r="E26" s="13">
        <f>IF(P26="計画なし","－",IF(P26="策定済","✕",IF(N26="","？",IF(AND(N26&gt;=TGT_MIN,N26&lt;=TGT_MAX),IF(P26="着手済","△","◎"),"✕"))))</f>
        <v/>
      </c>
      <c r="F26" s="11" t="inlineStr">
        <is>
          <t>住田町地域公共交通計画</t>
        </is>
      </c>
      <c r="G26" s="11" t="inlineStr">
        <is>
          <t>R7〜R11</t>
        </is>
      </c>
      <c r="H26" s="13" t="n">
        <v>11</v>
      </c>
      <c r="I26" s="13" t="inlineStr">
        <is>
          <t>確認済</t>
        </is>
      </c>
      <c r="J26" s="13" t="inlineStr">
        <is>
          <t>策定済</t>
        </is>
      </c>
      <c r="K26" s="14" t="inlineStr">
        <is>
          <t>https://www.town.sumita.iwate.jp/docs/2025040400014/files/tiikikoukyoukoutuukeikaku2025.pdf</t>
        </is>
      </c>
      <c r="L26" s="11" t="inlineStr">
        <is>
          <t>第5次住田町環境基本計画</t>
        </is>
      </c>
      <c r="M26" s="11" t="inlineStr">
        <is>
          <t>R4〜R8</t>
        </is>
      </c>
      <c r="N26" s="16" t="n">
        <v>8</v>
      </c>
      <c r="O26" s="13" t="inlineStr">
        <is>
          <t>推定</t>
        </is>
      </c>
      <c r="P26" s="13" t="inlineStr">
        <is>
          <t>未確認</t>
        </is>
      </c>
      <c r="Q26" s="14" t="inlineStr">
        <is>
          <t>https://www.town.sumita.iwate.jp/docs/2023061500010/files/04_dai4syou.pdf</t>
        </is>
      </c>
      <c r="R26" s="11" t="inlineStr">
        <is>
          <t>交通：2025〜2029年度。環境：R5.6策定、期間は未確認。区域施策編策定支援業務（R7.5）あり https://www.town.sumita.iwate.jp/docs/2025052000011/files/shinsakijun.pdf 。 【追加調査 2026-10】環境：第5次住田町環境基本計画、町の計画・方針一覧（https://www.town.sumita.iwate.jp/docs/2016050600013/ ）の検索要約で『R5.3策定、計画期間R4〜R8』と3回一致して出たが原文スニペットは未取得。計画書公開はR5.6（docs/2023061500010）で、策定時期と始期の整合に疑問が残るため推定（R5〜R9の可能性も残る）。5年計画。次期（第6次）計画の策定業務委託・審議会・パブコメは町サイト検索で見当たらず（未着手か未公表）。関連：地球温暖化対策実行計画（区域施策編）作成支援業務プロポーザルR7.5 https://www.town.sumita.iwate.jp/docs/2025052000011/ 。町HPへの直接取得はプロキシでブロック。確認日2026-10-02。</t>
        </is>
      </c>
      <c r="S26" s="15" t="inlineStr">
        <is>
          <t>調査済</t>
        </is>
      </c>
      <c r="T26" s="11" t="inlineStr">
        <is>
          <t>掲載</t>
        </is>
      </c>
    </row>
    <row r="27">
      <c r="A27" s="11" t="n">
        <v>24</v>
      </c>
      <c r="B27" s="11" t="inlineStr">
        <is>
          <t>大槌町</t>
        </is>
      </c>
      <c r="C27" s="12">
        <f>IF(OR(D27="◎",E27="◎"),"◎ 営業",IF(OR(D27="△",E27="△"),"△ 着手済・要確認",IF(OR(D27="？",E27="？"),"？ 期間要確認","✕ 対象外")))</f>
        <v/>
      </c>
      <c r="D27" s="13">
        <f>IF(J27="計画なし","－",IF(J27="策定済","✕",IF(H27="","？",IF(AND(H27&gt;=TGT_MIN,H27&lt;=TGT_MAX),IF(J27="着手済","△","◎"),"✕"))))</f>
        <v/>
      </c>
      <c r="E27" s="13">
        <f>IF(P27="計画なし","－",IF(P27="策定済","✕",IF(N27="","？",IF(AND(N27&gt;=TGT_MIN,N27&lt;=TGT_MAX),IF(P27="着手済","△","◎"),"✕"))))</f>
        <v/>
      </c>
      <c r="F27" s="11" t="inlineStr">
        <is>
          <t>大槌町地域公共交通計画</t>
        </is>
      </c>
      <c r="G27" s="11" t="inlineStr">
        <is>
          <t>R4〜R8</t>
        </is>
      </c>
      <c r="H27" s="13" t="n">
        <v>8</v>
      </c>
      <c r="I27" s="13" t="inlineStr">
        <is>
          <t>確認済</t>
        </is>
      </c>
      <c r="J27" s="13" t="inlineStr">
        <is>
          <t>着手済</t>
        </is>
      </c>
      <c r="K27" s="14" t="inlineStr">
        <is>
          <t>https://www.town.otsuchi.iwate.jp/fs/2/3/0/5/0/9/_/___________.pdf</t>
        </is>
      </c>
      <c r="L27" s="11" t="n"/>
      <c r="M27" s="11" t="inlineStr">
        <is>
          <t>不明</t>
        </is>
      </c>
      <c r="N27" s="13" t="n"/>
      <c r="O27" s="13" t="inlineStr">
        <is>
          <t>不明</t>
        </is>
      </c>
      <c r="P27" s="13" t="inlineStr">
        <is>
          <t>計画なし</t>
        </is>
      </c>
      <c r="Q27" s="11" t="n"/>
      <c r="R27" s="11" t="inlineStr">
        <is>
          <t>交通：R4〜R8でR8終期、R7.3変更 https://www.town.otsuchi.iwate.jp/gyosei/docs/453169.html 。次期計画の策定支援業務委託の見積合わせを実施（提出期限R8.6.5） https://www.town.otsuchi.iwate.jp/gyosei/docs/462503.html 。三陸鉄道沿線地域等公共交通計画（岩手県・沿線12市町村の広域計画、2024策定） https://www.city.miyako.iwate.jp/gyosei/soshiki/kokyokotsuusuishin/2/1/605.html もカバー。環境：環境基本計画は確認できず。</t>
        </is>
      </c>
      <c r="S27" s="15" t="inlineStr">
        <is>
          <t>調査済</t>
        </is>
      </c>
      <c r="T27" s="11" t="inlineStr">
        <is>
          <t>掲載（広域：三陸鉄道沿線地域等）</t>
        </is>
      </c>
    </row>
    <row r="28">
      <c r="A28" s="11" t="n">
        <v>25</v>
      </c>
      <c r="B28" s="11" t="inlineStr">
        <is>
          <t>山田町</t>
        </is>
      </c>
      <c r="C28" s="12">
        <f>IF(OR(D28="◎",E28="◎"),"◎ 営業",IF(OR(D28="△",E28="△"),"△ 着手済・要確認",IF(OR(D28="？",E28="？"),"？ 期間要確認","✕ 対象外")))</f>
        <v/>
      </c>
      <c r="D28" s="13">
        <f>IF(J28="計画なし","－",IF(J28="策定済","✕",IF(H28="","？",IF(AND(H28&gt;=TGT_MIN,H28&lt;=TGT_MAX),IF(J28="着手済","△","◎"),"✕"))))</f>
        <v/>
      </c>
      <c r="E28" s="13">
        <f>IF(P28="計画なし","－",IF(P28="策定済","✕",IF(N28="","？",IF(AND(N28&gt;=TGT_MIN,N28&lt;=TGT_MAX),IF(P28="着手済","△","◎"),"✕"))))</f>
        <v/>
      </c>
      <c r="F28" s="11" t="inlineStr">
        <is>
          <t>山田町地域公共交通計画</t>
        </is>
      </c>
      <c r="G28" s="11" t="inlineStr">
        <is>
          <t>不明</t>
        </is>
      </c>
      <c r="H28" s="13" t="n"/>
      <c r="I28" s="13" t="inlineStr">
        <is>
          <t>不明</t>
        </is>
      </c>
      <c r="J28" s="13" t="inlineStr">
        <is>
          <t>未確認</t>
        </is>
      </c>
      <c r="K28" s="14" t="inlineStr">
        <is>
          <t>https://www.town.yamada.iwate.jp/fs/1/2/1/7/4/5/_/___________.pdf</t>
        </is>
      </c>
      <c r="L28" s="11" t="n"/>
      <c r="M28" s="11" t="inlineStr">
        <is>
          <t>不明</t>
        </is>
      </c>
      <c r="N28" s="13" t="n"/>
      <c r="O28" s="13" t="inlineStr">
        <is>
          <t>不明</t>
        </is>
      </c>
      <c r="P28" s="13" t="inlineStr">
        <is>
          <t>計画なし</t>
        </is>
      </c>
      <c r="Q28" s="11" t="n"/>
      <c r="R28" s="11" t="inlineStr">
        <is>
          <t>交通：網形成計画（2019.3）の後継として策定、期間未確認。県利便増進実施計画（宮古市・山田町版）あり https://www.town.yamada.iwate.jp/docs/10513.html 。三陸鉄道沿線地域等公共交通計画（岩手県・沿線12市町村の広域計画、2024策定） https://www.city.miyako.iwate.jp/gyosei/soshiki/kokyokotsuusuishin/2/1/605.html もカバー。環境：確認できず。</t>
        </is>
      </c>
      <c r="S28" s="15" t="inlineStr">
        <is>
          <t>調査済</t>
        </is>
      </c>
      <c r="T28" s="11" t="inlineStr">
        <is>
          <t>掲載（広域：三陸鉄道沿線地域等）</t>
        </is>
      </c>
    </row>
    <row r="29">
      <c r="A29" s="11" t="n">
        <v>26</v>
      </c>
      <c r="B29" s="11" t="inlineStr">
        <is>
          <t>岩泉町</t>
        </is>
      </c>
      <c r="C29" s="12">
        <f>IF(OR(D29="◎",E29="◎"),"◎ 営業",IF(OR(D29="△",E29="△"),"△ 着手済・要確認",IF(OR(D29="？",E29="？"),"？ 期間要確認","✕ 対象外")))</f>
        <v/>
      </c>
      <c r="D29" s="13">
        <f>IF(J29="計画なし","－",IF(J29="策定済","✕",IF(H29="","？",IF(AND(H29&gt;=TGT_MIN,H29&lt;=TGT_MAX),IF(J29="着手済","△","◎"),"✕"))))</f>
        <v/>
      </c>
      <c r="E29" s="13">
        <f>IF(P29="計画なし","－",IF(P29="策定済","✕",IF(N29="","？",IF(AND(N29&gt;=TGT_MIN,N29&lt;=TGT_MAX),IF(P29="着手済","△","◎"),"✕"))))</f>
        <v/>
      </c>
      <c r="F29" s="11" t="inlineStr">
        <is>
          <t>岩泉町地域公共交通計画</t>
        </is>
      </c>
      <c r="G29" s="11" t="inlineStr">
        <is>
          <t>R6〜R8</t>
        </is>
      </c>
      <c r="H29" s="13" t="n">
        <v>8</v>
      </c>
      <c r="I29" s="13" t="inlineStr">
        <is>
          <t>確認済</t>
        </is>
      </c>
      <c r="J29" s="13" t="inlineStr">
        <is>
          <t>未確認</t>
        </is>
      </c>
      <c r="K29" s="14" t="inlineStr">
        <is>
          <t>https://www.town.iwaizumi.lg.jp/docs/2024032500015/</t>
        </is>
      </c>
      <c r="L29" s="11" t="n"/>
      <c r="M29" s="11" t="inlineStr">
        <is>
          <t>不明</t>
        </is>
      </c>
      <c r="N29" s="13" t="n"/>
      <c r="O29" s="13" t="inlineStr">
        <is>
          <t>不明</t>
        </is>
      </c>
      <c r="P29" s="13" t="inlineStr">
        <is>
          <t>計画なし</t>
        </is>
      </c>
      <c r="Q29" s="11" t="n"/>
      <c r="R29" s="11" t="inlineStr">
        <is>
          <t>交通：R6〜R8の3年計画でR8終期、次期計画の委託等は検索で未確認。三陸鉄道沿線地域等公共交通計画（岩手県・沿線12市町村の広域計画、2024策定） https://www.city.miyako.iwate.jp/gyosei/soshiki/kokyokotsuusuishin/2/1/605.html もカバー。環境：環境基本計画は確認できず（R4.2ゼロカーボンシティ宣言）。</t>
        </is>
      </c>
      <c r="S29" s="15" t="inlineStr">
        <is>
          <t>調査済</t>
        </is>
      </c>
      <c r="T29" s="11" t="inlineStr">
        <is>
          <t>掲載（広域：三陸鉄道沿線地域等）</t>
        </is>
      </c>
    </row>
    <row r="30">
      <c r="A30" s="11" t="n">
        <v>27</v>
      </c>
      <c r="B30" s="11" t="inlineStr">
        <is>
          <t>田野畑村</t>
        </is>
      </c>
      <c r="C30" s="12">
        <f>IF(OR(D30="◎",E30="◎"),"◎ 営業",IF(OR(D30="△",E30="△"),"△ 着手済・要確認",IF(OR(D30="？",E30="？"),"？ 期間要確認","✕ 対象外")))</f>
        <v/>
      </c>
      <c r="D30" s="13">
        <f>IF(J30="計画なし","－",IF(J30="策定済","✕",IF(H30="","？",IF(AND(H30&gt;=TGT_MIN,H30&lt;=TGT_MAX),IF(J30="着手済","△","◎"),"✕"))))</f>
        <v/>
      </c>
      <c r="E30" s="13">
        <f>IF(P30="計画なし","－",IF(P30="策定済","✕",IF(N30="","？",IF(AND(N30&gt;=TGT_MIN,N30&lt;=TGT_MAX),IF(P30="着手済","△","◎"),"✕"))))</f>
        <v/>
      </c>
      <c r="F30" s="11" t="inlineStr">
        <is>
          <t>田野畑村地域公共交通計画</t>
        </is>
      </c>
      <c r="G30" s="11" t="inlineStr">
        <is>
          <t>不明</t>
        </is>
      </c>
      <c r="H30" s="13" t="n"/>
      <c r="I30" s="13" t="inlineStr">
        <is>
          <t>不明</t>
        </is>
      </c>
      <c r="J30" s="13" t="inlineStr">
        <is>
          <t>未確認</t>
        </is>
      </c>
      <c r="K30" s="14" t="inlineStr">
        <is>
          <t>https://www.vill.tanohata.iwate.jp/bunya/keikaku/tanohata/</t>
        </is>
      </c>
      <c r="L30" s="11" t="inlineStr">
        <is>
          <t>田野畑村環境基本計画</t>
        </is>
      </c>
      <c r="M30" s="11" t="inlineStr">
        <is>
          <t>不明</t>
        </is>
      </c>
      <c r="N30" s="13" t="n"/>
      <c r="O30" s="13" t="inlineStr">
        <is>
          <t>不明</t>
        </is>
      </c>
      <c r="P30" s="13" t="inlineStr">
        <is>
          <t>未確認</t>
        </is>
      </c>
      <c r="Q30" s="14" t="inlineStr">
        <is>
          <t>https://www.vill.tanohata.iwate.jp/docs/2015081800027/</t>
        </is>
      </c>
      <c r="R30" s="11" t="inlineStr">
        <is>
          <t>交通：R5.9.15公開、期間は検索で確認できず（5年ならR5〜R9の可能性）。三陸鉄道沿線地域等公共交通計画（岩手県・沿線12市町村の広域計画、2024策定） https://www.city.miyako.iwate.jp/gyosei/soshiki/kokyokotsuusuishin/2/1/605.html もカバー。環境：H16策定の計画ページあり、期間・改定状況不明。 【追加調査 2026-10】環境：村サイト限定検索で『田野畑村環境基本計画』ページ（https://www.vill.tanohata.iwate.jp/docs/2015081800027/ 、ページ更新2017-02-08）を確認。『環境の保全と創造に関する基本条例』に基づきH16.11策定と記載。計画期間・改定（第2次等）の記載は検索結果で確認できず、改定・次期策定の動きも見当たらない（H16策定のまま期間不明）。各種計画一覧 https://www.vill.tanohata.iwate.jp/bunya/keikaku/tanohata/ 。村HP直接取得はブロック。確認日2026-10-02。</t>
        </is>
      </c>
      <c r="S30" s="15" t="inlineStr">
        <is>
          <t>調査済</t>
        </is>
      </c>
      <c r="T30" s="11" t="inlineStr">
        <is>
          <t>掲載（広域：三陸鉄道沿線地域等）</t>
        </is>
      </c>
    </row>
    <row r="31">
      <c r="A31" s="11" t="n">
        <v>28</v>
      </c>
      <c r="B31" s="11" t="inlineStr">
        <is>
          <t>普代村</t>
        </is>
      </c>
      <c r="C31" s="12">
        <f>IF(OR(D31="◎",E31="◎"),"◎ 営業",IF(OR(D31="△",E31="△"),"△ 着手済・要確認",IF(OR(D31="？",E31="？"),"？ 期間要確認","✕ 対象外")))</f>
        <v/>
      </c>
      <c r="D31" s="13">
        <f>IF(J31="計画なし","－",IF(J31="策定済","✕",IF(H31="","？",IF(AND(H31&gt;=TGT_MIN,H31&lt;=TGT_MAX),IF(J31="着手済","△","◎"),"✕"))))</f>
        <v/>
      </c>
      <c r="E31" s="13">
        <f>IF(P31="計画なし","－",IF(P31="策定済","✕",IF(N31="","？",IF(AND(N31&gt;=TGT_MIN,N31&lt;=TGT_MAX),IF(P31="着手済","△","◎"),"✕"))))</f>
        <v/>
      </c>
      <c r="F31" s="11" t="inlineStr">
        <is>
          <t>三陸鉄道沿線地域等公共交通計画（岩手県・沿線市町村の広域計画）</t>
        </is>
      </c>
      <c r="G31" s="11" t="inlineStr">
        <is>
          <t>R6〜R10</t>
        </is>
      </c>
      <c r="H31" s="13" t="n">
        <v>10</v>
      </c>
      <c r="I31" s="13" t="inlineStr">
        <is>
          <t>確認済</t>
        </is>
      </c>
      <c r="J31" s="13" t="inlineStr">
        <is>
          <t>未確認</t>
        </is>
      </c>
      <c r="K31" s="14" t="inlineStr">
        <is>
          <t>https://www.city.miyako.iwate.jp/material/files/group/8/sanntetsukoutuukeikaku2024.pdf</t>
        </is>
      </c>
      <c r="L31" s="11" t="n"/>
      <c r="M31" s="11" t="inlineStr">
        <is>
          <t>不明</t>
        </is>
      </c>
      <c r="N31" s="13" t="n"/>
      <c r="O31" s="13" t="inlineStr">
        <is>
          <t>不明</t>
        </is>
      </c>
      <c r="P31" s="13" t="inlineStr">
        <is>
          <t>計画なし</t>
        </is>
      </c>
      <c r="Q31" s="11" t="n"/>
      <c r="R31" s="11" t="inlineStr">
        <is>
          <t>交通：村独自の地域公共交通計画は確認できず（村営バス無料運行 https://www.vill.fudai.iwate.jp/lifescene/koutsu.html ）。三陸鉄道沿線地域等公共交通計画（岩手県・沿線12市町村の広域計画、2024策定） https://www.city.miyako.iwate.jp/gyosei/soshiki/kokyokotsuusuishin/2/1/605.html もカバー。環境：確認できず。 【追加調査 2026-10】交通(2026-10調査)：国交省一覧(R8.5末)の広域計画「三陸鉄道沿線地域等」＝三陸鉄道沿線地域等公共交通計画。検索結果本文で計画期間「令和６年度（2024年度）から令和10年度（2028年度）」を確認（前身の三陸鉄道沿線地域等公共交通網形成計画をR6.3中間評価を踏まえ改定、岩手県地域公共交通計画R6〜R10と整合）。PDF https://www.city.miyako.iwate.jp/material/files/group/8/sanntetsukoutuukeikaku2024.pdf 。終期R10のため次期計画の着手情報なし。普代村独自の地域公共交通計画は引き続き見当たらず。 根拠: 三陸鉄道沿線地域等公共交通計画の計画期間は令和６年度（2024年度）から令和10年度（2028年度）</t>
        </is>
      </c>
      <c r="S31" s="15" t="inlineStr">
        <is>
          <t>調査済</t>
        </is>
      </c>
      <c r="T31" s="11" t="inlineStr">
        <is>
          <t>掲載（広域：三陸鉄道沿線地域等）</t>
        </is>
      </c>
    </row>
    <row r="32">
      <c r="A32" s="11" t="n">
        <v>29</v>
      </c>
      <c r="B32" s="11" t="inlineStr">
        <is>
          <t>軽米町</t>
        </is>
      </c>
      <c r="C32" s="12">
        <f>IF(OR(D32="◎",E32="◎"),"◎ 営業",IF(OR(D32="△",E32="△"),"△ 着手済・要確認",IF(OR(D32="？",E32="？"),"？ 期間要確認","✕ 対象外")))</f>
        <v/>
      </c>
      <c r="D32" s="13">
        <f>IF(J32="計画なし","－",IF(J32="策定済","✕",IF(H32="","？",IF(AND(H32&gt;=TGT_MIN,H32&lt;=TGT_MAX),IF(J32="着手済","△","◎"),"✕"))))</f>
        <v/>
      </c>
      <c r="E32" s="13">
        <f>IF(P32="計画なし","－",IF(P32="策定済","✕",IF(N32="","？",IF(AND(N32&gt;=TGT_MIN,N32&lt;=TGT_MAX),IF(P32="着手済","△","◎"),"✕"))))</f>
        <v/>
      </c>
      <c r="F32" s="11" t="n"/>
      <c r="G32" s="11" t="inlineStr">
        <is>
          <t>不明</t>
        </is>
      </c>
      <c r="H32" s="13" t="n"/>
      <c r="I32" s="13" t="inlineStr">
        <is>
          <t>不明</t>
        </is>
      </c>
      <c r="J32" s="13" t="inlineStr">
        <is>
          <t>計画なし</t>
        </is>
      </c>
      <c r="K32" s="11" t="n"/>
      <c r="L32" s="11" t="n"/>
      <c r="M32" s="11" t="inlineStr">
        <is>
          <t>不明</t>
        </is>
      </c>
      <c r="N32" s="13" t="n"/>
      <c r="O32" s="13" t="inlineStr">
        <is>
          <t>不明</t>
        </is>
      </c>
      <c r="P32" s="13" t="inlineStr">
        <is>
          <t>計画なし</t>
        </is>
      </c>
      <c r="Q32" s="11" t="n"/>
      <c r="R32" s="11" t="inlineStr">
        <is>
          <t>交通：地域公共交通計画は確認できず。R8.4からコミュニティバス（円子線・大野線）運行、デマンド交通導入を検討中（R7.3議会一般質問）。環境：確認できず。</t>
        </is>
      </c>
      <c r="S32" s="18" t="inlineStr">
        <is>
          <t>環境のみ調査</t>
        </is>
      </c>
      <c r="T32" s="11" t="inlineStr">
        <is>
          <t>未掲載</t>
        </is>
      </c>
    </row>
    <row r="33">
      <c r="A33" s="11" t="n">
        <v>30</v>
      </c>
      <c r="B33" s="11" t="inlineStr">
        <is>
          <t>野田村</t>
        </is>
      </c>
      <c r="C33" s="12">
        <f>IF(OR(D33="◎",E33="◎"),"◎ 営業",IF(OR(D33="△",E33="△"),"△ 着手済・要確認",IF(OR(D33="？",E33="？"),"？ 期間要確認","✕ 対象外")))</f>
        <v/>
      </c>
      <c r="D33" s="13">
        <f>IF(J33="計画なし","－",IF(J33="策定済","✕",IF(H33="","？",IF(AND(H33&gt;=TGT_MIN,H33&lt;=TGT_MAX),IF(J33="着手済","△","◎"),"✕"))))</f>
        <v/>
      </c>
      <c r="E33" s="13">
        <f>IF(P33="計画なし","－",IF(P33="策定済","✕",IF(N33="","？",IF(AND(N33&gt;=TGT_MIN,N33&lt;=TGT_MAX),IF(P33="着手済","△","◎"),"✕"))))</f>
        <v/>
      </c>
      <c r="F33" s="11" t="inlineStr">
        <is>
          <t>三陸鉄道沿線地域等公共交通計画（岩手県・沿線市町村の広域計画）</t>
        </is>
      </c>
      <c r="G33" s="11" t="inlineStr">
        <is>
          <t>R6〜R10</t>
        </is>
      </c>
      <c r="H33" s="13" t="n">
        <v>10</v>
      </c>
      <c r="I33" s="13" t="inlineStr">
        <is>
          <t>確認済</t>
        </is>
      </c>
      <c r="J33" s="13" t="inlineStr">
        <is>
          <t>未確認</t>
        </is>
      </c>
      <c r="K33" s="14" t="inlineStr">
        <is>
          <t>https://www.city.miyako.iwate.jp/material/files/group/8/sanntetsukoutuukeikaku2024.pdf</t>
        </is>
      </c>
      <c r="L33" s="11" t="n"/>
      <c r="M33" s="11" t="inlineStr">
        <is>
          <t>不明</t>
        </is>
      </c>
      <c r="N33" s="13" t="n"/>
      <c r="O33" s="13" t="inlineStr">
        <is>
          <t>不明</t>
        </is>
      </c>
      <c r="P33" s="13" t="inlineStr">
        <is>
          <t>計画なし</t>
        </is>
      </c>
      <c r="Q33" s="11" t="n"/>
      <c r="R33" s="11" t="inlineStr">
        <is>
          <t>交通：村独自の計画は確認できず（村営バス https://www.vill.noda.iwate.jp/soshiki/miraizukurisuishinka/miraizukurisuishinhan/doro_kotsu/642.html ）。三陸鉄道沿線地域等公共交通計画（岩手県・沿線12市町村の広域計画、2024策定） https://www.city.miyako.iwate.jp/gyosei/soshiki/kokyokotsuusuishin/2/1/605.html もカバー。環境：確認できず。 【追加調査 2026-10】交通(2026-10調査)：国交省一覧(R8.5末)の広域計画「三陸鉄道沿線地域等」＝三陸鉄道沿線地域等公共交通計画。検索結果本文で計画期間「令和６年度（2024年度）から令和10年度（2028年度）」を確認（前身の三陸鉄道沿線地域等公共交通網形成計画をR6.3中間評価を踏まえ改定、岩手県地域公共交通計画R6〜R10と整合）。PDF https://www.city.miyako.iwate.jp/material/files/group/8/sanntetsukoutuukeikaku2024.pdf 。終期R10のため次期計画の着手情報なし。野田村独自の地域公共交通計画は引き続き見当たらず。 根拠: 三陸鉄道沿線地域等公共交通計画の計画期間は令和６年度（2024年度）から令和10年度（2028年度）</t>
        </is>
      </c>
      <c r="S33" s="15" t="inlineStr">
        <is>
          <t>調査済</t>
        </is>
      </c>
      <c r="T33" s="11" t="inlineStr">
        <is>
          <t>掲載（広域：三陸鉄道沿線地域等）</t>
        </is>
      </c>
    </row>
    <row r="34">
      <c r="A34" s="11" t="n">
        <v>31</v>
      </c>
      <c r="B34" s="11" t="inlineStr">
        <is>
          <t>九戸村</t>
        </is>
      </c>
      <c r="C34" s="12">
        <f>IF(OR(D34="◎",E34="◎"),"◎ 営業",IF(OR(D34="△",E34="△"),"△ 着手済・要確認",IF(OR(D34="？",E34="？"),"？ 期間要確認","✕ 対象外")))</f>
        <v/>
      </c>
      <c r="D34" s="13">
        <f>IF(J34="計画なし","－",IF(J34="策定済","✕",IF(H34="","？",IF(AND(H34&gt;=TGT_MIN,H34&lt;=TGT_MAX),IF(J34="着手済","△","◎"),"✕"))))</f>
        <v/>
      </c>
      <c r="E34" s="13">
        <f>IF(P34="計画なし","－",IF(P34="策定済","✕",IF(N34="","？",IF(AND(N34&gt;=TGT_MIN,N34&lt;=TGT_MAX),IF(P34="着手済","△","◎"),"✕"))))</f>
        <v/>
      </c>
      <c r="F34" s="11" t="inlineStr">
        <is>
          <t>九戸村地域公共交通計画</t>
        </is>
      </c>
      <c r="G34" s="11" t="inlineStr">
        <is>
          <t>不明</t>
        </is>
      </c>
      <c r="H34" s="13" t="n"/>
      <c r="I34" s="13" t="inlineStr">
        <is>
          <t>不明</t>
        </is>
      </c>
      <c r="J34" s="13" t="inlineStr">
        <is>
          <t>未確認</t>
        </is>
      </c>
      <c r="K34" s="14" t="inlineStr">
        <is>
          <t>https://vill.kunohe.iwate.jp/fs/9/5/9/5/_/%E4%B9%9D%E6%88%B8%E6%9D%91%E5%9C%B0%E5%9F%9F%E5%85%AC%E5%85%B1%E4%BA%A4%E9%80%9A%E8%A8%88%E7%94%BB.pdf</t>
        </is>
      </c>
      <c r="L34" s="11" t="n"/>
      <c r="M34" s="11" t="inlineStr">
        <is>
          <t>不明</t>
        </is>
      </c>
      <c r="N34" s="13" t="n"/>
      <c r="O34" s="13" t="inlineStr">
        <is>
          <t>不明</t>
        </is>
      </c>
      <c r="P34" s="13" t="inlineStr">
        <is>
          <t>計画なし</t>
        </is>
      </c>
      <c r="Q34" s="11" t="n"/>
      <c r="R34" s="11" t="inlineStr">
        <is>
          <t>交通：計画書PDFの存在を確認、期間は検索で確認できず。環境：確認できず。</t>
        </is>
      </c>
      <c r="S34" s="15" t="inlineStr">
        <is>
          <t>調査済</t>
        </is>
      </c>
      <c r="T34" s="11" t="inlineStr">
        <is>
          <t>掲載</t>
        </is>
      </c>
    </row>
    <row r="35">
      <c r="A35" s="11" t="n">
        <v>32</v>
      </c>
      <c r="B35" s="11" t="inlineStr">
        <is>
          <t>洋野町</t>
        </is>
      </c>
      <c r="C35" s="12">
        <f>IF(OR(D35="◎",E35="◎"),"◎ 営業",IF(OR(D35="△",E35="△"),"△ 着手済・要確認",IF(OR(D35="？",E35="？"),"？ 期間要確認","✕ 対象外")))</f>
        <v/>
      </c>
      <c r="D35" s="13">
        <f>IF(J35="計画なし","－",IF(J35="策定済","✕",IF(H35="","？",IF(AND(H35&gt;=TGT_MIN,H35&lt;=TGT_MAX),IF(J35="着手済","△","◎"),"✕"))))</f>
        <v/>
      </c>
      <c r="E35" s="13">
        <f>IF(P35="計画なし","－",IF(P35="策定済","✕",IF(N35="","？",IF(AND(N35&gt;=TGT_MIN,N35&lt;=TGT_MAX),IF(P35="着手済","△","◎"),"✕"))))</f>
        <v/>
      </c>
      <c r="F35" s="11" t="inlineStr">
        <is>
          <t>洋野町地域公共交通計画（策定中）</t>
        </is>
      </c>
      <c r="G35" s="11" t="inlineStr">
        <is>
          <t>R9〜R13</t>
        </is>
      </c>
      <c r="H35" s="13" t="n">
        <v>13</v>
      </c>
      <c r="I35" s="13" t="inlineStr">
        <is>
          <t>確認済</t>
        </is>
      </c>
      <c r="J35" s="13" t="inlineStr">
        <is>
          <t>着手済</t>
        </is>
      </c>
      <c r="K35" s="14" t="inlineStr">
        <is>
          <t>https://www.town.hirono.iwate.jp/doc/2026070700013</t>
        </is>
      </c>
      <c r="L35" s="11" t="n"/>
      <c r="M35" s="11" t="inlineStr">
        <is>
          <t>不明</t>
        </is>
      </c>
      <c r="N35" s="13" t="n"/>
      <c r="O35" s="13" t="inlineStr">
        <is>
          <t>不明</t>
        </is>
      </c>
      <c r="P35" s="13" t="inlineStr">
        <is>
          <t>計画なし</t>
        </is>
      </c>
      <c r="Q35" s="11" t="n"/>
      <c r="R35" s="11" t="inlineStr">
        <is>
          <t>交通：R9〜R13を期間とする初の地域公共交通計画の策定業務を公募型プロポーザルで募集（R8.7.7公告、8月契約予定）。現行計画は確認できず。三陸鉄道沿線地域等公共交通計画（岩手県・沿線12市町村の広域計画、2024策定） https://www.city.miyako.iwate.jp/gyosei/soshiki/kokyokotsuusuishin/2/1/605.html もカバー。環境：環境基本計画は確認できず（第5次地球温暖化対策実行計画を策定中）。</t>
        </is>
      </c>
      <c r="S35" s="15" t="inlineStr">
        <is>
          <t>調査済</t>
        </is>
      </c>
      <c r="T35" s="11" t="inlineStr">
        <is>
          <t>掲載（広域：三陸鉄道沿線地域等）</t>
        </is>
      </c>
    </row>
    <row r="36">
      <c r="A36" s="11" t="n">
        <v>33</v>
      </c>
      <c r="B36" s="11" t="inlineStr">
        <is>
          <t>一戸町</t>
        </is>
      </c>
      <c r="C36" s="12">
        <f>IF(OR(D36="◎",E36="◎"),"◎ 営業",IF(OR(D36="△",E36="△"),"△ 着手済・要確認",IF(OR(D36="？",E36="？"),"？ 期間要確認","✕ 対象外")))</f>
        <v/>
      </c>
      <c r="D36" s="13">
        <f>IF(J36="計画なし","－",IF(J36="策定済","✕",IF(H36="","？",IF(AND(H36&gt;=TGT_MIN,H36&lt;=TGT_MAX),IF(J36="着手済","△","◎"),"✕"))))</f>
        <v/>
      </c>
      <c r="E36" s="13">
        <f>IF(P36="計画なし","－",IF(P36="策定済","✕",IF(N36="","？",IF(AND(N36&gt;=TGT_MIN,N36&lt;=TGT_MAX),IF(P36="着手済","△","◎"),"✕"))))</f>
        <v/>
      </c>
      <c r="F36" s="11" t="n"/>
      <c r="G36" s="11" t="inlineStr">
        <is>
          <t>不明</t>
        </is>
      </c>
      <c r="H36" s="13" t="n"/>
      <c r="I36" s="13" t="inlineStr">
        <is>
          <t>不明</t>
        </is>
      </c>
      <c r="J36" s="13" t="inlineStr">
        <is>
          <t>計画なし</t>
        </is>
      </c>
      <c r="K36" s="11" t="n"/>
      <c r="L36" s="11" t="n"/>
      <c r="M36" s="11" t="inlineStr">
        <is>
          <t>不明</t>
        </is>
      </c>
      <c r="N36" s="13" t="n"/>
      <c r="O36" s="13" t="inlineStr">
        <is>
          <t>不明</t>
        </is>
      </c>
      <c r="P36" s="13" t="inlineStr">
        <is>
          <t>計画なし</t>
        </is>
      </c>
      <c r="Q36" s="11" t="n"/>
      <c r="R36" s="11" t="inlineStr">
        <is>
          <t>交通：地域公共交通計画は確認できず（デマンド交通いくべ号、R8.4運賃改定案パブコメ https://www.town.ichinohe.iwate.jp/soshikikarasagasu/seisakukikakuka/kokyokotsu/6744.html ）。環境：確認できず。</t>
        </is>
      </c>
      <c r="S36" s="18" t="inlineStr">
        <is>
          <t>環境のみ調査</t>
        </is>
      </c>
      <c r="T36" s="11" t="inlineStr">
        <is>
          <t>未掲載</t>
        </is>
      </c>
    </row>
  </sheetData>
  <autoFilter ref="A3:T36"/>
  <conditionalFormatting sqref="A4:T36">
    <cfRule type="expression" priority="5" dxfId="0">
      <formula>LEFT($C4,1)="◎"</formula>
    </cfRule>
    <cfRule type="expression" priority="6" dxfId="1">
      <formula>LEFT($C4,1)="△"</formula>
    </cfRule>
    <cfRule type="expression" priority="7" dxfId="2">
      <formula>LEFT($C4,1)="？"</formula>
    </cfRule>
    <cfRule type="expression" priority="8" dxfId="3">
      <formula>LEFT($C4,1)="✕"</formula>
    </cfRule>
  </conditionalFormatting>
  <conditionalFormatting sqref="H4:H36">
    <cfRule type="expression" priority="1" dxfId="4" stopIfTrue="1">
      <formula>AND(ISNUMBER(H4),H4&gt;=TGT_MIN,H4&lt;=TGT_MAX)</formula>
    </cfRule>
    <cfRule type="expression" priority="2" dxfId="5">
      <formula>AND(ISNUMBER(H4),H4=TGT_MAX+1)</formula>
    </cfRule>
  </conditionalFormatting>
  <conditionalFormatting sqref="N4:N36">
    <cfRule type="expression" priority="3" dxfId="4" stopIfTrue="1">
      <formula>AND(ISNUMBER(N4),N4&gt;=TGT_MIN,N4&lt;=TGT_MAX)</formula>
    </cfRule>
    <cfRule type="expression" priority="4" dxfId="5">
      <formula>AND(ISNUMBER(N4),N4=TGT_MAX+1)</formula>
    </cfRule>
  </conditionalFormatting>
  <dataValidations count="1">
    <dataValidation sqref="J4:J36 P4:P36" showDropDown="0" showInputMessage="0" showErrorMessage="0" allowBlank="1" type="list">
      <formula1>"未確認,着手済,策定済,計画なし"</formula1>
    </dataValidation>
  </dataValidations>
  <hyperlinks>
    <hyperlink xmlns:r="http://schemas.openxmlformats.org/officeDocument/2006/relationships" ref="K4" r:id="rId1"/>
    <hyperlink xmlns:r="http://schemas.openxmlformats.org/officeDocument/2006/relationships" ref="Q4" r:id="rId2"/>
    <hyperlink xmlns:r="http://schemas.openxmlformats.org/officeDocument/2006/relationships" ref="K5" r:id="rId3"/>
    <hyperlink xmlns:r="http://schemas.openxmlformats.org/officeDocument/2006/relationships" ref="Q5" r:id="rId4"/>
    <hyperlink xmlns:r="http://schemas.openxmlformats.org/officeDocument/2006/relationships" ref="K6" r:id="rId5"/>
    <hyperlink xmlns:r="http://schemas.openxmlformats.org/officeDocument/2006/relationships" ref="Q6" r:id="rId6"/>
    <hyperlink xmlns:r="http://schemas.openxmlformats.org/officeDocument/2006/relationships" ref="K7" r:id="rId7"/>
    <hyperlink xmlns:r="http://schemas.openxmlformats.org/officeDocument/2006/relationships" ref="Q7" r:id="rId8"/>
    <hyperlink xmlns:r="http://schemas.openxmlformats.org/officeDocument/2006/relationships" ref="K8" r:id="rId9"/>
    <hyperlink xmlns:r="http://schemas.openxmlformats.org/officeDocument/2006/relationships" ref="Q8" r:id="rId10"/>
    <hyperlink xmlns:r="http://schemas.openxmlformats.org/officeDocument/2006/relationships" ref="K9" r:id="rId11"/>
    <hyperlink xmlns:r="http://schemas.openxmlformats.org/officeDocument/2006/relationships" ref="Q9" r:id="rId12"/>
    <hyperlink xmlns:r="http://schemas.openxmlformats.org/officeDocument/2006/relationships" ref="K10" r:id="rId13"/>
    <hyperlink xmlns:r="http://schemas.openxmlformats.org/officeDocument/2006/relationships" ref="Q10" r:id="rId14"/>
    <hyperlink xmlns:r="http://schemas.openxmlformats.org/officeDocument/2006/relationships" ref="K11" r:id="rId15"/>
    <hyperlink xmlns:r="http://schemas.openxmlformats.org/officeDocument/2006/relationships" ref="Q11" r:id="rId16"/>
    <hyperlink xmlns:r="http://schemas.openxmlformats.org/officeDocument/2006/relationships" ref="K12" r:id="rId17"/>
    <hyperlink xmlns:r="http://schemas.openxmlformats.org/officeDocument/2006/relationships" ref="K13" r:id="rId18"/>
    <hyperlink xmlns:r="http://schemas.openxmlformats.org/officeDocument/2006/relationships" ref="Q13" r:id="rId19"/>
    <hyperlink xmlns:r="http://schemas.openxmlformats.org/officeDocument/2006/relationships" ref="K14" r:id="rId20"/>
    <hyperlink xmlns:r="http://schemas.openxmlformats.org/officeDocument/2006/relationships" ref="K15" r:id="rId21"/>
    <hyperlink xmlns:r="http://schemas.openxmlformats.org/officeDocument/2006/relationships" ref="Q15" r:id="rId22"/>
    <hyperlink xmlns:r="http://schemas.openxmlformats.org/officeDocument/2006/relationships" ref="K16" r:id="rId23"/>
    <hyperlink xmlns:r="http://schemas.openxmlformats.org/officeDocument/2006/relationships" ref="Q16" r:id="rId24"/>
    <hyperlink xmlns:r="http://schemas.openxmlformats.org/officeDocument/2006/relationships" ref="K17" r:id="rId25"/>
    <hyperlink xmlns:r="http://schemas.openxmlformats.org/officeDocument/2006/relationships" ref="Q17" r:id="rId26"/>
    <hyperlink xmlns:r="http://schemas.openxmlformats.org/officeDocument/2006/relationships" ref="K18" r:id="rId27"/>
    <hyperlink xmlns:r="http://schemas.openxmlformats.org/officeDocument/2006/relationships" ref="Q18" r:id="rId28"/>
    <hyperlink xmlns:r="http://schemas.openxmlformats.org/officeDocument/2006/relationships" ref="K20" r:id="rId29"/>
    <hyperlink xmlns:r="http://schemas.openxmlformats.org/officeDocument/2006/relationships" ref="K21" r:id="rId30"/>
    <hyperlink xmlns:r="http://schemas.openxmlformats.org/officeDocument/2006/relationships" ref="Q21" r:id="rId31"/>
    <hyperlink xmlns:r="http://schemas.openxmlformats.org/officeDocument/2006/relationships" ref="K22" r:id="rId32"/>
    <hyperlink xmlns:r="http://schemas.openxmlformats.org/officeDocument/2006/relationships" ref="K23" r:id="rId33"/>
    <hyperlink xmlns:r="http://schemas.openxmlformats.org/officeDocument/2006/relationships" ref="K24" r:id="rId34"/>
    <hyperlink xmlns:r="http://schemas.openxmlformats.org/officeDocument/2006/relationships" ref="K25" r:id="rId35"/>
    <hyperlink xmlns:r="http://schemas.openxmlformats.org/officeDocument/2006/relationships" ref="K26" r:id="rId36"/>
    <hyperlink xmlns:r="http://schemas.openxmlformats.org/officeDocument/2006/relationships" ref="Q26" r:id="rId37"/>
    <hyperlink xmlns:r="http://schemas.openxmlformats.org/officeDocument/2006/relationships" ref="K27" r:id="rId38"/>
    <hyperlink xmlns:r="http://schemas.openxmlformats.org/officeDocument/2006/relationships" ref="K28" r:id="rId39"/>
    <hyperlink xmlns:r="http://schemas.openxmlformats.org/officeDocument/2006/relationships" ref="K29" r:id="rId40"/>
    <hyperlink xmlns:r="http://schemas.openxmlformats.org/officeDocument/2006/relationships" ref="K30" r:id="rId41"/>
    <hyperlink xmlns:r="http://schemas.openxmlformats.org/officeDocument/2006/relationships" ref="Q30" r:id="rId42"/>
    <hyperlink xmlns:r="http://schemas.openxmlformats.org/officeDocument/2006/relationships" ref="K31" r:id="rId43"/>
    <hyperlink xmlns:r="http://schemas.openxmlformats.org/officeDocument/2006/relationships" ref="K33" r:id="rId44"/>
    <hyperlink xmlns:r="http://schemas.openxmlformats.org/officeDocument/2006/relationships" ref="K34" r:id="rId45"/>
    <hyperlink xmlns:r="http://schemas.openxmlformats.org/officeDocument/2006/relationships" ref="K35" r:id="rId4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6" customWidth="1" min="3" max="3"/>
    <col width="7" customWidth="1" min="4" max="4"/>
    <col width="7" customWidth="1" min="5" max="5"/>
    <col width="30" customWidth="1" min="6" max="6"/>
    <col width="15" customWidth="1" min="7" max="7"/>
    <col width="9" customWidth="1" min="8" max="8"/>
    <col width="8" customWidth="1" min="9" max="9"/>
    <col width="9" customWidth="1" min="10" max="10"/>
    <col width="34" customWidth="1" min="11" max="11"/>
    <col width="30" customWidth="1" min="12" max="12"/>
    <col width="15" customWidth="1" min="13" max="13"/>
    <col width="9" customWidth="1" min="14" max="14"/>
    <col width="8" customWidth="1" min="15" max="15"/>
    <col width="9" customWidth="1" min="16" max="16"/>
    <col width="34" customWidth="1" min="17" max="17"/>
    <col width="55" customWidth="1" min="18" max="18"/>
    <col width="14" customWidth="1" min="19" max="19"/>
    <col width="24" customWidth="1" min="20" max="20"/>
  </cols>
  <sheetData>
    <row r="1">
      <c r="A1" s="1" t="inlineStr">
        <is>
          <t>宮城県　地域公共交通計画・環境基本計画の終期一覧（2026年9月30日時点の調査）</t>
        </is>
      </c>
    </row>
    <row r="2">
      <c r="A2" s="9">
        <f>"営業判定の対象：終期 R"&amp;TGT_MIN&amp;"〜R"&amp;TGT_MAX&amp;"年度 →◎（着手済は△、期間不明は？）。終期セルの色：緑＝対象年度／橙＝その翌年度（次の候補）。対象年度は「集計・設定」シートのC4・C5のプルダウンで切替。"</f>
        <v/>
      </c>
    </row>
    <row r="3" ht="32" customHeight="1">
      <c r="A3" s="10" t="inlineStr">
        <is>
          <t>No</t>
        </is>
      </c>
      <c r="B3" s="10" t="inlineStr">
        <is>
          <t>市町村</t>
        </is>
      </c>
      <c r="C3" s="10" t="inlineStr">
        <is>
          <t>営業判定</t>
        </is>
      </c>
      <c r="D3" s="10" t="inlineStr">
        <is>
          <t>交通判定</t>
        </is>
      </c>
      <c r="E3" s="10" t="inlineStr">
        <is>
          <t>環境判定</t>
        </is>
      </c>
      <c r="F3" s="10" t="inlineStr">
        <is>
          <t>地域公共交通計画</t>
        </is>
      </c>
      <c r="G3" s="10" t="inlineStr">
        <is>
          <t>交通 計画期間</t>
        </is>
      </c>
      <c r="H3" s="10" t="inlineStr">
        <is>
          <t>交通 終期(令和年度)</t>
        </is>
      </c>
      <c r="I3" s="10" t="inlineStr">
        <is>
          <t>交通 確度</t>
        </is>
      </c>
      <c r="J3" s="10" t="inlineStr">
        <is>
          <t>交通 改定状況</t>
        </is>
      </c>
      <c r="K3" s="10" t="inlineStr">
        <is>
          <t>交通 計画リンク（エビデンス）</t>
        </is>
      </c>
      <c r="L3" s="10" t="inlineStr">
        <is>
          <t>環境基本計画</t>
        </is>
      </c>
      <c r="M3" s="10" t="inlineStr">
        <is>
          <t>環境 計画期間</t>
        </is>
      </c>
      <c r="N3" s="10" t="inlineStr">
        <is>
          <t>環境 終期(令和年度)</t>
        </is>
      </c>
      <c r="O3" s="10" t="inlineStr">
        <is>
          <t>環境 確度</t>
        </is>
      </c>
      <c r="P3" s="10" t="inlineStr">
        <is>
          <t>環境 改定状況</t>
        </is>
      </c>
      <c r="Q3" s="10" t="inlineStr">
        <is>
          <t>環境 計画リンク（エビデンス）</t>
        </is>
      </c>
      <c r="R3" s="10" t="inlineStr">
        <is>
          <t>注釈（改定作業の状況など）</t>
        </is>
      </c>
      <c r="S3" s="10" t="inlineStr">
        <is>
          <t>調査状況</t>
        </is>
      </c>
      <c r="T3" s="10" t="inlineStr">
        <is>
          <t>国交省一覧(R8.5末)</t>
        </is>
      </c>
    </row>
    <row r="4">
      <c r="A4" s="11" t="n">
        <v>1</v>
      </c>
      <c r="B4" s="11" t="inlineStr">
        <is>
          <t>仙台市</t>
        </is>
      </c>
      <c r="C4" s="12">
        <f>IF(OR(D4="◎",E4="◎"),"◎ 営業",IF(OR(D4="△",E4="△"),"△ 着手済・要確認",IF(OR(D4="？",E4="？"),"？ 期間要確認","✕ 対象外")))</f>
        <v/>
      </c>
      <c r="D4" s="13">
        <f>IF(J4="計画なし","－",IF(J4="策定済","✕",IF(H4="","？",IF(AND(H4&gt;=TGT_MIN,H4&lt;=TGT_MAX),IF(J4="着手済","△","◎"),"✕"))))</f>
        <v/>
      </c>
      <c r="E4" s="13">
        <f>IF(P4="計画なし","－",IF(P4="策定済","✕",IF(N4="","？",IF(AND(N4&gt;=TGT_MIN,N4&lt;=TGT_MAX),IF(P4="着手済","△","◎"),"✕"))))</f>
        <v/>
      </c>
      <c r="F4" s="11" t="inlineStr">
        <is>
          <t>仙台市地域公共交通計画</t>
        </is>
      </c>
      <c r="G4" s="11" t="inlineStr">
        <is>
          <t>R4〜R8</t>
        </is>
      </c>
      <c r="H4" s="13" t="n">
        <v>8</v>
      </c>
      <c r="I4" s="13" t="inlineStr">
        <is>
          <t>確認済</t>
        </is>
      </c>
      <c r="J4" s="13" t="inlineStr">
        <is>
          <t>着手済</t>
        </is>
      </c>
      <c r="K4" s="14" t="inlineStr">
        <is>
          <t>https://www.city.sendai.jp/kokyo/kurashi/machi/kotsu/kekakunado/chikoukei.html</t>
        </is>
      </c>
      <c r="L4" s="11" t="inlineStr">
        <is>
          <t>杜の都環境プラン（仙台市環境基本計画）</t>
        </is>
      </c>
      <c r="M4" s="11" t="inlineStr">
        <is>
          <t>R3〜R12</t>
        </is>
      </c>
      <c r="N4" s="13" t="n">
        <v>12</v>
      </c>
      <c r="O4" s="13" t="inlineStr">
        <is>
          <t>確認済</t>
        </is>
      </c>
      <c r="P4" s="13" t="inlineStr">
        <is>
          <t>策定済</t>
        </is>
      </c>
      <c r="Q4" s="14" t="inlineStr">
        <is>
          <t>https://www.city.sendai.jp/kankyo-chose/kurashi/machi/kankyohozen/chosa/morinomiyako/documents/01_moripura_honpen.pdf</t>
        </is>
      </c>
      <c r="R4" s="11" t="inlineStr">
        <is>
          <t>交通：R8終期、次期計画（R9〜R13）策定中。R7策定調査業務は日本工営系（契約R7.4.21〜R8.3.31、12,749千円）、R8策定委託はCTI(建設技術研究所)東北支社にR8.5.13契約（4,950千円、〜R9.3.31）。R8.11中間案→12月頃パブコメ→R9.3策定予定（推進協議会資料 https://www.city.sendai.jp/kotsu-kekaku/suishinkyogikai/documents/siryou2_r8_1.pdf ）。利便増進実施計画もR8末終了。環境：R7中間評価を経てR8.3に中間改定版公表（策定済は中間改定の意）。</t>
        </is>
      </c>
      <c r="S4" s="15" t="inlineStr">
        <is>
          <t>調査済</t>
        </is>
      </c>
      <c r="T4" s="11" t="inlineStr">
        <is>
          <t>掲載</t>
        </is>
      </c>
    </row>
    <row r="5">
      <c r="A5" s="11" t="n">
        <v>2</v>
      </c>
      <c r="B5" s="11" t="inlineStr">
        <is>
          <t>石巻市</t>
        </is>
      </c>
      <c r="C5" s="12">
        <f>IF(OR(D5="◎",E5="◎"),"◎ 営業",IF(OR(D5="△",E5="△"),"△ 着手済・要確認",IF(OR(D5="？",E5="？"),"？ 期間要確認","✕ 対象外")))</f>
        <v/>
      </c>
      <c r="D5" s="13">
        <f>IF(J5="計画なし","－",IF(J5="策定済","✕",IF(H5="","？",IF(AND(H5&gt;=TGT_MIN,H5&lt;=TGT_MAX),IF(J5="着手済","△","◎"),"✕"))))</f>
        <v/>
      </c>
      <c r="E5" s="13">
        <f>IF(P5="計画なし","－",IF(P5="策定済","✕",IF(N5="","？",IF(AND(N5&gt;=TGT_MIN,N5&lt;=TGT_MAX),IF(P5="着手済","△","◎"),"✕"))))</f>
        <v/>
      </c>
      <c r="F5" s="11" t="inlineStr">
        <is>
          <t>石巻市総合交通計画（地域公共交通計画）</t>
        </is>
      </c>
      <c r="G5" s="11" t="inlineStr">
        <is>
          <t>R4〜R8</t>
        </is>
      </c>
      <c r="H5" s="13" t="n">
        <v>8</v>
      </c>
      <c r="I5" s="13" t="inlineStr">
        <is>
          <t>確認済</t>
        </is>
      </c>
      <c r="J5" s="13" t="inlineStr">
        <is>
          <t>着手済</t>
        </is>
      </c>
      <c r="K5" s="14" t="inlineStr">
        <is>
          <t>https://www.city.ishinomaki.lg.jp:443/cont/10053500/issks/dai1shou.pdf</t>
        </is>
      </c>
      <c r="L5" s="11" t="inlineStr">
        <is>
          <t>第2次石巻市環境基本計画</t>
        </is>
      </c>
      <c r="M5" s="11" t="inlineStr">
        <is>
          <t>R8〜R17</t>
        </is>
      </c>
      <c r="N5" s="13" t="n">
        <v>17</v>
      </c>
      <c r="O5" s="13" t="inlineStr">
        <is>
          <t>確認済</t>
        </is>
      </c>
      <c r="P5" s="13" t="inlineStr">
        <is>
          <t>策定済</t>
        </is>
      </c>
      <c r="Q5" s="14" t="inlineStr">
        <is>
          <t>https://www.city.ishinomaki.lg.jp/cont/10301000/3253/1.pdf</t>
        </is>
      </c>
      <c r="R5" s="11" t="inlineStr">
        <is>
          <t>交通：R8終期。改定作業中：R8.5〜R9.1にWG・地域公共交通活性化協議会で検討、R9.1パブコメ予定（庁議資料 https://www.city.ishinomaki.lg.jp/cont/10181000/0070/reiwahatinendotyougikannkei/daisannkaityougi/sougoukoutuukeikaku.pdf ）。改定支援業務仕様書あり https://www.city.ishinomaki.lg.jp/cont/10053500/siyousyokoutuusennryakukaiteisienn.pdf 。環境：第2次計画R8〜R17（R7庁議資料 https://www.city.ishinomaki.lg.jp/cont/10181000/0070/R7tyougi/17/17-siryou1-1.pdf ）。e_urlは検索結果中の候補で内容未精査。</t>
        </is>
      </c>
      <c r="S5" s="15" t="inlineStr">
        <is>
          <t>調査済</t>
        </is>
      </c>
      <c r="T5" s="11" t="inlineStr">
        <is>
          <t>掲載</t>
        </is>
      </c>
    </row>
    <row r="6">
      <c r="A6" s="11" t="n">
        <v>3</v>
      </c>
      <c r="B6" s="11" t="inlineStr">
        <is>
          <t>塩竈市</t>
        </is>
      </c>
      <c r="C6" s="12">
        <f>IF(OR(D6="◎",E6="◎"),"◎ 営業",IF(OR(D6="△",E6="△"),"△ 着手済・要確認",IF(OR(D6="？",E6="？"),"？ 期間要確認","✕ 対象外")))</f>
        <v/>
      </c>
      <c r="D6" s="13">
        <f>IF(J6="計画なし","－",IF(J6="策定済","✕",IF(H6="","？",IF(AND(H6&gt;=TGT_MIN,H6&lt;=TGT_MAX),IF(J6="着手済","△","◎"),"✕"))))</f>
        <v/>
      </c>
      <c r="E6" s="13">
        <f>IF(P6="計画なし","－",IF(P6="策定済","✕",IF(N6="","？",IF(AND(N6&gt;=TGT_MIN,N6&lt;=TGT_MAX),IF(P6="着手済","△","◎"),"✕"))))</f>
        <v/>
      </c>
      <c r="F6" s="11" t="n"/>
      <c r="G6" s="11" t="inlineStr">
        <is>
          <t>不明</t>
        </is>
      </c>
      <c r="H6" s="13" t="n"/>
      <c r="I6" s="13" t="inlineStr">
        <is>
          <t>不明</t>
        </is>
      </c>
      <c r="J6" s="13" t="inlineStr">
        <is>
          <t>未確認</t>
        </is>
      </c>
      <c r="K6" s="11" t="n"/>
      <c r="L6" s="11" t="inlineStr">
        <is>
          <t>第3次塩竈市環境基本計画</t>
        </is>
      </c>
      <c r="M6" s="11" t="inlineStr">
        <is>
          <t>R7〜R16</t>
        </is>
      </c>
      <c r="N6" s="13" t="n">
        <v>16</v>
      </c>
      <c r="O6" s="13" t="inlineStr">
        <is>
          <t>確認済</t>
        </is>
      </c>
      <c r="P6" s="13" t="inlineStr">
        <is>
          <t>策定済</t>
        </is>
      </c>
      <c r="Q6" s="14" t="inlineStr">
        <is>
          <t>https://www.city.shiogama.miyagi.jp/soshiki/18/50557.html</t>
        </is>
      </c>
      <c r="R6" s="11" t="inlineStr">
        <is>
          <t>交通：市の地域公共交通計画は検索（市サイト内含む）で見つからず（計画なしの可能性、要確認）。環境：第3次計画R7〜R16、素案パブコメ https://www.city.shiogama.miyagi.jp/soshiki/18/49050.html を経て策定（ページ更新R7.4.18）。参考：循環型社会形成推進地域計画 R5.4〜R10.3。</t>
        </is>
      </c>
      <c r="S6" s="18" t="inlineStr">
        <is>
          <t>環境のみ調査</t>
        </is>
      </c>
      <c r="T6" s="11" t="inlineStr">
        <is>
          <t>未掲載</t>
        </is>
      </c>
    </row>
    <row r="7">
      <c r="A7" s="11" t="n">
        <v>4</v>
      </c>
      <c r="B7" s="11" t="inlineStr">
        <is>
          <t>気仙沼市</t>
        </is>
      </c>
      <c r="C7" s="12">
        <f>IF(OR(D7="◎",E7="◎"),"◎ 営業",IF(OR(D7="△",E7="△"),"△ 着手済・要確認",IF(OR(D7="？",E7="？"),"？ 期間要確認","✕ 対象外")))</f>
        <v/>
      </c>
      <c r="D7" s="13">
        <f>IF(J7="計画なし","－",IF(J7="策定済","✕",IF(H7="","？",IF(AND(H7&gt;=TGT_MIN,H7&lt;=TGT_MAX),IF(J7="着手済","△","◎"),"✕"))))</f>
        <v/>
      </c>
      <c r="E7" s="13">
        <f>IF(P7="計画なし","－",IF(P7="策定済","✕",IF(N7="","？",IF(AND(N7&gt;=TGT_MIN,N7&lt;=TGT_MAX),IF(P7="着手済","△","◎"),"✕"))))</f>
        <v/>
      </c>
      <c r="F7" s="11" t="inlineStr">
        <is>
          <t>第2次気仙沼市総合交通計画（2次改定版）</t>
        </is>
      </c>
      <c r="G7" s="11" t="inlineStr">
        <is>
          <t>H30〜R8（目標年次R8）</t>
        </is>
      </c>
      <c r="H7" s="16" t="n">
        <v>8</v>
      </c>
      <c r="I7" s="13" t="inlineStr">
        <is>
          <t>推定</t>
        </is>
      </c>
      <c r="J7" s="13" t="inlineStr">
        <is>
          <t>着手済</t>
        </is>
      </c>
      <c r="K7" s="14" t="inlineStr">
        <is>
          <t>https://www.kesennuma.miyagi.jp/li/shisei/150/020/index.html</t>
        </is>
      </c>
      <c r="L7" s="11" t="n"/>
      <c r="M7" s="11" t="inlineStr">
        <is>
          <t>不明</t>
        </is>
      </c>
      <c r="N7" s="13" t="n"/>
      <c r="O7" s="13" t="inlineStr">
        <is>
          <t>不明</t>
        </is>
      </c>
      <c r="P7" s="13" t="inlineStr">
        <is>
          <t>未確認</t>
        </is>
      </c>
      <c r="Q7" s="11" t="n"/>
      <c r="R7" s="11" t="inlineStr">
        <is>
          <t>交通：第2次はH30.2策定・R3.6.28二次改定、目標年次R8（県の市町村計画一覧 https://www.pref.miyagi.jp/documents/7752/02_r8_sityousonkeikaku.pdf の検索要約より）。同資料で第3次気仙沼市総合交通計画を策定中と記載あり→着手済と判断（要確認）。法定地域公共交通計画としての位置付けは未確認。R8.7にAIデマンド交通導入業務プロポーザル https://www.kesennuma.miyagi.jp/sec/s023/020/010/010/20260706170359.html 。環境：市公式サイト内検索で環境基本計画ヒットせず（計画なしの可能性、要確認）。WebFetchは市サイトblocked。 地球温暖化対策実行計画（区域施策編）のパブコメ実績・気仙沼市持続可能なまち推進計画（R7.7）あり https://www.kesennuma.miyagi.jp/li/life/020/080/070/index.html 。 【追加調査 2026-10】環境：『気仙沼市環境基本計画』の名称での計画ページ・PDFは検索（一般・市ドメイン限定・完全一致、計5回）でヒットせず。一方、市ドメイン検索の要約で、気仙沼市地球温暖化対策実行計画（区域施策編、2025〜2030年度）は『市環境基本計画における地球温暖化対策を推進するための個別計画』と記載との情報あり（要約のみ・URL特定できず、一般論の混入の可能性）。存在有無は判断保留（計画なしとは断定できず）。計画・施策一覧 https://www.kesennuma.miyagi.jp/li/shisei/060/index.html の確認を推奨。</t>
        </is>
      </c>
      <c r="S7" s="18" t="inlineStr">
        <is>
          <t>交通のみ調査</t>
        </is>
      </c>
      <c r="T7" s="11" t="inlineStr">
        <is>
          <t>掲載</t>
        </is>
      </c>
    </row>
    <row r="8">
      <c r="A8" s="11" t="n">
        <v>5</v>
      </c>
      <c r="B8" s="11" t="inlineStr">
        <is>
          <t>白石市</t>
        </is>
      </c>
      <c r="C8" s="12">
        <f>IF(OR(D8="◎",E8="◎"),"◎ 営業",IF(OR(D8="△",E8="△"),"△ 着手済・要確認",IF(OR(D8="？",E8="？"),"？ 期間要確認","✕ 対象外")))</f>
        <v/>
      </c>
      <c r="D8" s="13">
        <f>IF(J8="計画なし","－",IF(J8="策定済","✕",IF(H8="","？",IF(AND(H8&gt;=TGT_MIN,H8&lt;=TGT_MAX),IF(J8="着手済","△","◎"),"✕"))))</f>
        <v/>
      </c>
      <c r="E8" s="13">
        <f>IF(P8="計画なし","－",IF(P8="策定済","✕",IF(N8="","？",IF(AND(N8&gt;=TGT_MIN,N8&lt;=TGT_MAX),IF(P8="着手済","△","◎"),"✕"))))</f>
        <v/>
      </c>
      <c r="F8" s="11" t="inlineStr">
        <is>
          <t>白石市地域公共交通計画</t>
        </is>
      </c>
      <c r="G8" s="11" t="inlineStr">
        <is>
          <t>R5〜R9（推定）</t>
        </is>
      </c>
      <c r="H8" s="13" t="n">
        <v>9</v>
      </c>
      <c r="I8" s="13" t="inlineStr">
        <is>
          <t>確認済</t>
        </is>
      </c>
      <c r="J8" s="13" t="inlineStr">
        <is>
          <t>着手済</t>
        </is>
      </c>
      <c r="K8" s="14" t="inlineStr">
        <is>
          <t>https://www.city.shiroishi.miyagi.jp/uploaded/attachment/22013.pdf</t>
        </is>
      </c>
      <c r="L8" s="11" t="inlineStr">
        <is>
          <t>第3次白石市環境基本計画</t>
        </is>
      </c>
      <c r="M8" s="11" t="inlineStr">
        <is>
          <t>H31(R1)〜R10（10年間）</t>
        </is>
      </c>
      <c r="N8" s="13" t="n">
        <v>10</v>
      </c>
      <c r="O8" s="13" t="inlineStr">
        <is>
          <t>確認済</t>
        </is>
      </c>
      <c r="P8" s="13" t="inlineStr">
        <is>
          <t>未確認</t>
        </is>
      </c>
      <c r="Q8" s="14" t="inlineStr">
        <is>
          <t>https://www.city.shiroishi.miyagi.jp/soshiki/18/</t>
        </is>
      </c>
      <c r="R8" s="11" t="inlineStr">
        <is>
          <t>交通：R5.3策定（前身の網形成計画はH29.6）、計画ページ https://www.city.shiroishi.miyagi.jp/soshiki/17/27078.html 。期間は検索で確認できず5年と仮定しR9終期を推定→R9終期なら次期策定はR8〜R9着手見込み（有望・要確認）。環境：第3次計画と第3次温暖化対策実行計画をH31.4.23掲載、期間不明（10年ならR10頃終期）。広域：宮城県地域公共交通計画R8〜R14あり（県計画、検索要約より）。佐賀県白石町・千葉県白井市とは別。 【ファクトチェック 2026-10-01: 正しい】確認期間: R5〜R9（令和5年度〜令和9年度の5年間、R5.3策定）／次期: 着手済の可能性高：「白石市地域公共交通計画策定調査に係る公募型プロポーザル」（2026-07-14更新、募集終了）が市サイト まちづくり推進課/入札・契約情報に掲載（https://www.city.shiroishi.miyagi.jp/／根拠: https://www.city.shiroishi.miyagi.jp/soshiki/17/27078.html 【追加調査 2026-10】環境：第3次白石市環境基本計画は平成31年度（令和元年度）から10年間＝R10終期。市サイト内検索（環境課ページ https://www.city.shiroishi.miyagi.jp/soshiki/18/ 、令和2年度施政方針 https://www.city.shiroishi.miyagi.jp/site/mayor/16031.html ）の結果本文で2回一致。次期はR9〜R10着手見込み（現時点未確認）。 根拠: 第３次白石市環境基本計画は令和元年度から10年間を計画期間</t>
        </is>
      </c>
      <c r="S8" s="15" t="inlineStr">
        <is>
          <t>調査済</t>
        </is>
      </c>
      <c r="T8" s="11" t="inlineStr">
        <is>
          <t>掲載</t>
        </is>
      </c>
    </row>
    <row r="9">
      <c r="A9" s="11" t="n">
        <v>6</v>
      </c>
      <c r="B9" s="11" t="inlineStr">
        <is>
          <t>名取市</t>
        </is>
      </c>
      <c r="C9" s="12">
        <f>IF(OR(D9="◎",E9="◎"),"◎ 営業",IF(OR(D9="△",E9="△"),"△ 着手済・要確認",IF(OR(D9="？",E9="？"),"？ 期間要確認","✕ 対象外")))</f>
        <v/>
      </c>
      <c r="D9" s="13">
        <f>IF(J9="計画なし","－",IF(J9="策定済","✕",IF(H9="","？",IF(AND(H9&gt;=TGT_MIN,H9&lt;=TGT_MAX),IF(J9="着手済","△","◎"),"✕"))))</f>
        <v/>
      </c>
      <c r="E9" s="13">
        <f>IF(P9="計画なし","－",IF(P9="策定済","✕",IF(N9="","？",IF(AND(N9&gt;=TGT_MIN,N9&lt;=TGT_MAX),IF(P9="着手済","△","◎"),"✕"))))</f>
        <v/>
      </c>
      <c r="F9" s="11" t="inlineStr">
        <is>
          <t>名取市地域公共交通計画</t>
        </is>
      </c>
      <c r="G9" s="11" t="inlineStr">
        <is>
          <t>R5〜R9</t>
        </is>
      </c>
      <c r="H9" s="13" t="n">
        <v>9</v>
      </c>
      <c r="I9" s="13" t="inlineStr">
        <is>
          <t>確認済</t>
        </is>
      </c>
      <c r="J9" s="13" t="inlineStr">
        <is>
          <t>未確認</t>
        </is>
      </c>
      <c r="K9" s="14" t="inlineStr">
        <is>
          <t>https://www.city.natori.miyagi.jp/uploaded/attachment/9510.pdf</t>
        </is>
      </c>
      <c r="L9" s="11" t="inlineStr">
        <is>
          <t>第二次名取市環境基本計画</t>
        </is>
      </c>
      <c r="M9" s="11" t="inlineStr">
        <is>
          <t>R2〜R12（11年間）</t>
        </is>
      </c>
      <c r="N9" s="13" t="n">
        <v>12</v>
      </c>
      <c r="O9" s="13" t="inlineStr">
        <is>
          <t>確認済</t>
        </is>
      </c>
      <c r="P9" s="13" t="inlineStr">
        <is>
          <t>未確認</t>
        </is>
      </c>
      <c r="Q9" s="14" t="inlineStr">
        <is>
          <t>https://www.city.natori.miyagi.jp/page/4721.html</t>
        </is>
      </c>
      <c r="R9" s="11" t="inlineStr">
        <is>
          <t>交通：R5.3.28策定、R9終期。次期計画の策定業務・プロポーザルは検索で未確認。R8.8.25にR8年度名取市地域公共交通活性化推進協議会開催 https://www.city.natori.miyagi.jp/page/45227.html （次期計画の議題か要確認・有望）。計画ページ https://www.city.natori.miyagi.jp/page/4327.html 。環境：第二次計画の期間は検索で確認できず（R2開始10年ならR11終期と推定）。 【ファクトチェック 2026-10-01: 正しい】確認期間: R5〜R9（令和5年度～令和9年度の5ヶ年、R5.3.28策定）／次期: 確認できず（令和8年度協議会 R8.8.25開催の議題は『計画の取組状況について』のみ／https://www.city.natori.miyagi.jp/page/45227.html）／根拠: https://www.city.natori.miyagi.jp/page/4327.html 【追加調査 2026-10】環境：第二次名取市環境基本計画の計画期間は令和2（2020）年度〜令和12（2030）年度の11年間。計画ページ https://www.city.natori.miyagi.jp/page/4721.html 、本編PDF https://www.city.natori.miyagi.jp/uploaded/attachment/10172.pdf 。R7.?に環境に関する市民・事業者意識調査実施 https://www.city.natori.miyagi.jp/page/39371.html （中間見直し等の可能性）。 根拠: 計画期間は令和2（2020）年度から令和12（2030）年度までの11年間</t>
        </is>
      </c>
      <c r="S9" s="15" t="inlineStr">
        <is>
          <t>調査済</t>
        </is>
      </c>
      <c r="T9" s="11" t="inlineStr">
        <is>
          <t>掲載</t>
        </is>
      </c>
    </row>
    <row r="10">
      <c r="A10" s="11" t="n">
        <v>7</v>
      </c>
      <c r="B10" s="11" t="inlineStr">
        <is>
          <t>角田市</t>
        </is>
      </c>
      <c r="C10" s="12">
        <f>IF(OR(D10="◎",E10="◎"),"◎ 営業",IF(OR(D10="△",E10="△"),"△ 着手済・要確認",IF(OR(D10="？",E10="？"),"？ 期間要確認","✕ 対象外")))</f>
        <v/>
      </c>
      <c r="D10" s="13">
        <f>IF(J10="計画なし","－",IF(J10="策定済","✕",IF(H10="","？",IF(AND(H10&gt;=TGT_MIN,H10&lt;=TGT_MAX),IF(J10="着手済","△","◎"),"✕"))))</f>
        <v/>
      </c>
      <c r="E10" s="13">
        <f>IF(P10="計画なし","－",IF(P10="策定済","✕",IF(N10="","？",IF(AND(N10&gt;=TGT_MIN,N10&lt;=TGT_MAX),IF(P10="着手済","△","◎"),"✕"))))</f>
        <v/>
      </c>
      <c r="F10" s="11" t="inlineStr">
        <is>
          <t>角田市地域公共交通計画</t>
        </is>
      </c>
      <c r="G10" s="11" t="inlineStr">
        <is>
          <t>不明</t>
        </is>
      </c>
      <c r="H10" s="13" t="n"/>
      <c r="I10" s="13" t="inlineStr">
        <is>
          <t>不明</t>
        </is>
      </c>
      <c r="J10" s="13" t="inlineStr">
        <is>
          <t>着手済</t>
        </is>
      </c>
      <c r="K10" s="14" t="inlineStr">
        <is>
          <t>https://www.city.kakuda.lg.jp/soshiki/4/25038.html</t>
        </is>
      </c>
      <c r="L10" s="11" t="inlineStr">
        <is>
          <t>角田市第3次環境基本計画</t>
        </is>
      </c>
      <c r="M10" s="11" t="inlineStr">
        <is>
          <t>R5〜R14（10年間）</t>
        </is>
      </c>
      <c r="N10" s="16" t="n">
        <v>14</v>
      </c>
      <c r="O10" s="13" t="inlineStr">
        <is>
          <t>推定</t>
        </is>
      </c>
      <c r="P10" s="13" t="inlineStr">
        <is>
          <t>未確認</t>
        </is>
      </c>
      <c r="Q10" s="11" t="n"/>
      <c r="R10" s="11" t="inlineStr">
        <is>
          <t>交通：市単独の地域公共交通計画（初策定）を策定中、案のパブコメ実施 https://www.city.kakuda.lg.jp/soshiki/4/25038.html 、R8.1.23に第3回活性化協議会 https://www.city.kakuda.lg.jp/uploaded/life/24126_87553_misc.pdf 。R8.3頃策定の可能性（策定完了・期間は未確認）。広域：阿武隈急行線地域公共交通計画（案）パブコメ https://www.city.kakuda.lg.jp/soshiki/4/24148.html 。環境：第3次環境基本計画R5策定（期間不明）、角田市地球温暖化対策総合計画 R6.3策定・R8.3修正 https://www.city.kakuda.lg.jp/uploaded/life/17642_48417_misc.pdf 。 【追加調査 2026-10】環境：角田市第3次環境基本計画（2023年策定、環境像『「緑・水・人」調和のとれた環境都市』）。市サイト内検索の要約で『計画期間は2023年度から2032年度までの10年間』（出典は角田市地球温暖化対策総合計画 https://www.city.kakuda.lg.jp/uploaded/life/17642_48417_misc.pdf と思われる）。別検索では同PDF中の表から2020〜2030年度との要約もあり不一致のため推定扱い。計画単独ページURLは未発見。 根拠: 計画期間は2023年度から2032年度までの10年間</t>
        </is>
      </c>
      <c r="S10" s="15" t="inlineStr">
        <is>
          <t>調査済</t>
        </is>
      </c>
      <c r="T10" s="11" t="inlineStr">
        <is>
          <t>掲載（広域：阿武隈急行線地域）</t>
        </is>
      </c>
    </row>
    <row r="11">
      <c r="A11" s="11" t="n">
        <v>8</v>
      </c>
      <c r="B11" s="11" t="inlineStr">
        <is>
          <t>多賀城市</t>
        </is>
      </c>
      <c r="C11" s="12">
        <f>IF(OR(D11="◎",E11="◎"),"◎ 営業",IF(OR(D11="△",E11="△"),"△ 着手済・要確認",IF(OR(D11="？",E11="？"),"？ 期間要確認","✕ 対象外")))</f>
        <v/>
      </c>
      <c r="D11" s="13">
        <f>IF(J11="計画なし","－",IF(J11="策定済","✕",IF(H11="","？",IF(AND(H11&gt;=TGT_MIN,H11&lt;=TGT_MAX),IF(J11="着手済","△","◎"),"✕"))))</f>
        <v/>
      </c>
      <c r="E11" s="13">
        <f>IF(P11="計画なし","－",IF(P11="策定済","✕",IF(N11="","？",IF(AND(N11&gt;=TGT_MIN,N11&lt;=TGT_MAX),IF(P11="着手済","△","◎"),"✕"))))</f>
        <v/>
      </c>
      <c r="F11" s="11" t="inlineStr">
        <is>
          <t>多賀城市地域公共交通計画</t>
        </is>
      </c>
      <c r="G11" s="11" t="inlineStr">
        <is>
          <t>R8〜R12</t>
        </is>
      </c>
      <c r="H11" s="13" t="n">
        <v>12</v>
      </c>
      <c r="I11" s="13" t="inlineStr">
        <is>
          <t>確認済</t>
        </is>
      </c>
      <c r="J11" s="13" t="inlineStr">
        <is>
          <t>着手済</t>
        </is>
      </c>
      <c r="K11" s="14" t="inlineStr">
        <is>
          <t>https://www.city.tagajo.miyagi.jp/toshike/kurashi/kotsu/documents/keikaku.pdf</t>
        </is>
      </c>
      <c r="L11" s="11" t="inlineStr">
        <is>
          <t>第三次多賀城市環境基本計画（R8.3改定）</t>
        </is>
      </c>
      <c r="M11" s="11" t="inlineStr">
        <is>
          <t>不明</t>
        </is>
      </c>
      <c r="N11" s="13" t="n"/>
      <c r="O11" s="13" t="inlineStr">
        <is>
          <t>不明</t>
        </is>
      </c>
      <c r="P11" s="13" t="inlineStr">
        <is>
          <t>策定済</t>
        </is>
      </c>
      <c r="Q11" s="11" t="n"/>
      <c r="R11" s="11" t="inlineStr">
        <is>
          <t>交通：新計画（R8〜R12）の案「令和8年 月 閲覧用」を確認（旧：多賀城市生活交通ネットワーク計画）。策定完了（R8.3頃か）は未確認のため着手済扱い、実質策定済の可能性大。協議会 https://www.city.tagajo.miyagi.jp/toshike/kurashi/kotsu/kokyo.html 。環境：第三次環境基本計画がR8.3改定と検索要約で確認、計画本体URL・期間は未取得。温暖化対策実行計画（区域施策編）https://www.city.tagajo.miyagi.jp/kankyo/shise/shisaku/kekaku/ondanka.html 。</t>
        </is>
      </c>
      <c r="S11" s="15" t="inlineStr">
        <is>
          <t>調査済</t>
        </is>
      </c>
      <c r="T11" s="11" t="inlineStr">
        <is>
          <t>掲載</t>
        </is>
      </c>
    </row>
    <row r="12">
      <c r="A12" s="11" t="n">
        <v>9</v>
      </c>
      <c r="B12" s="11" t="inlineStr">
        <is>
          <t>岩沼市</t>
        </is>
      </c>
      <c r="C12" s="12">
        <f>IF(OR(D12="◎",E12="◎"),"◎ 営業",IF(OR(D12="△",E12="△"),"△ 着手済・要確認",IF(OR(D12="？",E12="？"),"？ 期間要確認","✕ 対象外")))</f>
        <v/>
      </c>
      <c r="D12" s="13">
        <f>IF(J12="計画なし","－",IF(J12="策定済","✕",IF(H12="","？",IF(AND(H12&gt;=TGT_MIN,H12&lt;=TGT_MAX),IF(J12="着手済","△","◎"),"✕"))))</f>
        <v/>
      </c>
      <c r="E12" s="13">
        <f>IF(P12="計画なし","－",IF(P12="策定済","✕",IF(N12="","？",IF(AND(N12&gt;=TGT_MIN,N12&lt;=TGT_MAX),IF(P12="着手済","△","◎"),"✕"))))</f>
        <v/>
      </c>
      <c r="F12" s="11" t="inlineStr">
        <is>
          <t>岩沼市民バス運行計画</t>
        </is>
      </c>
      <c r="G12" s="11" t="inlineStr">
        <is>
          <t>R6〜R12</t>
        </is>
      </c>
      <c r="H12" s="13" t="n">
        <v>12</v>
      </c>
      <c r="I12" s="13" t="inlineStr">
        <is>
          <t>確認済</t>
        </is>
      </c>
      <c r="J12" s="13" t="inlineStr">
        <is>
          <t>未確認</t>
        </is>
      </c>
      <c r="K12" s="14" t="inlineStr">
        <is>
          <t>https://www.city.iwanuma.miyagi.jp/kurashi/kotsu/shimin-bus/documents/shinbuskeikaku.pdf</t>
        </is>
      </c>
      <c r="L12" s="11" t="inlineStr">
        <is>
          <t>岩沼市環境基本計画</t>
        </is>
      </c>
      <c r="M12" s="11" t="inlineStr">
        <is>
          <t>H28〜R7</t>
        </is>
      </c>
      <c r="N12" s="13" t="n">
        <v>7</v>
      </c>
      <c r="O12" s="13" t="inlineStr">
        <is>
          <t>確認済</t>
        </is>
      </c>
      <c r="P12" s="13" t="inlineStr">
        <is>
          <t>未確認</t>
        </is>
      </c>
      <c r="Q12" s="14" t="inlineStr">
        <is>
          <t>https://www.city.iwanuma.miyagi.jp/kurashi/kankyo-eisei/kankyo-eisei/kankyo-keikaku.html</t>
        </is>
      </c>
      <c r="R12" s="11" t="inlineStr">
        <is>
          <t>交通：法定の地域公共交通計画は検索で確認できず、市民バス運行計画（R4.11策定、R6〜R12）が実質的な交通計画。環境：R7(2025)で期間満了だが次期（第2次）計画の策定・パブコメ・審議会情報は検索で見つからず（要確認・有望）。宮城県岩沼市（他県の類似名に注意）。</t>
        </is>
      </c>
      <c r="S12" s="15" t="inlineStr">
        <is>
          <t>調査済</t>
        </is>
      </c>
      <c r="T12" s="17" t="inlineStr">
        <is>
          <t>未掲載【当方は計画あり】</t>
        </is>
      </c>
    </row>
    <row r="13">
      <c r="A13" s="11" t="n">
        <v>10</v>
      </c>
      <c r="B13" s="11" t="inlineStr">
        <is>
          <t>登米市</t>
        </is>
      </c>
      <c r="C13" s="12">
        <f>IF(OR(D13="◎",E13="◎"),"◎ 営業",IF(OR(D13="△",E13="△"),"△ 着手済・要確認",IF(OR(D13="？",E13="？"),"？ 期間要確認","✕ 対象外")))</f>
        <v/>
      </c>
      <c r="D13" s="13">
        <f>IF(J13="計画なし","－",IF(J13="策定済","✕",IF(H13="","？",IF(AND(H13&gt;=TGT_MIN,H13&lt;=TGT_MAX),IF(J13="着手済","△","◎"),"✕"))))</f>
        <v/>
      </c>
      <c r="E13" s="13">
        <f>IF(P13="計画なし","－",IF(P13="策定済","✕",IF(N13="","？",IF(AND(N13&gt;=TGT_MIN,N13&lt;=TGT_MAX),IF(P13="着手済","△","◎"),"✕"))))</f>
        <v/>
      </c>
      <c r="F13" s="11" t="inlineStr">
        <is>
          <t>登米市地域公共交通計画</t>
        </is>
      </c>
      <c r="G13" s="11" t="inlineStr">
        <is>
          <t>R7〜R11</t>
        </is>
      </c>
      <c r="H13" s="13" t="n">
        <v>11</v>
      </c>
      <c r="I13" s="13" t="inlineStr">
        <is>
          <t>確認済</t>
        </is>
      </c>
      <c r="J13" s="13" t="inlineStr">
        <is>
          <t>策定済</t>
        </is>
      </c>
      <c r="K13" s="14" t="inlineStr">
        <is>
          <t>https://www.city.tome.miyagi.jp/shiminkyodo/koukyoukoutsuu/documents/tomechikikoukyokotsukeikakuan.pdf</t>
        </is>
      </c>
      <c r="L13" s="11" t="inlineStr">
        <is>
          <t>第3次登米市環境基本計画</t>
        </is>
      </c>
      <c r="M13" s="11" t="inlineStr">
        <is>
          <t>R8〜R17</t>
        </is>
      </c>
      <c r="N13" s="13" t="n">
        <v>17</v>
      </c>
      <c r="O13" s="13" t="inlineStr">
        <is>
          <t>確認済</t>
        </is>
      </c>
      <c r="P13" s="13" t="inlineStr">
        <is>
          <t>策定済</t>
        </is>
      </c>
      <c r="Q13" s="14" t="inlineStr">
        <is>
          <t>https://www.city.tome.miyagi.jp/kankyo/shisejoho/gyose/sogokekaku/documents/3rdenviplan.pdf</t>
        </is>
      </c>
      <c r="R13" s="11" t="inlineStr">
        <is>
          <t>交通：R7〜R11の新計画（前身は第二次公共交通再編計画）。概要 https://www.city.tome.miyagi.jp/shiminkyodo/documents/tomeptp-gaiyou.pdf 。環境：第2次(H28〜R7)の後継として第3次(R8〜R17、前期/後期5年)を策定、パブコメ意見公表 https://www.city.tome.miyagi.jp/koshitu/shisejoho/kohokocho/publiccomment/ikenkobo/documents/080130_iken.pdf 。両計画とも更新済みで直近の改定需要は低い。</t>
        </is>
      </c>
      <c r="S13" s="15" t="inlineStr">
        <is>
          <t>調査済</t>
        </is>
      </c>
      <c r="T13" s="11" t="inlineStr">
        <is>
          <t>掲載</t>
        </is>
      </c>
    </row>
    <row r="14">
      <c r="A14" s="11" t="n">
        <v>11</v>
      </c>
      <c r="B14" s="11" t="inlineStr">
        <is>
          <t>栗原市</t>
        </is>
      </c>
      <c r="C14" s="12">
        <f>IF(OR(D14="◎",E14="◎"),"◎ 営業",IF(OR(D14="△",E14="△"),"△ 着手済・要確認",IF(OR(D14="？",E14="？"),"？ 期間要確認","✕ 対象外")))</f>
        <v/>
      </c>
      <c r="D14" s="13">
        <f>IF(J14="計画なし","－",IF(J14="策定済","✕",IF(H14="","？",IF(AND(H14&gt;=TGT_MIN,H14&lt;=TGT_MAX),IF(J14="着手済","△","◎"),"✕"))))</f>
        <v/>
      </c>
      <c r="E14" s="13">
        <f>IF(P14="計画なし","－",IF(P14="策定済","✕",IF(N14="","？",IF(AND(N14&gt;=TGT_MIN,N14&lt;=TGT_MAX),IF(P14="着手済","△","◎"),"✕"))))</f>
        <v/>
      </c>
      <c r="F14" s="11" t="inlineStr">
        <is>
          <t>栗原市地域公共交通計画（前身：栗原市地域公共交通網形成計画）</t>
        </is>
      </c>
      <c r="G14" s="11" t="inlineStr">
        <is>
          <t>不明</t>
        </is>
      </c>
      <c r="H14" s="13" t="n"/>
      <c r="I14" s="13" t="inlineStr">
        <is>
          <t>不明</t>
        </is>
      </c>
      <c r="J14" s="13" t="inlineStr">
        <is>
          <t>未確認</t>
        </is>
      </c>
      <c r="K14" s="14" t="inlineStr">
        <is>
          <t>https://www.kuriharacity.jp/li/010/020/120/index.html</t>
        </is>
      </c>
      <c r="L14" s="11" t="inlineStr">
        <is>
          <t>第2次栗原市環境基本計画</t>
        </is>
      </c>
      <c r="M14" s="11" t="inlineStr">
        <is>
          <t>H30〜R9（10年間）</t>
        </is>
      </c>
      <c r="N14" s="13" t="n">
        <v>9</v>
      </c>
      <c r="O14" s="13" t="inlineStr">
        <is>
          <t>確認済</t>
        </is>
      </c>
      <c r="P14" s="13" t="inlineStr">
        <is>
          <t>着手済</t>
        </is>
      </c>
      <c r="Q14" s="14" t="inlineStr">
        <is>
          <t>https://www.kuriharacity.jp/w012/010/010/020/120/51193.html</t>
        </is>
      </c>
      <c r="R14" s="11" t="inlineStr">
        <is>
          <t>交通：市企画部所管の地域公共交通計画の存在は市サイトで確認、期間は検索で確認できず。広報くりはら2024『特集 生まれ変わる地域公共交通』 https://www.kuriharacity.jp/w009/030/010/2024/379/kurihara379_02.pdf 。環境：第2次計画の存在のみ確認、期間不明（第2次総合計画がH29〜R8のため連動していればR8終期の可能性、要確認）。 【追加調査 2026-10】環境：第2次栗原市環境基本計画はH30（2018）〜R9（2027）年度の10年間（計画ページ https://www.kuriharacity.jp/w012/010/010/020/120/51193.html の検索結果）。次期：『第3次栗原市環境基本計画策定支援業務』が市の2026年6月入札結果に掲載（R8.6.3執行）https://www.kuriharacity.jp/w004/030/010/030/20260114/202606/PAGE000000000000015506.html →着手済。第3次総合計画（R9〜）も並行策定中。 根拠: 第2次栗原市環境基本計画…2018年度から2027年度までの10年間</t>
        </is>
      </c>
      <c r="S14" s="15" t="inlineStr">
        <is>
          <t>調査済</t>
        </is>
      </c>
      <c r="T14" s="11" t="inlineStr">
        <is>
          <t>掲載</t>
        </is>
      </c>
    </row>
    <row r="15">
      <c r="A15" s="11" t="n">
        <v>12</v>
      </c>
      <c r="B15" s="11" t="inlineStr">
        <is>
          <t>東松島市</t>
        </is>
      </c>
      <c r="C15" s="12">
        <f>IF(OR(D15="◎",E15="◎"),"◎ 営業",IF(OR(D15="△",E15="△"),"△ 着手済・要確認",IF(OR(D15="？",E15="？"),"？ 期間要確認","✕ 対象外")))</f>
        <v/>
      </c>
      <c r="D15" s="13">
        <f>IF(J15="計画なし","－",IF(J15="策定済","✕",IF(H15="","？",IF(AND(H15&gt;=TGT_MIN,H15&lt;=TGT_MAX),IF(J15="着手済","△","◎"),"✕"))))</f>
        <v/>
      </c>
      <c r="E15" s="13">
        <f>IF(P15="計画なし","－",IF(P15="策定済","✕",IF(N15="","？",IF(AND(N15&gt;=TGT_MIN,N15&lt;=TGT_MAX),IF(P15="着手済","△","◎"),"✕"))))</f>
        <v/>
      </c>
      <c r="F15" s="11" t="inlineStr">
        <is>
          <t>東松島市地域公共交通網形成計画（+再編実施計画 H30.12）</t>
        </is>
      </c>
      <c r="G15" s="11" t="inlineStr">
        <is>
          <t>H29〜R3</t>
        </is>
      </c>
      <c r="H15" s="13" t="n">
        <v>3</v>
      </c>
      <c r="I15" s="13" t="inlineStr">
        <is>
          <t>確認済</t>
        </is>
      </c>
      <c r="J15" s="13" t="inlineStr">
        <is>
          <t>未確認</t>
        </is>
      </c>
      <c r="K15" s="14" t="inlineStr">
        <is>
          <t>https://www.city.higashimatsushima.miyagi.jp/shisei/shisaku-keikaku/kihonkeikaku/kokyokotsumo-keisei.html</t>
        </is>
      </c>
      <c r="L15" s="11" t="inlineStr">
        <is>
          <t>東松島市第2次環境基本計画</t>
        </is>
      </c>
      <c r="M15" s="11" t="inlineStr">
        <is>
          <t>H29〜R8</t>
        </is>
      </c>
      <c r="N15" s="13" t="n">
        <v>8</v>
      </c>
      <c r="O15" s="13" t="inlineStr">
        <is>
          <t>確認済</t>
        </is>
      </c>
      <c r="P15" s="13" t="inlineStr">
        <is>
          <t>未確認</t>
        </is>
      </c>
      <c r="Q15" s="14" t="inlineStr">
        <is>
          <t>https://www.city.higashimatsushima.miyagi.jp/shisei/shisaku-keikaku/kihonkeikaku/index.html</t>
        </is>
      </c>
      <c r="R15" s="11" t="inlineStr">
        <is>
          <t>交通：網形成計画はH29.11策定・H29〜R3。後継の地域公共交通計画は検索で確認できず（期間満了後の更新状況要確認、有望）。環境：第2次はFY2017〜2026(R8)で本年度終期、第3次策定作業はR8中に進行しているはずだが検索では未確認（有望）。関連：地球温暖化対策総合計画 https://www.city.higashimatsushima.miyagi.jp/shisei/shisaku-keikaku/kihonkeikaku/chikyuuonndannka.html 、第3次総合計画も策定中。</t>
        </is>
      </c>
      <c r="S15" s="15" t="inlineStr">
        <is>
          <t>調査済</t>
        </is>
      </c>
      <c r="T15" s="17" t="inlineStr">
        <is>
          <t>掲載／期間満了</t>
        </is>
      </c>
    </row>
    <row r="16">
      <c r="A16" s="11" t="n">
        <v>13</v>
      </c>
      <c r="B16" s="11" t="inlineStr">
        <is>
          <t>大崎市</t>
        </is>
      </c>
      <c r="C16" s="12">
        <f>IF(OR(D16="◎",E16="◎"),"◎ 営業",IF(OR(D16="△",E16="△"),"△ 着手済・要確認",IF(OR(D16="？",E16="？"),"？ 期間要確認","✕ 対象外")))</f>
        <v/>
      </c>
      <c r="D16" s="13">
        <f>IF(J16="計画なし","－",IF(J16="策定済","✕",IF(H16="","？",IF(AND(H16&gt;=TGT_MIN,H16&lt;=TGT_MAX),IF(J16="着手済","△","◎"),"✕"))))</f>
        <v/>
      </c>
      <c r="E16" s="13">
        <f>IF(P16="計画なし","－",IF(P16="策定済","✕",IF(N16="","？",IF(AND(N16&gt;=TGT_MIN,N16&lt;=TGT_MAX),IF(P16="着手済","△","◎"),"✕"))))</f>
        <v/>
      </c>
      <c r="F16" s="11" t="inlineStr">
        <is>
          <t>大崎市地域公共交通計画（都市・地域総合交通戦略と一体）</t>
        </is>
      </c>
      <c r="G16" s="11" t="inlineStr">
        <is>
          <t>R3〜R12</t>
        </is>
      </c>
      <c r="H16" s="13" t="n">
        <v>12</v>
      </c>
      <c r="I16" s="13" t="inlineStr">
        <is>
          <t>確認済</t>
        </is>
      </c>
      <c r="J16" s="13" t="inlineStr">
        <is>
          <t>未確認</t>
        </is>
      </c>
      <c r="K16" s="14" t="inlineStr">
        <is>
          <t>https://www.city.osaki.miyagi.jp/shisei/soshikikarasagasu/shiminkyodousuishimbu/machizukurisuishinka/3/2/1/3214.html</t>
        </is>
      </c>
      <c r="L16" s="11" t="inlineStr">
        <is>
          <t>第2次大崎市環境基本計画</t>
        </is>
      </c>
      <c r="M16" s="11" t="inlineStr">
        <is>
          <t>R2〜R11</t>
        </is>
      </c>
      <c r="N16" s="13" t="n">
        <v>11</v>
      </c>
      <c r="O16" s="13" t="inlineStr">
        <is>
          <t>確認済</t>
        </is>
      </c>
      <c r="P16" s="13" t="inlineStr">
        <is>
          <t>未確認</t>
        </is>
      </c>
      <c r="Q16" s="14" t="inlineStr">
        <is>
          <t>https://www.city.osaki.miyagi.jp/material/files/group/12/20200421-200432.pdf</t>
        </is>
      </c>
      <c r="R16" s="11" t="inlineStr">
        <is>
          <t>交通：前身は網形成計画。中間案パブコメR4.1.7〜1.26（https://www.city.osaki.miyagi.jp/shisei/soshikikarasagasu/shiminkyodousuishimbu/machizukurisuishinka/3/1/1/3215.html）、期間は中間案記載の10年(R3〜R12)。広域：大崎定住自立圏（大崎市・色麻・加美・涌谷・美里）第3次共生ビジョン https://www.city.osaki.miyagi.jp/material/files/group/10/3rd_vision_20220331.pdf （交通専用の広域計画は未確認）。第3次大崎市総合計画策定支援プロポ実施 https://www.city.osaki.miyagi.jp/shisei/soshikikarasagasu/shiminkyodousuishimbu/seisakuka/2_1/20665.html 。環境：R2〜R11、次期作業なし。</t>
        </is>
      </c>
      <c r="S16" s="15" t="inlineStr">
        <is>
          <t>調査済</t>
        </is>
      </c>
      <c r="T16" s="11" t="inlineStr">
        <is>
          <t>掲載</t>
        </is>
      </c>
    </row>
    <row r="17">
      <c r="A17" s="11" t="n">
        <v>14</v>
      </c>
      <c r="B17" s="11" t="inlineStr">
        <is>
          <t>富谷市</t>
        </is>
      </c>
      <c r="C17" s="12">
        <f>IF(OR(D17="◎",E17="◎"),"◎ 営業",IF(OR(D17="△",E17="△"),"△ 着手済・要確認",IF(OR(D17="？",E17="？"),"？ 期間要確認","✕ 対象外")))</f>
        <v/>
      </c>
      <c r="D17" s="13">
        <f>IF(J17="計画なし","－",IF(J17="策定済","✕",IF(H17="","？",IF(AND(H17&gt;=TGT_MIN,H17&lt;=TGT_MAX),IF(J17="着手済","△","◎"),"✕"))))</f>
        <v/>
      </c>
      <c r="E17" s="13">
        <f>IF(P17="計画なし","－",IF(P17="策定済","✕",IF(N17="","？",IF(AND(N17&gt;=TGT_MIN,N17&lt;=TGT_MAX),IF(P17="着手済","△","◎"),"✕"))))</f>
        <v/>
      </c>
      <c r="F17" s="11" t="inlineStr">
        <is>
          <t>富谷市地域公共交通計画</t>
        </is>
      </c>
      <c r="G17" s="11" t="inlineStr">
        <is>
          <t>R7〜R11</t>
        </is>
      </c>
      <c r="H17" s="13" t="n">
        <v>11</v>
      </c>
      <c r="I17" s="13" t="inlineStr">
        <is>
          <t>確認済</t>
        </is>
      </c>
      <c r="J17" s="13" t="inlineStr">
        <is>
          <t>策定済</t>
        </is>
      </c>
      <c r="K17" s="14" t="inlineStr">
        <is>
          <t>https://www.tomiya-city.miyagi.jp/uploads/pdf/b4883b320d97c8ac81041749b47dad0a9397ae5e.pdf</t>
        </is>
      </c>
      <c r="L17" s="11" t="n"/>
      <c r="M17" s="11" t="inlineStr">
        <is>
          <t>不明</t>
        </is>
      </c>
      <c r="N17" s="13" t="n"/>
      <c r="O17" s="13" t="inlineStr">
        <is>
          <t>不明</t>
        </is>
      </c>
      <c r="P17" s="13" t="inlineStr">
        <is>
          <t>未確認</t>
        </is>
      </c>
      <c r="Q17" s="11" t="n"/>
      <c r="R17" s="11" t="inlineStr">
        <is>
          <t>交通：R7.3策定（R6年度）、t_urlはR7.3協議会資料の計画（案）。都市・地域総合交通戦略 https://www.tomiya-city.miyagi.jp/shisei/keikaku/keikaku/nek5ga2.html 。環境：単独の環境基本計画は検索で確認できず（計画なしの可能性、市HP計画一覧 https://www.tomiya-city.miyagi.jp/shisei/keikaku/ 要確認）。温暖化対策実行計画は存在。第2次富谷市総合計画をR8年度開始で策定。 【追加調査 2026-10】環境：市ドメイン検索・計画一覧系検索（計2回）で環境基本計画はヒットせず。総合計画の関連計画として地球温暖化対策実行計画・2050年ゼロカーボン戦略 https://www.tomiya-city.miyagi.jp/kurashi/kankyou/zerocarbon/zero2050.html は挙がるが環境基本計画の記載は見当たらない（要約ベース）。計画なしの可能性が高いが公式一覧での確認ができず未断定。</t>
        </is>
      </c>
      <c r="S17" s="18" t="inlineStr">
        <is>
          <t>交通のみ調査</t>
        </is>
      </c>
      <c r="T17" s="11" t="inlineStr">
        <is>
          <t>掲載</t>
        </is>
      </c>
    </row>
    <row r="18">
      <c r="A18" s="11" t="n">
        <v>15</v>
      </c>
      <c r="B18" s="11" t="inlineStr">
        <is>
          <t>蔵王町</t>
        </is>
      </c>
      <c r="C18" s="12">
        <f>IF(OR(D18="◎",E18="◎"),"◎ 営業",IF(OR(D18="△",E18="△"),"△ 着手済・要確認",IF(OR(D18="？",E18="？"),"？ 期間要確認","✕ 対象外")))</f>
        <v/>
      </c>
      <c r="D18" s="13">
        <f>IF(J18="計画なし","－",IF(J18="策定済","✕",IF(H18="","？",IF(AND(H18&gt;=TGT_MIN,H18&lt;=TGT_MAX),IF(J18="着手済","△","◎"),"✕"))))</f>
        <v/>
      </c>
      <c r="E18" s="13">
        <f>IF(P18="計画なし","－",IF(P18="策定済","✕",IF(N18="","？",IF(AND(N18&gt;=TGT_MIN,N18&lt;=TGT_MAX),IF(P18="着手済","△","◎"),"✕"))))</f>
        <v/>
      </c>
      <c r="F18" s="11" t="inlineStr">
        <is>
          <t>蔵王町地域公共交通計画</t>
        </is>
      </c>
      <c r="G18" s="11" t="inlineStr">
        <is>
          <t>R4〜R8</t>
        </is>
      </c>
      <c r="H18" s="13" t="n">
        <v>8</v>
      </c>
      <c r="I18" s="13" t="inlineStr">
        <is>
          <t>確認済</t>
        </is>
      </c>
      <c r="J18" s="13" t="inlineStr">
        <is>
          <t>未確認</t>
        </is>
      </c>
      <c r="K18" s="14" t="inlineStr">
        <is>
          <t>https://www.town.zao.miyagi.jp/kurashi_guide/seikatsu_kankyo/koutuu/koukyoukoutsuu.html</t>
        </is>
      </c>
      <c r="L18" s="11" t="inlineStr">
        <is>
          <t>第2次蔵王町環境基本計画</t>
        </is>
      </c>
      <c r="M18" s="11" t="inlineStr">
        <is>
          <t>R5〜R14</t>
        </is>
      </c>
      <c r="N18" s="13" t="n">
        <v>14</v>
      </c>
      <c r="O18" s="13" t="inlineStr">
        <is>
          <t>確認済</t>
        </is>
      </c>
      <c r="P18" s="13" t="inlineStr">
        <is>
          <t>未確認</t>
        </is>
      </c>
      <c r="Q18" s="14" t="inlineStr">
        <is>
          <t>https://town.zao.miyagi.jp/section/kankyo/kankyou/kihonkeikaku.files/kankyoukeikaku2.pdf</t>
        </is>
      </c>
      <c r="R18" s="11" t="inlineStr">
        <is>
          <t>交通：R8(2026)年度終期。R8施政方針（R8.3.2）で次期計画策定に向けた準備に言及との検索要約あり https://www.town.zao.miyagi.jp/section/oshirase/hiroba/message.files/R8shisei.pdf 。交通計画策定支援業務の公告は未確認（町HP公募型プロポ一覧 https://town.zao.miyagi.jp/kurashi_guide/sangyo_kensetsu/nyuusatu/puropo.html 要確認・最有望）。概要版 https://www.town.zao.miyagi.jp/kurashi_guide/seikatsu_kankyo/koutuu/koukyoukoutsuu.files/koukyoukoutsuu_gaiyou0330.pdf 。関連：第六次長期総合計画策定支援プロポ（R8.6.5）https://www.town.zao.miyagi.jp/kurashi_guide/sangyo_kensetsu/nyuusatu/koukoku/soumu20260605.html 。広域の仙南地域公共交通計画は検索で確認できず。</t>
        </is>
      </c>
      <c r="S18" s="15" t="inlineStr">
        <is>
          <t>調査済</t>
        </is>
      </c>
      <c r="T18" s="11" t="inlineStr">
        <is>
          <t>掲載</t>
        </is>
      </c>
    </row>
    <row r="19">
      <c r="A19" s="11" t="n">
        <v>16</v>
      </c>
      <c r="B19" s="11" t="inlineStr">
        <is>
          <t>七ヶ宿町</t>
        </is>
      </c>
      <c r="C19" s="12">
        <f>IF(OR(D19="◎",E19="◎"),"◎ 営業",IF(OR(D19="△",E19="△"),"△ 着手済・要確認",IF(OR(D19="？",E19="？"),"？ 期間要確認","✕ 対象外")))</f>
        <v/>
      </c>
      <c r="D19" s="13">
        <f>IF(J19="計画なし","－",IF(J19="策定済","✕",IF(H19="","？",IF(AND(H19&gt;=TGT_MIN,H19&lt;=TGT_MAX),IF(J19="着手済","△","◎"),"✕"))))</f>
        <v/>
      </c>
      <c r="E19" s="13">
        <f>IF(P19="計画なし","－",IF(P19="策定済","✕",IF(N19="","？",IF(AND(N19&gt;=TGT_MIN,N19&lt;=TGT_MAX),IF(P19="着手済","△","◎"),"✕"))))</f>
        <v/>
      </c>
      <c r="F19" s="11" t="n"/>
      <c r="G19" s="11" t="inlineStr">
        <is>
          <t>不明</t>
        </is>
      </c>
      <c r="H19" s="13" t="n"/>
      <c r="I19" s="13" t="inlineStr">
        <is>
          <t>不明</t>
        </is>
      </c>
      <c r="J19" s="13" t="inlineStr">
        <is>
          <t>未確認</t>
        </is>
      </c>
      <c r="K19" s="11" t="n"/>
      <c r="L19" s="11" t="n"/>
      <c r="M19" s="11" t="inlineStr">
        <is>
          <t>不明</t>
        </is>
      </c>
      <c r="N19" s="13" t="n"/>
      <c r="O19" s="13" t="inlineStr">
        <is>
          <t>不明</t>
        </is>
      </c>
      <c r="P19" s="13" t="inlineStr">
        <is>
          <t>計画なし</t>
        </is>
      </c>
      <c r="Q19" s="11" t="n"/>
      <c r="R19" s="11" t="inlineStr">
        <is>
          <t>交通：町営バス3路線を運行（https://town.shichikashuku.miyagi.jp/life/bus.html）が、地域公共交通計画は町の計画一覧（https://town.shichikashuku.miyagi.jp/town/plan/）の検索結果に見当たらず。環境：環境基本計画は確認できず（計画なしと推定）、代替として再生可能エネルギー発電基本計画あり。広域の仙南地域計画も未確認。</t>
        </is>
      </c>
      <c r="S19" s="18" t="inlineStr">
        <is>
          <t>環境のみ調査</t>
        </is>
      </c>
      <c r="T19" s="11" t="inlineStr">
        <is>
          <t>未掲載</t>
        </is>
      </c>
    </row>
    <row r="20">
      <c r="A20" s="11" t="n">
        <v>17</v>
      </c>
      <c r="B20" s="11" t="inlineStr">
        <is>
          <t>大河原町</t>
        </is>
      </c>
      <c r="C20" s="12">
        <f>IF(OR(D20="◎",E20="◎"),"◎ 営業",IF(OR(D20="△",E20="△"),"△ 着手済・要確認",IF(OR(D20="？",E20="？"),"？ 期間要確認","✕ 対象外")))</f>
        <v/>
      </c>
      <c r="D20" s="13">
        <f>IF(J20="計画なし","－",IF(J20="策定済","✕",IF(H20="","？",IF(AND(H20&gt;=TGT_MIN,H20&lt;=TGT_MAX),IF(J20="着手済","△","◎"),"✕"))))</f>
        <v/>
      </c>
      <c r="E20" s="13">
        <f>IF(P20="計画なし","－",IF(P20="策定済","✕",IF(N20="","？",IF(AND(N20&gt;=TGT_MIN,N20&lt;=TGT_MAX),IF(P20="着手済","△","◎"),"✕"))))</f>
        <v/>
      </c>
      <c r="F20" s="11" t="n"/>
      <c r="G20" s="11" t="inlineStr">
        <is>
          <t>不明</t>
        </is>
      </c>
      <c r="H20" s="13" t="n"/>
      <c r="I20" s="13" t="inlineStr">
        <is>
          <t>不明</t>
        </is>
      </c>
      <c r="J20" s="13" t="inlineStr">
        <is>
          <t>未確認</t>
        </is>
      </c>
      <c r="K20" s="14" t="inlineStr">
        <is>
          <t>https://www.town.ogawara.miyagi.jp/1292.htm</t>
        </is>
      </c>
      <c r="L20" s="11" t="inlineStr">
        <is>
          <t>第2次大河原町環境基本計画</t>
        </is>
      </c>
      <c r="M20" s="11" t="inlineStr">
        <is>
          <t>R7〜（終期不明）</t>
        </is>
      </c>
      <c r="N20" s="16" t="n"/>
      <c r="O20" s="13" t="inlineStr">
        <is>
          <t>推定</t>
        </is>
      </c>
      <c r="P20" s="13" t="inlineStr">
        <is>
          <t>策定済</t>
        </is>
      </c>
      <c r="Q20" s="14" t="inlineStr">
        <is>
          <t>https://www.town.ogawara.miyagi.jp/7882.htm</t>
        </is>
      </c>
      <c r="R20" s="11" t="inlineStr">
        <is>
          <t>交通：大河原町地域公共交通協議会（https://www.town.ogawara.miyagi.jp/1292.htm）とデマンド型乗合タクシー（H24〜）は確認、法定の地域公共交通計画の名称・期間は検索で確認できず。広域の仙南地域公共交通計画も未確認。環境：第1次はH23〜R6、後継の第2次の策定ページあり（期間は検索結果に記載なし、R7開始と推定・採択時期要確認）。</t>
        </is>
      </c>
      <c r="S20" s="15" t="inlineStr">
        <is>
          <t>調査済</t>
        </is>
      </c>
      <c r="T20" s="17" t="inlineStr">
        <is>
          <t>未掲載【当方は計画あり】</t>
        </is>
      </c>
    </row>
    <row r="21">
      <c r="A21" s="11" t="n">
        <v>18</v>
      </c>
      <c r="B21" s="11" t="inlineStr">
        <is>
          <t>村田町</t>
        </is>
      </c>
      <c r="C21" s="12">
        <f>IF(OR(D21="◎",E21="◎"),"◎ 営業",IF(OR(D21="△",E21="△"),"△ 着手済・要確認",IF(OR(D21="？",E21="？"),"？ 期間要確認","✕ 対象外")))</f>
        <v/>
      </c>
      <c r="D21" s="13">
        <f>IF(J21="計画なし","－",IF(J21="策定済","✕",IF(H21="","？",IF(AND(H21&gt;=TGT_MIN,H21&lt;=TGT_MAX),IF(J21="着手済","△","◎"),"✕"))))</f>
        <v/>
      </c>
      <c r="E21" s="13">
        <f>IF(P21="計画なし","－",IF(P21="策定済","✕",IF(N21="","？",IF(AND(N21&gt;=TGT_MIN,N21&lt;=TGT_MAX),IF(P21="着手済","△","◎"),"✕"))))</f>
        <v/>
      </c>
      <c r="F21" s="11" t="n"/>
      <c r="G21" s="11" t="inlineStr">
        <is>
          <t>不明</t>
        </is>
      </c>
      <c r="H21" s="13" t="n"/>
      <c r="I21" s="13" t="inlineStr">
        <is>
          <t>不明</t>
        </is>
      </c>
      <c r="J21" s="13" t="inlineStr">
        <is>
          <t>未確認</t>
        </is>
      </c>
      <c r="K21" s="11" t="n"/>
      <c r="L21" s="11" t="n"/>
      <c r="M21" s="11" t="inlineStr">
        <is>
          <t>不明</t>
        </is>
      </c>
      <c r="N21" s="13" t="n"/>
      <c r="O21" s="13" t="inlineStr">
        <is>
          <t>不明</t>
        </is>
      </c>
      <c r="P21" s="13" t="inlineStr">
        <is>
          <t>計画なし</t>
        </is>
      </c>
      <c r="Q21" s="11" t="n"/>
      <c r="R21" s="11" t="inlineStr">
        <is>
          <t>交通：村田町地域公共交通会議（道路運送法）設置要綱 https://www.town.murata.miyagi.jp/cyosei/on-line/reiki_int/reiki_honbun/c215RG00000781.html 、町民バス等運行 https://www.town.murata.miyagi.jp/kurashi/kostu/bus/index.html 。法定の地域公共交通計画は検索で確認できず（未策定の可能性）。環境：環境基本計画は町HP検索で見当たらず（計画なしと推定）。広域の仙南地域計画も未確認。</t>
        </is>
      </c>
      <c r="S21" s="18" t="inlineStr">
        <is>
          <t>環境のみ調査</t>
        </is>
      </c>
      <c r="T21" s="11" t="inlineStr">
        <is>
          <t>未掲載</t>
        </is>
      </c>
    </row>
    <row r="22">
      <c r="A22" s="11" t="n">
        <v>19</v>
      </c>
      <c r="B22" s="11" t="inlineStr">
        <is>
          <t>柴田町</t>
        </is>
      </c>
      <c r="C22" s="12">
        <f>IF(OR(D22="◎",E22="◎"),"◎ 営業",IF(OR(D22="△",E22="△"),"△ 着手済・要確認",IF(OR(D22="？",E22="？"),"？ 期間要確認","✕ 対象外")))</f>
        <v/>
      </c>
      <c r="D22" s="13">
        <f>IF(J22="計画なし","－",IF(J22="策定済","✕",IF(H22="","？",IF(AND(H22&gt;=TGT_MIN,H22&lt;=TGT_MAX),IF(J22="着手済","△","◎"),"✕"))))</f>
        <v/>
      </c>
      <c r="E22" s="13">
        <f>IF(P22="計画なし","－",IF(P22="策定済","✕",IF(N22="","？",IF(AND(N22&gt;=TGT_MIN,N22&lt;=TGT_MAX),IF(P22="着手済","△","◎"),"✕"))))</f>
        <v/>
      </c>
      <c r="F22" s="11" t="inlineStr">
        <is>
          <t>阿武隈急行線地域公共交通計画（福島市・伊達市・角田市・柴田町・丸森町・両県共同）</t>
        </is>
      </c>
      <c r="G22" s="11" t="inlineStr">
        <is>
          <t>R7〜（詳細不明）</t>
        </is>
      </c>
      <c r="H22" s="13" t="n"/>
      <c r="I22" s="13" t="inlineStr">
        <is>
          <t>不明</t>
        </is>
      </c>
      <c r="J22" s="13" t="inlineStr">
        <is>
          <t>策定済</t>
        </is>
      </c>
      <c r="K22" s="14" t="inlineStr">
        <is>
          <t>https://www.pref.miyagi.jp/soshiki/soukou/abukumakyougikai-keikaku2.html</t>
        </is>
      </c>
      <c r="L22" s="11" t="inlineStr">
        <is>
          <t>第3次柴田町環境基本計画</t>
        </is>
      </c>
      <c r="M22" s="11" t="inlineStr">
        <is>
          <t>R5〜R14（推定）</t>
        </is>
      </c>
      <c r="N22" s="16" t="n">
        <v>14</v>
      </c>
      <c r="O22" s="13" t="inlineStr">
        <is>
          <t>推定</t>
        </is>
      </c>
      <c r="P22" s="13" t="inlineStr">
        <is>
          <t>未確認</t>
        </is>
      </c>
      <c r="Q22" s="14" t="inlineStr">
        <is>
          <t>https://www.town.shibata.miyagi.jp/index.cfm/82,54128,c,html/54128/20230329-105154.pdf</t>
        </is>
      </c>
      <c r="R22" s="11" t="inlineStr">
        <is>
          <t>交通：町単独の地域公共交通計画は検索で見当たらず（デマンド型乗合タクシー「はなみちゃんGO」運行）。阿武隈急行線沿線協議会が旧網形成計画（2019〜2028）の後継として新計画を策定、パブコメR7.11.7〜11.27、結果公表R7.12.22。宮城県地域公共交通計画（R8〜R14）も町域を含む https://www.pref.miyagi.jp/soshiki/soukou/20240520.html 。環境：R5.3策定の第3次計画、R5〜R14の10年間（検索要約で言及、本文未検証のため推定）。</t>
        </is>
      </c>
      <c r="S22" s="15" t="inlineStr">
        <is>
          <t>調査済</t>
        </is>
      </c>
      <c r="T22" s="11" t="inlineStr">
        <is>
          <t>掲載（広域：阿武隈急行線地域）</t>
        </is>
      </c>
    </row>
    <row r="23">
      <c r="A23" s="11" t="n">
        <v>20</v>
      </c>
      <c r="B23" s="11" t="inlineStr">
        <is>
          <t>川崎町</t>
        </is>
      </c>
      <c r="C23" s="12">
        <f>IF(OR(D23="◎",E23="◎"),"◎ 営業",IF(OR(D23="△",E23="△"),"△ 着手済・要確認",IF(OR(D23="？",E23="？"),"？ 期間要確認","✕ 対象外")))</f>
        <v/>
      </c>
      <c r="D23" s="13">
        <f>IF(J23="計画なし","－",IF(J23="策定済","✕",IF(H23="","？",IF(AND(H23&gt;=TGT_MIN,H23&lt;=TGT_MAX),IF(J23="着手済","△","◎"),"✕"))))</f>
        <v/>
      </c>
      <c r="E23" s="13">
        <f>IF(P23="計画なし","－",IF(P23="策定済","✕",IF(N23="","？",IF(AND(N23&gt;=TGT_MIN,N23&lt;=TGT_MAX),IF(P23="着手済","△","◎"),"✕"))))</f>
        <v/>
      </c>
      <c r="F23" s="11" t="inlineStr">
        <is>
          <t>川崎町地域公共交通総合連携計画（旧制度計画）</t>
        </is>
      </c>
      <c r="G23" s="11" t="inlineStr">
        <is>
          <t>不明</t>
        </is>
      </c>
      <c r="H23" s="13" t="n"/>
      <c r="I23" s="13" t="inlineStr">
        <is>
          <t>不明</t>
        </is>
      </c>
      <c r="J23" s="13" t="inlineStr">
        <is>
          <t>未確認</t>
        </is>
      </c>
      <c r="K23" s="14" t="inlineStr">
        <is>
          <t>https://www.town.kawasaki.miyagi.jp/soshiki/chishin/484.html</t>
        </is>
      </c>
      <c r="L23" s="11" t="n"/>
      <c r="M23" s="11" t="inlineStr">
        <is>
          <t>不明</t>
        </is>
      </c>
      <c r="N23" s="13" t="n"/>
      <c r="O23" s="13" t="inlineStr">
        <is>
          <t>不明</t>
        </is>
      </c>
      <c r="P23" s="13" t="inlineStr">
        <is>
          <t>計画なし</t>
        </is>
      </c>
      <c r="Q23" s="11" t="n"/>
      <c r="R23" s="11" t="inlineStr">
        <is>
          <t>交通：町の計画は旧法の総合連携計画のみ確認（期間不明、失効の可能性大）。地域公共交通計画（活性化再生法改正後）は未確認。ミヤコーバス川崎線（村田〜川崎）がR8.10.1廃止予定との県資料あり https://www.pref.miyagi.jp/documents/66328/09_siryou09_.pdf ―公共交通再編・計画策定ニーズあり。宮城県地域公共交通計画（R8〜R14）が町域を含む。環境：環境基本計画は検索で見当たらず。代替として川崎町地球温暖化対策実行計画（各種計画ページ、R7.4.1更新） https://www.town.kawasaki.miyagi.jp/life/6/30/124/ 。</t>
        </is>
      </c>
      <c r="S23" s="15" t="inlineStr">
        <is>
          <t>調査済</t>
        </is>
      </c>
      <c r="T23" s="17" t="inlineStr">
        <is>
          <t>未掲載【当方は計画あり】</t>
        </is>
      </c>
    </row>
    <row r="24">
      <c r="A24" s="11" t="n">
        <v>21</v>
      </c>
      <c r="B24" s="11" t="inlineStr">
        <is>
          <t>丸森町</t>
        </is>
      </c>
      <c r="C24" s="12">
        <f>IF(OR(D24="◎",E24="◎"),"◎ 営業",IF(OR(D24="△",E24="△"),"△ 着手済・要確認",IF(OR(D24="？",E24="？"),"？ 期間要確認","✕ 対象外")))</f>
        <v/>
      </c>
      <c r="D24" s="13">
        <f>IF(J24="計画なし","－",IF(J24="策定済","✕",IF(H24="","？",IF(AND(H24&gt;=TGT_MIN,H24&lt;=TGT_MAX),IF(J24="着手済","△","◎"),"✕"))))</f>
        <v/>
      </c>
      <c r="E24" s="13">
        <f>IF(P24="計画なし","－",IF(P24="策定済","✕",IF(N24="","？",IF(AND(N24&gt;=TGT_MIN,N24&lt;=TGT_MAX),IF(P24="着手済","△","◎"),"✕"))))</f>
        <v/>
      </c>
      <c r="F24" s="11" t="inlineStr">
        <is>
          <t>丸森町地域公共交通計画</t>
        </is>
      </c>
      <c r="G24" s="11" t="inlineStr">
        <is>
          <t>R6〜R10（推定）</t>
        </is>
      </c>
      <c r="H24" s="16" t="n">
        <v>10</v>
      </c>
      <c r="I24" s="13" t="inlineStr">
        <is>
          <t>推定</t>
        </is>
      </c>
      <c r="J24" s="13" t="inlineStr">
        <is>
          <t>未確認</t>
        </is>
      </c>
      <c r="K24" s="14" t="inlineStr">
        <is>
          <t>http://www.town.marumori.miyagi.jp/common/img/content/content_20240411_180249.pdf</t>
        </is>
      </c>
      <c r="L24" s="11" t="n"/>
      <c r="M24" s="11" t="inlineStr">
        <is>
          <t>不明</t>
        </is>
      </c>
      <c r="N24" s="13" t="n"/>
      <c r="O24" s="13" t="inlineStr">
        <is>
          <t>不明</t>
        </is>
      </c>
      <c r="P24" s="13" t="inlineStr">
        <is>
          <t>計画なし</t>
        </is>
      </c>
      <c r="Q24" s="11" t="n"/>
      <c r="R24" s="11" t="inlineStr">
        <is>
          <t>交通：R5年度第4回地域公共交通会議でパブコメ結果報告、R6.4公表（計画ページ https://www.town.marumori.miyagi.jp/life/detail.php?content=1312 ）。期間は5年と推定。阿武隈急行線地域公共交通計画（共同、R7年度策定、パブコメR7.11）も町域を含む https://www.pref.miyagi.jp/soshiki/soukou/abukumakyougikai-keikaku2.html 。環境：環境基本計画は町サイト検索で見当たらず（第六次総合計画2025-2034等のみ）。</t>
        </is>
      </c>
      <c r="S24" s="15" t="inlineStr">
        <is>
          <t>調査済</t>
        </is>
      </c>
      <c r="T24" s="11" t="inlineStr">
        <is>
          <t>掲載（広域：阿武隈急行線地域）</t>
        </is>
      </c>
    </row>
    <row r="25">
      <c r="A25" s="11" t="n">
        <v>22</v>
      </c>
      <c r="B25" s="11" t="inlineStr">
        <is>
          <t>亘理町</t>
        </is>
      </c>
      <c r="C25" s="12">
        <f>IF(OR(D25="◎",E25="◎"),"◎ 営業",IF(OR(D25="△",E25="△"),"△ 着手済・要確認",IF(OR(D25="？",E25="？"),"？ 期間要確認","✕ 対象外")))</f>
        <v/>
      </c>
      <c r="D25" s="13">
        <f>IF(J25="計画なし","－",IF(J25="策定済","✕",IF(H25="","？",IF(AND(H25&gt;=TGT_MIN,H25&lt;=TGT_MAX),IF(J25="着手済","△","◎"),"✕"))))</f>
        <v/>
      </c>
      <c r="E25" s="13">
        <f>IF(P25="計画なし","－",IF(P25="策定済","✕",IF(N25="","？",IF(AND(N25&gt;=TGT_MIN,N25&lt;=TGT_MAX),IF(P25="着手済","△","◎"),"✕"))))</f>
        <v/>
      </c>
      <c r="F25" s="11" t="inlineStr">
        <is>
          <t>亘理町地域公共交通計画</t>
        </is>
      </c>
      <c r="G25" s="11" t="inlineStr">
        <is>
          <t>R6〜R10</t>
        </is>
      </c>
      <c r="H25" s="13" t="n">
        <v>10</v>
      </c>
      <c r="I25" s="13" t="inlineStr">
        <is>
          <t>確認済</t>
        </is>
      </c>
      <c r="J25" s="13" t="inlineStr">
        <is>
          <t>未確認</t>
        </is>
      </c>
      <c r="K25" s="14" t="inlineStr">
        <is>
          <t>https://www.town.watari.miyagi.jp/town/detail.php?content=1730</t>
        </is>
      </c>
      <c r="L25" s="11" t="inlineStr">
        <is>
          <t>第2次亘理町環境基本計画</t>
        </is>
      </c>
      <c r="M25" s="11" t="inlineStr">
        <is>
          <t>不明（R4.1頃公表）</t>
        </is>
      </c>
      <c r="N25" s="13" t="n"/>
      <c r="O25" s="13" t="inlineStr">
        <is>
          <t>不明</t>
        </is>
      </c>
      <c r="P25" s="13" t="inlineStr">
        <is>
          <t>未確認</t>
        </is>
      </c>
      <c r="Q25" s="14" t="inlineStr">
        <is>
          <t>https://www.town.watari.miyagi.jp/common/img/content/content_20220126_163920.pdf</t>
        </is>
      </c>
      <c r="R25" s="11" t="inlineStr">
        <is>
          <t>交通：パブコメR6.2.2〜2.16（https://www.town.watari.miyagi.jp/town/detail.php?content=1686 ）、R6.3策定、R6〜R10（5年）。本編PDF https://www.town.watari.miyagi.jp/common/img/content/content_20240405_084913.pdf 。環境：第2次計画の存在は検索で確認、期間は未確認（e_urlは環境基本計画関連と思われるPDF、町サイトはWebFetch遮断で未検証）。地球温暖化対策実行計画（区域施策編）も策定済 https://www.town.watari.miyagi.jp/town/detail.php?content=1811 。亘理・山元の共同交通計画は見当たらず（各町単独）。 【追加調査 2026-10】環境：第2次亘理町環境基本計画の存在は再確認（e_urlのPDF content_20220126_163920 が上位ヒット、R4.1頃公表）が、期間は検索3回とも本文に出ず不明のまま（R4開始10年ならR13終期の可能性）。町の環境・ごみカテゴリ https://www.town.watari.miyagi.jp/life/category/?category=124 。</t>
        </is>
      </c>
      <c r="S25" s="15" t="inlineStr">
        <is>
          <t>調査済</t>
        </is>
      </c>
      <c r="T25" s="11" t="inlineStr">
        <is>
          <t>掲載</t>
        </is>
      </c>
    </row>
    <row r="26">
      <c r="A26" s="11" t="n">
        <v>23</v>
      </c>
      <c r="B26" s="11" t="inlineStr">
        <is>
          <t>山元町</t>
        </is>
      </c>
      <c r="C26" s="12">
        <f>IF(OR(D26="◎",E26="◎"),"◎ 営業",IF(OR(D26="△",E26="△"),"△ 着手済・要確認",IF(OR(D26="？",E26="？"),"？ 期間要確認","✕ 対象外")))</f>
        <v/>
      </c>
      <c r="D26" s="13">
        <f>IF(J26="計画なし","－",IF(J26="策定済","✕",IF(H26="","？",IF(AND(H26&gt;=TGT_MIN,H26&lt;=TGT_MAX),IF(J26="着手済","△","◎"),"✕"))))</f>
        <v/>
      </c>
      <c r="E26" s="13">
        <f>IF(P26="計画なし","－",IF(P26="策定済","✕",IF(N26="","？",IF(AND(N26&gt;=TGT_MIN,N26&lt;=TGT_MAX),IF(P26="着手済","△","◎"),"✕"))))</f>
        <v/>
      </c>
      <c r="F26" s="11" t="inlineStr">
        <is>
          <t>山元町地域公共交通計画（R7.7変更）</t>
        </is>
      </c>
      <c r="G26" s="11" t="inlineStr">
        <is>
          <t>R6〜R10</t>
        </is>
      </c>
      <c r="H26" s="13" t="n">
        <v>10</v>
      </c>
      <c r="I26" s="13" t="inlineStr">
        <is>
          <t>確認済</t>
        </is>
      </c>
      <c r="J26" s="13" t="inlineStr">
        <is>
          <t>未確認</t>
        </is>
      </c>
      <c r="K26" s="14" t="inlineStr">
        <is>
          <t>https://www.town.yamamoto.miyagi.jp/uploaded/attachment/19314.pdf</t>
        </is>
      </c>
      <c r="L26" s="11" t="n"/>
      <c r="M26" s="11" t="inlineStr">
        <is>
          <t>不明</t>
        </is>
      </c>
      <c r="N26" s="13" t="n"/>
      <c r="O26" s="13" t="inlineStr">
        <is>
          <t>不明</t>
        </is>
      </c>
      <c r="P26" s="13" t="inlineStr">
        <is>
          <t>計画なし</t>
        </is>
      </c>
      <c r="Q26" s="11" t="n"/>
      <c r="R26" s="11" t="inlineStr">
        <is>
          <t>交通：H30.3網形成計画の後継としてR6.3策定、R7.7一部変更、計画ページ https://www.town.yamamoto.miyagi.jp/soshiki/9/24881.html 。パブコメR6.2.27〜3.11。町民バス「ぐるりん号」R7.1運行改正。環境：町サイト検索で環境基本計画は見当たらず。</t>
        </is>
      </c>
      <c r="S26" s="15" t="inlineStr">
        <is>
          <t>調査済</t>
        </is>
      </c>
      <c r="T26" s="11" t="inlineStr">
        <is>
          <t>掲載</t>
        </is>
      </c>
    </row>
    <row r="27">
      <c r="A27" s="11" t="n">
        <v>24</v>
      </c>
      <c r="B27" s="11" t="inlineStr">
        <is>
          <t>松島町</t>
        </is>
      </c>
      <c r="C27" s="12">
        <f>IF(OR(D27="◎",E27="◎"),"◎ 営業",IF(OR(D27="△",E27="△"),"△ 着手済・要確認",IF(OR(D27="？",E27="？"),"？ 期間要確認","✕ 対象外")))</f>
        <v/>
      </c>
      <c r="D27" s="13">
        <f>IF(J27="計画なし","－",IF(J27="策定済","✕",IF(H27="","？",IF(AND(H27&gt;=TGT_MIN,H27&lt;=TGT_MAX),IF(J27="着手済","△","◎"),"✕"))))</f>
        <v/>
      </c>
      <c r="E27" s="13">
        <f>IF(P27="計画なし","－",IF(P27="策定済","✕",IF(N27="","？",IF(AND(N27&gt;=TGT_MIN,N27&lt;=TGT_MAX),IF(P27="着手済","△","◎"),"✕"))))</f>
        <v/>
      </c>
      <c r="F27" s="11" t="inlineStr">
        <is>
          <t>松島町の交通関係計画（H29年度策定、正式名称未確認・期間満了）</t>
        </is>
      </c>
      <c r="G27" s="11" t="inlineStr">
        <is>
          <t>不明</t>
        </is>
      </c>
      <c r="H27" s="13" t="n"/>
      <c r="I27" s="13" t="inlineStr">
        <is>
          <t>不明</t>
        </is>
      </c>
      <c r="J27" s="13" t="inlineStr">
        <is>
          <t>未確認</t>
        </is>
      </c>
      <c r="K27" s="11" t="n"/>
      <c r="L27" s="11" t="n"/>
      <c r="M27" s="11" t="inlineStr">
        <is>
          <t>不明</t>
        </is>
      </c>
      <c r="N27" s="13" t="n"/>
      <c r="O27" s="13" t="inlineStr">
        <is>
          <t>不明</t>
        </is>
      </c>
      <c r="P27" s="13" t="inlineStr">
        <is>
          <t>計画なし</t>
        </is>
      </c>
      <c r="Q27" s="11" t="n"/>
      <c r="R27" s="11" t="inlineStr">
        <is>
          <t>交通・環境とも町独自計画は検索で確認できず（町サイトの検索インデックスが薄く、存在しない確証はない＝要確認）。宮城県地域公共交通計画（R8〜R14）が町域を含む https://www.pref.miyagi.jp/soshiki/soukou/20240520.html 。 【追加調査 2026-10】交通(2026-10調査)：国交省一覧(R8.5末)では町単独計画あり・期間満了（灰色）。R7.3.4第1回定例会会議録（https://www.town.miyagi-matsushima.lg.jp/uploaded/attachment/2895.pdf ）の検索要約で、町当局が「交通関係の計画はH29年度に策定、現時点で見直しの具体的予定なし」と答弁（北部地区デマンド交通実証H30〜R1は利用低迷で導入見送り）。計画名・期間は検索で特定できず（町サイトに計画書の掲載見当たらず）。次期計画の着手（委託・パブコメ等）も確認できず。宮城県地域公共交通計画（R8〜R14）が町域をカバー。 根拠: （検索要約）a transportation-related plan was formulated in fiscal year 2017 ... no specific plans for revision</t>
        </is>
      </c>
      <c r="S27" s="15" t="inlineStr">
        <is>
          <t>調査済</t>
        </is>
      </c>
      <c r="T27" s="17" t="inlineStr">
        <is>
          <t>掲載／期間満了</t>
        </is>
      </c>
    </row>
    <row r="28">
      <c r="A28" s="11" t="n">
        <v>25</v>
      </c>
      <c r="B28" s="11" t="inlineStr">
        <is>
          <t>七ヶ浜町</t>
        </is>
      </c>
      <c r="C28" s="12">
        <f>IF(OR(D28="◎",E28="◎"),"◎ 営業",IF(OR(D28="△",E28="△"),"△ 着手済・要確認",IF(OR(D28="？",E28="？"),"？ 期間要確認","✕ 対象外")))</f>
        <v/>
      </c>
      <c r="D28" s="13">
        <f>IF(J28="計画なし","－",IF(J28="策定済","✕",IF(H28="","？",IF(AND(H28&gt;=TGT_MIN,H28&lt;=TGT_MAX),IF(J28="着手済","△","◎"),"✕"))))</f>
        <v/>
      </c>
      <c r="E28" s="13">
        <f>IF(P28="計画なし","－",IF(P28="策定済","✕",IF(N28="","？",IF(AND(N28&gt;=TGT_MIN,N28&lt;=TGT_MAX),IF(P28="着手済","△","◎"),"✕"))))</f>
        <v/>
      </c>
      <c r="F28" s="11" t="n"/>
      <c r="G28" s="11" t="inlineStr">
        <is>
          <t>不明</t>
        </is>
      </c>
      <c r="H28" s="13" t="n"/>
      <c r="I28" s="13" t="inlineStr">
        <is>
          <t>不明</t>
        </is>
      </c>
      <c r="J28" s="13" t="inlineStr">
        <is>
          <t>計画なし</t>
        </is>
      </c>
      <c r="K28" s="11" t="n"/>
      <c r="L28" s="11" t="n"/>
      <c r="M28" s="11" t="inlineStr">
        <is>
          <t>不明</t>
        </is>
      </c>
      <c r="N28" s="13" t="n"/>
      <c r="O28" s="13" t="inlineStr">
        <is>
          <t>不明</t>
        </is>
      </c>
      <c r="P28" s="13" t="inlineStr">
        <is>
          <t>計画なし</t>
        </is>
      </c>
      <c r="Q28" s="11" t="n"/>
      <c r="R28" s="11" t="inlineStr">
        <is>
          <t>交通：町独自の地域公共交通計画は検索で確認できず。町民バス「ぐるりんこ」についてR7.7にアンケート調査を実施し、運行計画見直しに活用予定 https://www.shichigahama.com/benricho/oshirase/sanka3-100-12175.html 。R8.4.1ダイヤ改正。計画策定に発展する可能性あり（要確認・有望）。宮城県地域公共交通計画（R8〜R14）が町域を含む。環境：環境基本計画は町サイト検索で見当たらず。</t>
        </is>
      </c>
      <c r="S28" s="18" t="inlineStr">
        <is>
          <t>環境のみ調査</t>
        </is>
      </c>
      <c r="T28" s="11" t="inlineStr">
        <is>
          <t>未掲載</t>
        </is>
      </c>
    </row>
    <row r="29">
      <c r="A29" s="11" t="n">
        <v>26</v>
      </c>
      <c r="B29" s="11" t="inlineStr">
        <is>
          <t>利府町</t>
        </is>
      </c>
      <c r="C29" s="12">
        <f>IF(OR(D29="◎",E29="◎"),"◎ 営業",IF(OR(D29="△",E29="△"),"△ 着手済・要確認",IF(OR(D29="？",E29="？"),"？ 期間要確認","✕ 対象外")))</f>
        <v/>
      </c>
      <c r="D29" s="13">
        <f>IF(J29="計画なし","－",IF(J29="策定済","✕",IF(H29="","？",IF(AND(H29&gt;=TGT_MIN,H29&lt;=TGT_MAX),IF(J29="着手済","△","◎"),"✕"))))</f>
        <v/>
      </c>
      <c r="E29" s="13">
        <f>IF(P29="計画なし","－",IF(P29="策定済","✕",IF(N29="","？",IF(AND(N29&gt;=TGT_MIN,N29&lt;=TGT_MAX),IF(P29="着手済","△","◎"),"✕"))))</f>
        <v/>
      </c>
      <c r="F29" s="11" t="inlineStr">
        <is>
          <t>利府町地域公共交通計画（改定版）</t>
        </is>
      </c>
      <c r="G29" s="11" t="inlineStr">
        <is>
          <t>R5〜（期間不明）</t>
        </is>
      </c>
      <c r="H29" s="13" t="n"/>
      <c r="I29" s="13" t="inlineStr">
        <is>
          <t>不明</t>
        </is>
      </c>
      <c r="J29" s="13" t="inlineStr">
        <is>
          <t>未確認</t>
        </is>
      </c>
      <c r="K29" s="14" t="inlineStr">
        <is>
          <t>https://www.town.rifu.miyagi.jp/gyosei/soshikikarasagasu/seikatu/koukyoukoutu/1/1162.html</t>
        </is>
      </c>
      <c r="L29" s="11" t="n"/>
      <c r="M29" s="11" t="inlineStr">
        <is>
          <t>不明</t>
        </is>
      </c>
      <c r="N29" s="13" t="n"/>
      <c r="O29" s="13" t="inlineStr">
        <is>
          <t>不明</t>
        </is>
      </c>
      <c r="P29" s="13" t="inlineStr">
        <is>
          <t>計画なし</t>
        </is>
      </c>
      <c r="Q29" s="11" t="n"/>
      <c r="R29" s="11" t="inlineStr">
        <is>
          <t>交通：2023年策定、AIデマンド「利府町版mobi」（R5.11.27実証開始→本格運行）を受けて改定。期間は検索で確認できず（2023年策定・5年なら R9終期の可能性あり＝要確認）。協議会 https://www.town.rifu.miyagi.jp/gyosei/soshikikarasagasu/seikatu/koukyoukoutu/1/779.html 。環境：環境基本計画は見当たらず。代替として地球温暖化対策実行計画（事務事業編）第3期（2018〜2030） https://www.town.rifu.miyagi.jp/gyosei/soshikikarasagasu/seikatu/kankyou/4/669.html 。</t>
        </is>
      </c>
      <c r="S29" s="15" t="inlineStr">
        <is>
          <t>調査済</t>
        </is>
      </c>
      <c r="T29" s="11" t="inlineStr">
        <is>
          <t>掲載</t>
        </is>
      </c>
    </row>
    <row r="30">
      <c r="A30" s="11" t="n">
        <v>27</v>
      </c>
      <c r="B30" s="11" t="inlineStr">
        <is>
          <t>大和町</t>
        </is>
      </c>
      <c r="C30" s="12">
        <f>IF(OR(D30="◎",E30="◎"),"◎ 営業",IF(OR(D30="△",E30="△"),"△ 着手済・要確認",IF(OR(D30="？",E30="？"),"？ 期間要確認","✕ 対象外")))</f>
        <v/>
      </c>
      <c r="D30" s="13">
        <f>IF(J30="計画なし","－",IF(J30="策定済","✕",IF(H30="","？",IF(AND(H30&gt;=TGT_MIN,H30&lt;=TGT_MAX),IF(J30="着手済","△","◎"),"✕"))))</f>
        <v/>
      </c>
      <c r="E30" s="13">
        <f>IF(P30="計画なし","－",IF(P30="策定済","✕",IF(N30="","？",IF(AND(N30&gt;=TGT_MIN,N30&lt;=TGT_MAX),IF(P30="着手済","△","◎"),"✕"))))</f>
        <v/>
      </c>
      <c r="F30" s="11" t="inlineStr">
        <is>
          <t>大和町地域公共交通計画</t>
        </is>
      </c>
      <c r="G30" s="11" t="inlineStr">
        <is>
          <t>R6〜R10</t>
        </is>
      </c>
      <c r="H30" s="13" t="n">
        <v>10</v>
      </c>
      <c r="I30" s="13" t="inlineStr">
        <is>
          <t>確認済</t>
        </is>
      </c>
      <c r="J30" s="13" t="inlineStr">
        <is>
          <t>未確認</t>
        </is>
      </c>
      <c r="K30" s="14" t="inlineStr">
        <is>
          <t>https://www.town.taiwa.miyagi.jp/soshiki/machizukuriseisaku/machizukuri_suishin/bustaxi/3547.html</t>
        </is>
      </c>
      <c r="L30" s="11" t="inlineStr">
        <is>
          <t>大和町第三次環境基本計画</t>
        </is>
      </c>
      <c r="M30" s="11" t="inlineStr">
        <is>
          <t>R6〜R15</t>
        </is>
      </c>
      <c r="N30" s="13" t="n">
        <v>15</v>
      </c>
      <c r="O30" s="13" t="inlineStr">
        <is>
          <t>確認済</t>
        </is>
      </c>
      <c r="P30" s="13" t="inlineStr">
        <is>
          <t>未確認</t>
        </is>
      </c>
      <c r="Q30" s="14" t="inlineStr">
        <is>
          <t>https://www.town.taiwa.miyagi.jp/soshiki/chominseikatsu/seikatsukankyo/3718.html</t>
        </is>
      </c>
      <c r="R30" s="11" t="inlineStr">
        <is>
          <t>交通：R6〜R10の5年計画。協議会 https://www.town.taiwa.miyagi.jp/soshiki/machizukuriseisaku/machizukuri_suishin/taiwatownkaigi/4244.html 。環境：第五次総合計画の分野計画、R6〜R15。改定作業は両計画とも未確認（時期的に未着手が自然）。</t>
        </is>
      </c>
      <c r="S30" s="15" t="inlineStr">
        <is>
          <t>調査済</t>
        </is>
      </c>
      <c r="T30" s="11" t="inlineStr">
        <is>
          <t>掲載</t>
        </is>
      </c>
    </row>
    <row r="31">
      <c r="A31" s="11" t="n">
        <v>28</v>
      </c>
      <c r="B31" s="11" t="inlineStr">
        <is>
          <t>大郷町</t>
        </is>
      </c>
      <c r="C31" s="12">
        <f>IF(OR(D31="◎",E31="◎"),"◎ 営業",IF(OR(D31="△",E31="△"),"△ 着手済・要確認",IF(OR(D31="？",E31="？"),"？ 期間要確認","✕ 対象外")))</f>
        <v/>
      </c>
      <c r="D31" s="13">
        <f>IF(J31="計画なし","－",IF(J31="策定済","✕",IF(H31="","？",IF(AND(H31&gt;=TGT_MIN,H31&lt;=TGT_MAX),IF(J31="着手済","△","◎"),"✕"))))</f>
        <v/>
      </c>
      <c r="E31" s="13">
        <f>IF(P31="計画なし","－",IF(P31="策定済","✕",IF(N31="","？",IF(AND(N31&gt;=TGT_MIN,N31&lt;=TGT_MAX),IF(P31="着手済","△","◎"),"✕"))))</f>
        <v/>
      </c>
      <c r="F31" s="11" t="n"/>
      <c r="G31" s="11" t="inlineStr">
        <is>
          <t>不明</t>
        </is>
      </c>
      <c r="H31" s="13" t="n"/>
      <c r="I31" s="13" t="inlineStr">
        <is>
          <t>不明</t>
        </is>
      </c>
      <c r="J31" s="13" t="inlineStr">
        <is>
          <t>未確認</t>
        </is>
      </c>
      <c r="K31" s="11" t="n"/>
      <c r="L31" s="11" t="n"/>
      <c r="M31" s="11" t="inlineStr">
        <is>
          <t>不明</t>
        </is>
      </c>
      <c r="N31" s="13" t="n"/>
      <c r="O31" s="13" t="inlineStr">
        <is>
          <t>不明</t>
        </is>
      </c>
      <c r="P31" s="13" t="inlineStr">
        <is>
          <t>未確認</t>
        </is>
      </c>
      <c r="Q31" s="11" t="n"/>
      <c r="R31" s="11" t="inlineStr">
        <is>
          <t>交通：町単独・黒川地域共同の地域公共交通計画は検索で確認できず（町民バス運行のみの可能性）。宮城県地域公共交通計画（次期R8〜R14、7年間）が県全域を対象 https://www.pref.miyagi.jp/documents/59495/07thedraftplanoflptp.pdf。環境：町独自の環境基本計画は検索で確認できず。 【追加調査 2026-10】環境：一般検索・町ドメイン限定検索（town.miyagi-osato.lg.jp）とも環境基本計画はヒットせず。総合計画 https://www.town.miyagi-osato.lg.jp/soshiki/machidukuri/sougoukeikaku2025.html の環境分野で対応している模様。計画なしの可能性が高いが、計画一覧での明確な根拠はなく未断定。</t>
        </is>
      </c>
      <c r="S31" s="18" t="inlineStr">
        <is>
          <t>未調査</t>
        </is>
      </c>
      <c r="T31" s="11" t="inlineStr">
        <is>
          <t>未掲載</t>
        </is>
      </c>
    </row>
    <row r="32">
      <c r="A32" s="11" t="n">
        <v>29</v>
      </c>
      <c r="B32" s="11" t="inlineStr">
        <is>
          <t>大衡村</t>
        </is>
      </c>
      <c r="C32" s="12">
        <f>IF(OR(D32="◎",E32="◎"),"◎ 営業",IF(OR(D32="△",E32="△"),"△ 着手済・要確認",IF(OR(D32="？",E32="？"),"？ 期間要確認","✕ 対象外")))</f>
        <v/>
      </c>
      <c r="D32" s="13">
        <f>IF(J32="計画なし","－",IF(J32="策定済","✕",IF(H32="","？",IF(AND(H32&gt;=TGT_MIN,H32&lt;=TGT_MAX),IF(J32="着手済","△","◎"),"✕"))))</f>
        <v/>
      </c>
      <c r="E32" s="13">
        <f>IF(P32="計画なし","－",IF(P32="策定済","✕",IF(N32="","？",IF(AND(N32&gt;=TGT_MIN,N32&lt;=TGT_MAX),IF(P32="着手済","△","◎"),"✕"))))</f>
        <v/>
      </c>
      <c r="F32" s="11" t="n"/>
      <c r="G32" s="11" t="inlineStr">
        <is>
          <t>不明</t>
        </is>
      </c>
      <c r="H32" s="13" t="n"/>
      <c r="I32" s="13" t="inlineStr">
        <is>
          <t>不明</t>
        </is>
      </c>
      <c r="J32" s="13" t="inlineStr">
        <is>
          <t>未確認</t>
        </is>
      </c>
      <c r="K32" s="11" t="n"/>
      <c r="L32" s="11" t="n"/>
      <c r="M32" s="11" t="inlineStr">
        <is>
          <t>不明</t>
        </is>
      </c>
      <c r="N32" s="13" t="n"/>
      <c r="O32" s="13" t="inlineStr">
        <is>
          <t>不明</t>
        </is>
      </c>
      <c r="P32" s="13" t="inlineStr">
        <is>
          <t>計画なし</t>
        </is>
      </c>
      <c r="Q32" s="11" t="n"/>
      <c r="R32" s="11" t="inlineStr">
        <is>
          <t>交通：村単独・黒川地域共同の地域公共交通計画は検索で確認できず。宮城県地域公共交通計画（次期R8〜R14、7年間）が県全域を対象 https://www.pref.miyagi.jp/documents/59495/07thedraftplanoflptp.pdf。環境：環境基本計画は確認できず。代替として第5次大衡村地球温暖化対策実行計画（事務事業編、R5〜R12）あり。</t>
        </is>
      </c>
      <c r="S32" s="18" t="inlineStr">
        <is>
          <t>環境のみ調査</t>
        </is>
      </c>
      <c r="T32" s="11" t="inlineStr">
        <is>
          <t>未掲載</t>
        </is>
      </c>
    </row>
    <row r="33">
      <c r="A33" s="11" t="n">
        <v>30</v>
      </c>
      <c r="B33" s="11" t="inlineStr">
        <is>
          <t>色麻町</t>
        </is>
      </c>
      <c r="C33" s="12">
        <f>IF(OR(D33="◎",E33="◎"),"◎ 営業",IF(OR(D33="△",E33="△"),"△ 着手済・要確認",IF(OR(D33="？",E33="？"),"？ 期間要確認","✕ 対象外")))</f>
        <v/>
      </c>
      <c r="D33" s="13">
        <f>IF(J33="計画なし","－",IF(J33="策定済","✕",IF(H33="","？",IF(AND(H33&gt;=TGT_MIN,H33&lt;=TGT_MAX),IF(J33="着手済","△","◎"),"✕"))))</f>
        <v/>
      </c>
      <c r="E33" s="13">
        <f>IF(P33="計画なし","－",IF(P33="策定済","✕",IF(N33="","？",IF(AND(N33&gt;=TGT_MIN,N33&lt;=TGT_MAX),IF(P33="着手済","△","◎"),"✕"))))</f>
        <v/>
      </c>
      <c r="F33" s="11" t="n"/>
      <c r="G33" s="11" t="inlineStr">
        <is>
          <t>不明</t>
        </is>
      </c>
      <c r="H33" s="13" t="n"/>
      <c r="I33" s="13" t="inlineStr">
        <is>
          <t>不明</t>
        </is>
      </c>
      <c r="J33" s="13" t="inlineStr">
        <is>
          <t>未確認</t>
        </is>
      </c>
      <c r="K33" s="11" t="n"/>
      <c r="L33" s="11" t="n"/>
      <c r="M33" s="11" t="inlineStr">
        <is>
          <t>不明</t>
        </is>
      </c>
      <c r="N33" s="13" t="n"/>
      <c r="O33" s="13" t="inlineStr">
        <is>
          <t>不明</t>
        </is>
      </c>
      <c r="P33" s="13" t="inlineStr">
        <is>
          <t>未確認</t>
        </is>
      </c>
      <c r="Q33" s="11" t="n"/>
      <c r="R33" s="11" t="inlineStr">
        <is>
          <t>交通：町単独計画は確認できず。大崎定住自立圏（大崎市・色麻・加美・涌谷・美里）で大崎圏域公共交通検討研究会を開催し圏域交通を検討 https://www.pref.miyagi.jp/site/tiikisinnkou/teizyu.html 。宮城県地域公共交通計画（次期R8〜R14、7年間）が県全域を対象 https://www.pref.miyagi.jp/documents/59495/07thedraftplanoflptp.pdf。環境：環境基本計画は検索で確認できず。 【追加調査 2026-10】環境：一般検索・町ドメイン限定検索とも環境基本計画はヒットせず。町議会会議録で地球温暖化対策実行計画・ゼロカーボン関連の言及のみ。町の政策・施策一覧 https://www.town.shikama.miyagi.jp/chosei/seisaku_shisaku/index.html で要確認。計画なしの可能性が高いが未断定。</t>
        </is>
      </c>
      <c r="S33" s="18" t="inlineStr">
        <is>
          <t>未調査</t>
        </is>
      </c>
      <c r="T33" s="11" t="inlineStr">
        <is>
          <t>未掲載</t>
        </is>
      </c>
    </row>
    <row r="34">
      <c r="A34" s="11" t="n">
        <v>31</v>
      </c>
      <c r="B34" s="11" t="inlineStr">
        <is>
          <t>加美町</t>
        </is>
      </c>
      <c r="C34" s="12">
        <f>IF(OR(D34="◎",E34="◎"),"◎ 営業",IF(OR(D34="△",E34="△"),"△ 着手済・要確認",IF(OR(D34="？",E34="？"),"？ 期間要確認","✕ 対象外")))</f>
        <v/>
      </c>
      <c r="D34" s="13">
        <f>IF(J34="計画なし","－",IF(J34="策定済","✕",IF(H34="","？",IF(AND(H34&gt;=TGT_MIN,H34&lt;=TGT_MAX),IF(J34="着手済","△","◎"),"✕"))))</f>
        <v/>
      </c>
      <c r="E34" s="13">
        <f>IF(P34="計画なし","－",IF(P34="策定済","✕",IF(N34="","？",IF(AND(N34&gt;=TGT_MIN,N34&lt;=TGT_MAX),IF(P34="着手済","△","◎"),"✕"))))</f>
        <v/>
      </c>
      <c r="F34" s="11" t="n"/>
      <c r="G34" s="11" t="inlineStr">
        <is>
          <t>不明</t>
        </is>
      </c>
      <c r="H34" s="13" t="n"/>
      <c r="I34" s="13" t="inlineStr">
        <is>
          <t>不明</t>
        </is>
      </c>
      <c r="J34" s="13" t="inlineStr">
        <is>
          <t>着手済</t>
        </is>
      </c>
      <c r="K34" s="11" t="n"/>
      <c r="L34" s="11" t="inlineStr">
        <is>
          <t>加美町環境基本計画（改定版）</t>
        </is>
      </c>
      <c r="M34" s="11" t="inlineStr">
        <is>
          <t>R5〜R14</t>
        </is>
      </c>
      <c r="N34" s="13" t="n">
        <v>14</v>
      </c>
      <c r="O34" s="13" t="inlineStr">
        <is>
          <t>確認済</t>
        </is>
      </c>
      <c r="P34" s="13" t="inlineStr">
        <is>
          <t>未確認</t>
        </is>
      </c>
      <c r="Q34" s="14" t="inlineStr">
        <is>
          <t>https://www.town.kami.miyagi.jp/soshikikarasagasu/chominka/kankyoeisei/3689.html</t>
        </is>
      </c>
      <c r="R34" s="11" t="inlineStr">
        <is>
          <t>交通：町の地域公共交通計画は未策定とみられ、第三次加美町総合計画策定の経緯資料に「地域公共交通計画」の策定が言及されている（策定作業中の可能性、要確認）https://www.town.kami.miyagi.jp/material/files/group/6/2-keii.pdf 。住民バスはR7.4.1から新体系で運行。大崎定住自立圏で圏域公共交通検討研究会あり。環境：H19.3初版、R5.3改定版策定（10年間）。地球温暖化対策実行計画（区域施策編・事務事業編）R7.1策定 https://www.town.kami.miyagi.jp/material/files/group/60/gaiyou2.pdf</t>
        </is>
      </c>
      <c r="S34" s="18" t="inlineStr">
        <is>
          <t>環境のみ調査</t>
        </is>
      </c>
      <c r="T34" s="11" t="inlineStr">
        <is>
          <t>未掲載</t>
        </is>
      </c>
    </row>
    <row r="35">
      <c r="A35" s="11" t="n">
        <v>32</v>
      </c>
      <c r="B35" s="11" t="inlineStr">
        <is>
          <t>涌谷町</t>
        </is>
      </c>
      <c r="C35" s="12">
        <f>IF(OR(D35="◎",E35="◎"),"◎ 営業",IF(OR(D35="△",E35="△"),"△ 着手済・要確認",IF(OR(D35="？",E35="？"),"？ 期間要確認","✕ 対象外")))</f>
        <v/>
      </c>
      <c r="D35" s="13">
        <f>IF(J35="計画なし","－",IF(J35="策定済","✕",IF(H35="","？",IF(AND(H35&gt;=TGT_MIN,H35&lt;=TGT_MAX),IF(J35="着手済","△","◎"),"✕"))))</f>
        <v/>
      </c>
      <c r="E35" s="13">
        <f>IF(P35="計画なし","－",IF(P35="策定済","✕",IF(N35="","？",IF(AND(N35&gt;=TGT_MIN,N35&lt;=TGT_MAX),IF(P35="着手済","△","◎"),"✕"))))</f>
        <v/>
      </c>
      <c r="F35" s="11" t="inlineStr">
        <is>
          <t>涌谷町地域公共交通計画</t>
        </is>
      </c>
      <c r="G35" s="11" t="inlineStr">
        <is>
          <t>R7〜R12</t>
        </is>
      </c>
      <c r="H35" s="13" t="n">
        <v>12</v>
      </c>
      <c r="I35" s="13" t="inlineStr">
        <is>
          <t>確認済</t>
        </is>
      </c>
      <c r="J35" s="13" t="inlineStr">
        <is>
          <t>策定済</t>
        </is>
      </c>
      <c r="K35" s="14" t="inlineStr">
        <is>
          <t>https://www.town.wakuya.miyagi.jp/documents/honpen.pdf</t>
        </is>
      </c>
      <c r="L35" s="11" t="n"/>
      <c r="M35" s="11" t="inlineStr">
        <is>
          <t>不明</t>
        </is>
      </c>
      <c r="N35" s="13" t="n"/>
      <c r="O35" s="13" t="inlineStr">
        <is>
          <t>不明</t>
        </is>
      </c>
      <c r="P35" s="13" t="inlineStr">
        <is>
          <t>計画なし</t>
        </is>
      </c>
      <c r="Q35" s="11" t="n"/>
      <c r="R35" s="11" t="inlineStr">
        <is>
          <t>交通：R7(2025)年度開始の新計画（策定ページ https://www.town.wakuya.miyagi.jp/koutukeikaku1.html ）。地域公共交通会議R7.5.28、R8.1開催。環境：環境基本計画は町サイト検索で確認できず（計画なしとみられる）。第六次涌谷町総合計画（R8〜）策定済。</t>
        </is>
      </c>
      <c r="S35" s="15" t="inlineStr">
        <is>
          <t>調査済</t>
        </is>
      </c>
      <c r="T35" s="11" t="inlineStr">
        <is>
          <t>掲載</t>
        </is>
      </c>
    </row>
    <row r="36">
      <c r="A36" s="11" t="n">
        <v>33</v>
      </c>
      <c r="B36" s="11" t="inlineStr">
        <is>
          <t>美里町</t>
        </is>
      </c>
      <c r="C36" s="12">
        <f>IF(OR(D36="◎",E36="◎"),"◎ 営業",IF(OR(D36="△",E36="△"),"△ 着手済・要確認",IF(OR(D36="？",E36="？"),"？ 期間要確認","✕ 対象外")))</f>
        <v/>
      </c>
      <c r="D36" s="13">
        <f>IF(J36="計画なし","－",IF(J36="策定済","✕",IF(H36="","？",IF(AND(H36&gt;=TGT_MIN,H36&lt;=TGT_MAX),IF(J36="着手済","△","◎"),"✕"))))</f>
        <v/>
      </c>
      <c r="E36" s="13">
        <f>IF(P36="計画なし","－",IF(P36="策定済","✕",IF(N36="","？",IF(AND(N36&gt;=TGT_MIN,N36&lt;=TGT_MAX),IF(P36="着手済","△","◎"),"✕"))))</f>
        <v/>
      </c>
      <c r="F36" s="11" t="n"/>
      <c r="G36" s="11" t="inlineStr">
        <is>
          <t>不明</t>
        </is>
      </c>
      <c r="H36" s="13" t="n"/>
      <c r="I36" s="13" t="inlineStr">
        <is>
          <t>不明</t>
        </is>
      </c>
      <c r="J36" s="13" t="inlineStr">
        <is>
          <t>未確認</t>
        </is>
      </c>
      <c r="K36" s="11" t="n"/>
      <c r="L36" s="11" t="n"/>
      <c r="M36" s="11" t="inlineStr">
        <is>
          <t>不明</t>
        </is>
      </c>
      <c r="N36" s="13" t="n"/>
      <c r="O36" s="13" t="inlineStr">
        <is>
          <t>不明</t>
        </is>
      </c>
      <c r="P36" s="13" t="inlineStr">
        <is>
          <t>計画なし</t>
        </is>
      </c>
      <c r="Q36" s="11" t="n"/>
      <c r="R36" s="11" t="inlineStr">
        <is>
          <t>交通：地域公共交通計画は町サイト検索で確認できず。美里町地域公共交通会議は活動中（R8.2.13会議録あり）https://www.town.misato.miyagi.jp/16bus/ 。大崎定住自立圏の圏域公共交通検討研究会に参加。環境：環境基本計画は確認できず、代替として美里町再生可能エネルギー導入推進計画（R4.4）https://www.town.misato.miyagi.jp/08kankyo/pdf/saiseikanou.pdf 。</t>
        </is>
      </c>
      <c r="S36" s="18" t="inlineStr">
        <is>
          <t>環境のみ調査</t>
        </is>
      </c>
      <c r="T36" s="11" t="inlineStr">
        <is>
          <t>未掲載</t>
        </is>
      </c>
    </row>
    <row r="37">
      <c r="A37" s="11" t="n">
        <v>34</v>
      </c>
      <c r="B37" s="11" t="inlineStr">
        <is>
          <t>女川町</t>
        </is>
      </c>
      <c r="C37" s="12">
        <f>IF(OR(D37="◎",E37="◎"),"◎ 営業",IF(OR(D37="△",E37="△"),"△ 着手済・要確認",IF(OR(D37="？",E37="？"),"？ 期間要確認","✕ 対象外")))</f>
        <v/>
      </c>
      <c r="D37" s="13">
        <f>IF(J37="計画なし","－",IF(J37="策定済","✕",IF(H37="","？",IF(AND(H37&gt;=TGT_MIN,H37&lt;=TGT_MAX),IF(J37="着手済","△","◎"),"✕"))))</f>
        <v/>
      </c>
      <c r="E37" s="13">
        <f>IF(P37="計画なし","－",IF(P37="策定済","✕",IF(N37="","？",IF(AND(N37&gt;=TGT_MIN,N37&lt;=TGT_MAX),IF(P37="着手済","△","◎"),"✕"))))</f>
        <v/>
      </c>
      <c r="F37" s="11" t="inlineStr">
        <is>
          <t>女川町地域公共交通計画</t>
        </is>
      </c>
      <c r="G37" s="11" t="inlineStr">
        <is>
          <t>R6〜R10</t>
        </is>
      </c>
      <c r="H37" s="13" t="n">
        <v>10</v>
      </c>
      <c r="I37" s="13" t="inlineStr">
        <is>
          <t>確認済</t>
        </is>
      </c>
      <c r="J37" s="13" t="inlineStr">
        <is>
          <t>未確認</t>
        </is>
      </c>
      <c r="K37" s="14" t="inlineStr">
        <is>
          <t>https://www.town.onagawa.miyagi.jp/pdf/koutsuu/koutsu_keikaku_gaiyou.pdf</t>
        </is>
      </c>
      <c r="L37" s="11" t="n"/>
      <c r="M37" s="11" t="inlineStr">
        <is>
          <t>不明</t>
        </is>
      </c>
      <c r="N37" s="13" t="n"/>
      <c r="O37" s="13" t="inlineStr">
        <is>
          <t>不明</t>
        </is>
      </c>
      <c r="P37" s="13" t="inlineStr">
        <is>
          <t>計画なし</t>
        </is>
      </c>
      <c r="Q37" s="11" t="n"/>
      <c r="R37" s="11" t="inlineStr">
        <is>
          <t>交通：R6.3策定（5年間）。本編 https://town.onagawa.miyagi.jp/pdf/koutsuu/kokyo_koutsu_keikaku.pdf 。R8年度第1回地域公共交通会議資料あり https://www.town.onagawa.miyagi.jp/pdf/koutsuu/r08koutsuukaigi01_siryo1.pdf 。次期計画作業は未確認（R10終期）。環境：環境基本計画は確認できず。代替として女川町地球温暖化対策実行計画（事務事業編、R6.3）https://town.onagawa.miyagi.jp/pdf/kankyo/2024_ondanka_taisaku.pdf</t>
        </is>
      </c>
      <c r="S37" s="15" t="inlineStr">
        <is>
          <t>調査済</t>
        </is>
      </c>
      <c r="T37" s="11" t="inlineStr">
        <is>
          <t>掲載</t>
        </is>
      </c>
    </row>
    <row r="38">
      <c r="A38" s="11" t="n">
        <v>35</v>
      </c>
      <c r="B38" s="11" t="inlineStr">
        <is>
          <t>南三陸町</t>
        </is>
      </c>
      <c r="C38" s="12">
        <f>IF(OR(D38="◎",E38="◎"),"◎ 営業",IF(OR(D38="△",E38="△"),"△ 着手済・要確認",IF(OR(D38="？",E38="？"),"？ 期間要確認","✕ 対象外")))</f>
        <v/>
      </c>
      <c r="D38" s="13">
        <f>IF(J38="計画なし","－",IF(J38="策定済","✕",IF(H38="","？",IF(AND(H38&gt;=TGT_MIN,H38&lt;=TGT_MAX),IF(J38="着手済","△","◎"),"✕"))))</f>
        <v/>
      </c>
      <c r="E38" s="13">
        <f>IF(P38="計画なし","－",IF(P38="策定済","✕",IF(N38="","？",IF(AND(N38&gt;=TGT_MIN,N38&lt;=TGT_MAX),IF(P38="着手済","△","◎"),"✕"))))</f>
        <v/>
      </c>
      <c r="F38" s="11" t="inlineStr">
        <is>
          <t>南三陸町地域公共交通計画</t>
        </is>
      </c>
      <c r="G38" s="11" t="inlineStr">
        <is>
          <t>R8〜（終期不明）</t>
        </is>
      </c>
      <c r="H38" s="16" t="n"/>
      <c r="I38" s="13" t="inlineStr">
        <is>
          <t>推定</t>
        </is>
      </c>
      <c r="J38" s="13" t="inlineStr">
        <is>
          <t>策定済</t>
        </is>
      </c>
      <c r="K38" s="14" t="inlineStr">
        <is>
          <t>https://www.town.minamisanriku.miyagi.jp/material/files/group/3/202602042.pdf</t>
        </is>
      </c>
      <c r="L38" s="11" t="inlineStr">
        <is>
          <t>第2次南三陸町環境基本計画</t>
        </is>
      </c>
      <c r="M38" s="11" t="inlineStr">
        <is>
          <t>R8〜R17</t>
        </is>
      </c>
      <c r="N38" s="13" t="n">
        <v>17</v>
      </c>
      <c r="O38" s="13" t="inlineStr">
        <is>
          <t>確認済</t>
        </is>
      </c>
      <c r="P38" s="13" t="inlineStr">
        <is>
          <t>策定済</t>
        </is>
      </c>
      <c r="Q38" s="14" t="inlineStr">
        <is>
          <t>https://www.town.minamisanriku.miyagi.jp/material/files/group/7/keikakusyo.pdf</t>
        </is>
      </c>
      <c r="R38" s="11" t="inlineStr">
        <is>
          <t>交通：前計画は南三陸町地域公共交通網形成計画（H31.3策定）。後継の地域公共交通計画（案）令和8年3月版の資料がR8.2.4頃公開（t_urlは案の資料編）。R8.3策定とみられるが最終版・期間は未確認。環境：第2次計画R8〜R17（R7年度中に策定）。</t>
        </is>
      </c>
      <c r="S38" s="15" t="inlineStr">
        <is>
          <t>調査済</t>
        </is>
      </c>
      <c r="T38" s="11" t="inlineStr">
        <is>
          <t>掲載</t>
        </is>
      </c>
    </row>
  </sheetData>
  <autoFilter ref="A3:T38"/>
  <conditionalFormatting sqref="A4:T38">
    <cfRule type="expression" priority="5" dxfId="0">
      <formula>LEFT($C4,1)="◎"</formula>
    </cfRule>
    <cfRule type="expression" priority="6" dxfId="1">
      <formula>LEFT($C4,1)="△"</formula>
    </cfRule>
    <cfRule type="expression" priority="7" dxfId="2">
      <formula>LEFT($C4,1)="？"</formula>
    </cfRule>
    <cfRule type="expression" priority="8" dxfId="3">
      <formula>LEFT($C4,1)="✕"</formula>
    </cfRule>
  </conditionalFormatting>
  <conditionalFormatting sqref="H4:H38">
    <cfRule type="expression" priority="1" dxfId="4" stopIfTrue="1">
      <formula>AND(ISNUMBER(H4),H4&gt;=TGT_MIN,H4&lt;=TGT_MAX)</formula>
    </cfRule>
    <cfRule type="expression" priority="2" dxfId="5">
      <formula>AND(ISNUMBER(H4),H4=TGT_MAX+1)</formula>
    </cfRule>
  </conditionalFormatting>
  <conditionalFormatting sqref="N4:N38">
    <cfRule type="expression" priority="3" dxfId="4" stopIfTrue="1">
      <formula>AND(ISNUMBER(N4),N4&gt;=TGT_MIN,N4&lt;=TGT_MAX)</formula>
    </cfRule>
    <cfRule type="expression" priority="4" dxfId="5">
      <formula>AND(ISNUMBER(N4),N4=TGT_MAX+1)</formula>
    </cfRule>
  </conditionalFormatting>
  <dataValidations count="1">
    <dataValidation sqref="J4:J38 P4:P38" showDropDown="0" showInputMessage="0" showErrorMessage="0" allowBlank="1" type="list">
      <formula1>"未確認,着手済,策定済,計画なし"</formula1>
    </dataValidation>
  </dataValidations>
  <hyperlinks>
    <hyperlink xmlns:r="http://schemas.openxmlformats.org/officeDocument/2006/relationships" ref="K4" r:id="rId1"/>
    <hyperlink xmlns:r="http://schemas.openxmlformats.org/officeDocument/2006/relationships" ref="Q4" r:id="rId2"/>
    <hyperlink xmlns:r="http://schemas.openxmlformats.org/officeDocument/2006/relationships" ref="K5" r:id="rId3"/>
    <hyperlink xmlns:r="http://schemas.openxmlformats.org/officeDocument/2006/relationships" ref="Q5" r:id="rId4"/>
    <hyperlink xmlns:r="http://schemas.openxmlformats.org/officeDocument/2006/relationships" ref="Q6" r:id="rId5"/>
    <hyperlink xmlns:r="http://schemas.openxmlformats.org/officeDocument/2006/relationships" ref="K7" r:id="rId6"/>
    <hyperlink xmlns:r="http://schemas.openxmlformats.org/officeDocument/2006/relationships" ref="K8" r:id="rId7"/>
    <hyperlink xmlns:r="http://schemas.openxmlformats.org/officeDocument/2006/relationships" ref="Q8" r:id="rId8"/>
    <hyperlink xmlns:r="http://schemas.openxmlformats.org/officeDocument/2006/relationships" ref="K9" r:id="rId9"/>
    <hyperlink xmlns:r="http://schemas.openxmlformats.org/officeDocument/2006/relationships" ref="Q9" r:id="rId10"/>
    <hyperlink xmlns:r="http://schemas.openxmlformats.org/officeDocument/2006/relationships" ref="K10" r:id="rId11"/>
    <hyperlink xmlns:r="http://schemas.openxmlformats.org/officeDocument/2006/relationships" ref="K11" r:id="rId12"/>
    <hyperlink xmlns:r="http://schemas.openxmlformats.org/officeDocument/2006/relationships" ref="K12" r:id="rId13"/>
    <hyperlink xmlns:r="http://schemas.openxmlformats.org/officeDocument/2006/relationships" ref="Q12" r:id="rId14"/>
    <hyperlink xmlns:r="http://schemas.openxmlformats.org/officeDocument/2006/relationships" ref="K13" r:id="rId15"/>
    <hyperlink xmlns:r="http://schemas.openxmlformats.org/officeDocument/2006/relationships" ref="Q13" r:id="rId16"/>
    <hyperlink xmlns:r="http://schemas.openxmlformats.org/officeDocument/2006/relationships" ref="K14" r:id="rId17"/>
    <hyperlink xmlns:r="http://schemas.openxmlformats.org/officeDocument/2006/relationships" ref="Q14" r:id="rId18"/>
    <hyperlink xmlns:r="http://schemas.openxmlformats.org/officeDocument/2006/relationships" ref="K15" r:id="rId19"/>
    <hyperlink xmlns:r="http://schemas.openxmlformats.org/officeDocument/2006/relationships" ref="Q15" r:id="rId20"/>
    <hyperlink xmlns:r="http://schemas.openxmlformats.org/officeDocument/2006/relationships" ref="K16" r:id="rId21"/>
    <hyperlink xmlns:r="http://schemas.openxmlformats.org/officeDocument/2006/relationships" ref="Q16" r:id="rId22"/>
    <hyperlink xmlns:r="http://schemas.openxmlformats.org/officeDocument/2006/relationships" ref="K17" r:id="rId23"/>
    <hyperlink xmlns:r="http://schemas.openxmlformats.org/officeDocument/2006/relationships" ref="K18" r:id="rId24"/>
    <hyperlink xmlns:r="http://schemas.openxmlformats.org/officeDocument/2006/relationships" ref="Q18" r:id="rId25"/>
    <hyperlink xmlns:r="http://schemas.openxmlformats.org/officeDocument/2006/relationships" ref="K20" r:id="rId26"/>
    <hyperlink xmlns:r="http://schemas.openxmlformats.org/officeDocument/2006/relationships" ref="Q20" r:id="rId27"/>
    <hyperlink xmlns:r="http://schemas.openxmlformats.org/officeDocument/2006/relationships" ref="K22" r:id="rId28"/>
    <hyperlink xmlns:r="http://schemas.openxmlformats.org/officeDocument/2006/relationships" ref="Q22" r:id="rId29"/>
    <hyperlink xmlns:r="http://schemas.openxmlformats.org/officeDocument/2006/relationships" ref="K23" r:id="rId30"/>
    <hyperlink xmlns:r="http://schemas.openxmlformats.org/officeDocument/2006/relationships" ref="K24" r:id="rId31"/>
    <hyperlink xmlns:r="http://schemas.openxmlformats.org/officeDocument/2006/relationships" ref="K25" r:id="rId32"/>
    <hyperlink xmlns:r="http://schemas.openxmlformats.org/officeDocument/2006/relationships" ref="Q25" r:id="rId33"/>
    <hyperlink xmlns:r="http://schemas.openxmlformats.org/officeDocument/2006/relationships" ref="K26" r:id="rId34"/>
    <hyperlink xmlns:r="http://schemas.openxmlformats.org/officeDocument/2006/relationships" ref="K29" r:id="rId35"/>
    <hyperlink xmlns:r="http://schemas.openxmlformats.org/officeDocument/2006/relationships" ref="K30" r:id="rId36"/>
    <hyperlink xmlns:r="http://schemas.openxmlformats.org/officeDocument/2006/relationships" ref="Q30" r:id="rId37"/>
    <hyperlink xmlns:r="http://schemas.openxmlformats.org/officeDocument/2006/relationships" ref="Q34" r:id="rId38"/>
    <hyperlink xmlns:r="http://schemas.openxmlformats.org/officeDocument/2006/relationships" ref="K35" r:id="rId39"/>
    <hyperlink xmlns:r="http://schemas.openxmlformats.org/officeDocument/2006/relationships" ref="K37" r:id="rId40"/>
    <hyperlink xmlns:r="http://schemas.openxmlformats.org/officeDocument/2006/relationships" ref="K38" r:id="rId41"/>
    <hyperlink xmlns:r="http://schemas.openxmlformats.org/officeDocument/2006/relationships" ref="Q38" r:id="rId4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6" customWidth="1" min="3" max="3"/>
    <col width="7" customWidth="1" min="4" max="4"/>
    <col width="7" customWidth="1" min="5" max="5"/>
    <col width="30" customWidth="1" min="6" max="6"/>
    <col width="15" customWidth="1" min="7" max="7"/>
    <col width="9" customWidth="1" min="8" max="8"/>
    <col width="8" customWidth="1" min="9" max="9"/>
    <col width="9" customWidth="1" min="10" max="10"/>
    <col width="34" customWidth="1" min="11" max="11"/>
    <col width="30" customWidth="1" min="12" max="12"/>
    <col width="15" customWidth="1" min="13" max="13"/>
    <col width="9" customWidth="1" min="14" max="14"/>
    <col width="8" customWidth="1" min="15" max="15"/>
    <col width="9" customWidth="1" min="16" max="16"/>
    <col width="34" customWidth="1" min="17" max="17"/>
    <col width="55" customWidth="1" min="18" max="18"/>
    <col width="14" customWidth="1" min="19" max="19"/>
    <col width="24" customWidth="1" min="20" max="20"/>
  </cols>
  <sheetData>
    <row r="1">
      <c r="A1" s="1" t="inlineStr">
        <is>
          <t>秋田県　地域公共交通計画・環境基本計画の終期一覧（2026年9月30日時点の調査）</t>
        </is>
      </c>
    </row>
    <row r="2">
      <c r="A2" s="9">
        <f>"営業判定の対象：終期 R"&amp;TGT_MIN&amp;"〜R"&amp;TGT_MAX&amp;"年度 →◎（着手済は△、期間不明は？）。終期セルの色：緑＝対象年度／橙＝その翌年度（次の候補）。対象年度は「集計・設定」シートのC4・C5のプルダウンで切替。"</f>
        <v/>
      </c>
    </row>
    <row r="3" ht="32" customHeight="1">
      <c r="A3" s="10" t="inlineStr">
        <is>
          <t>No</t>
        </is>
      </c>
      <c r="B3" s="10" t="inlineStr">
        <is>
          <t>市町村</t>
        </is>
      </c>
      <c r="C3" s="10" t="inlineStr">
        <is>
          <t>営業判定</t>
        </is>
      </c>
      <c r="D3" s="10" t="inlineStr">
        <is>
          <t>交通判定</t>
        </is>
      </c>
      <c r="E3" s="10" t="inlineStr">
        <is>
          <t>環境判定</t>
        </is>
      </c>
      <c r="F3" s="10" t="inlineStr">
        <is>
          <t>地域公共交通計画</t>
        </is>
      </c>
      <c r="G3" s="10" t="inlineStr">
        <is>
          <t>交通 計画期間</t>
        </is>
      </c>
      <c r="H3" s="10" t="inlineStr">
        <is>
          <t>交通 終期(令和年度)</t>
        </is>
      </c>
      <c r="I3" s="10" t="inlineStr">
        <is>
          <t>交通 確度</t>
        </is>
      </c>
      <c r="J3" s="10" t="inlineStr">
        <is>
          <t>交通 改定状況</t>
        </is>
      </c>
      <c r="K3" s="10" t="inlineStr">
        <is>
          <t>交通 計画リンク（エビデンス）</t>
        </is>
      </c>
      <c r="L3" s="10" t="inlineStr">
        <is>
          <t>環境基本計画</t>
        </is>
      </c>
      <c r="M3" s="10" t="inlineStr">
        <is>
          <t>環境 計画期間</t>
        </is>
      </c>
      <c r="N3" s="10" t="inlineStr">
        <is>
          <t>環境 終期(令和年度)</t>
        </is>
      </c>
      <c r="O3" s="10" t="inlineStr">
        <is>
          <t>環境 確度</t>
        </is>
      </c>
      <c r="P3" s="10" t="inlineStr">
        <is>
          <t>環境 改定状況</t>
        </is>
      </c>
      <c r="Q3" s="10" t="inlineStr">
        <is>
          <t>環境 計画リンク（エビデンス）</t>
        </is>
      </c>
      <c r="R3" s="10" t="inlineStr">
        <is>
          <t>注釈（改定作業の状況など）</t>
        </is>
      </c>
      <c r="S3" s="10" t="inlineStr">
        <is>
          <t>調査状況</t>
        </is>
      </c>
      <c r="T3" s="10" t="inlineStr">
        <is>
          <t>国交省一覧(R8.5末)</t>
        </is>
      </c>
    </row>
    <row r="4">
      <c r="A4" s="11" t="n">
        <v>1</v>
      </c>
      <c r="B4" s="11" t="inlineStr">
        <is>
          <t>秋田市</t>
        </is>
      </c>
      <c r="C4" s="12">
        <f>IF(OR(D4="◎",E4="◎"),"◎ 営業",IF(OR(D4="△",E4="△"),"△ 着手済・要確認",IF(OR(D4="？",E4="？"),"？ 期間要確認","✕ 対象外")))</f>
        <v/>
      </c>
      <c r="D4" s="13">
        <f>IF(J4="計画なし","－",IF(J4="策定済","✕",IF(H4="","？",IF(AND(H4&gt;=TGT_MIN,H4&lt;=TGT_MAX),IF(J4="着手済","△","◎"),"✕"))))</f>
        <v/>
      </c>
      <c r="E4" s="13">
        <f>IF(P4="計画なし","－",IF(P4="策定済","✕",IF(N4="","？",IF(AND(N4&gt;=TGT_MIN,N4&lt;=TGT_MAX),IF(P4="着手済","△","◎"),"✕"))))</f>
        <v/>
      </c>
      <c r="F4" s="11" t="inlineStr">
        <is>
          <t>第4次秋田市公共交通政策ビジョン（秋田市地域公共交通計画）</t>
        </is>
      </c>
      <c r="G4" s="11" t="inlineStr">
        <is>
          <t>R8〜R12</t>
        </is>
      </c>
      <c r="H4" s="13" t="n">
        <v>12</v>
      </c>
      <c r="I4" s="13" t="inlineStr">
        <is>
          <t>確認済</t>
        </is>
      </c>
      <c r="J4" s="13" t="inlineStr">
        <is>
          <t>策定済</t>
        </is>
      </c>
      <c r="K4" s="14" t="inlineStr">
        <is>
          <t>https://www.city.akita.lg.jp/_res/projects/default_project/_page_/001/049/732/koukyoukoutuuseisakubijonn080306.pdf</t>
        </is>
      </c>
      <c r="L4" s="11" t="inlineStr">
        <is>
          <t>秋田市環境基本計画（R5.3中間見直し版）</t>
        </is>
      </c>
      <c r="M4" s="11" t="inlineStr">
        <is>
          <t>H30〜R9</t>
        </is>
      </c>
      <c r="N4" s="13" t="n">
        <v>9</v>
      </c>
      <c r="O4" s="13" t="inlineStr">
        <is>
          <t>確認済</t>
        </is>
      </c>
      <c r="P4" s="13" t="inlineStr">
        <is>
          <t>着手済</t>
        </is>
      </c>
      <c r="Q4" s="14" t="inlineStr">
        <is>
          <t>https://www.city.akita.lg.jp/_res/projects/default_project/_page_/001/006/108/keikaku23.pdf</t>
        </is>
      </c>
      <c r="R4" s="11" t="inlineStr">
        <is>
          <t>交通：前計画（第3次公共交通政策ビジョン R3〜R7）の後継として第4次ビジョン（地域公共交通計画）R8.3策定。関連ページ https://www.city.akita.lg.jp/kurashi/kotsu/1007422/1028662.html 。環境：H30〜R9の10年計画、R4〜R5に中間見直し（パブコメR4.12〜R5.1）。R9終期のため次期計画はR8〜R9に策定見込みだが、着手（審議会・委託等）は検索で未確認（有望）。計画ページ https://www.city.akita.lg.jp/shisei/hoshin-keikaku/1009930/1006108.html 【ファクトチェック 2026-10-01: 正しい】確認期間: H30〜R9（平成30年度〜令和9年度の10年間、R5.3中間見直し）／次期: 着手済：第45回秋田市環境審議会（令和8年3月24日）議題「秋田市環境基本計画の改定について」（資料1あり）https://www.city.akita.lg.jp/kurashi/recycle/1016631/1006116.html／根拠: https://www.city.akita.lg.jp/_res/projects/default_project/_page_/001/006/108/r2-1nenhoukoku.pdf</t>
        </is>
      </c>
      <c r="S4" s="15" t="inlineStr">
        <is>
          <t>調査済</t>
        </is>
      </c>
      <c r="T4" s="11" t="inlineStr">
        <is>
          <t>掲載</t>
        </is>
      </c>
    </row>
    <row r="5">
      <c r="A5" s="11" t="n">
        <v>2</v>
      </c>
      <c r="B5" s="11" t="inlineStr">
        <is>
          <t>能代市</t>
        </is>
      </c>
      <c r="C5" s="12">
        <f>IF(OR(D5="◎",E5="◎"),"◎ 営業",IF(OR(D5="△",E5="△"),"△ 着手済・要確認",IF(OR(D5="？",E5="？"),"？ 期間要確認","✕ 対象外")))</f>
        <v/>
      </c>
      <c r="D5" s="13">
        <f>IF(J5="計画なし","－",IF(J5="策定済","✕",IF(H5="","？",IF(AND(H5&gt;=TGT_MIN,H5&lt;=TGT_MAX),IF(J5="着手済","△","◎"),"✕"))))</f>
        <v/>
      </c>
      <c r="E5" s="13">
        <f>IF(P5="計画なし","－",IF(P5="策定済","✕",IF(N5="","？",IF(AND(N5&gt;=TGT_MIN,N5&lt;=TGT_MAX),IF(P5="着手済","△","◎"),"✕"))))</f>
        <v/>
      </c>
      <c r="F5" s="11" t="inlineStr">
        <is>
          <t>能代市地域公共交通計画</t>
        </is>
      </c>
      <c r="G5" s="11" t="inlineStr">
        <is>
          <t>R6〜（終期不明）</t>
        </is>
      </c>
      <c r="H5" s="13" t="n"/>
      <c r="I5" s="13" t="inlineStr">
        <is>
          <t>不明</t>
        </is>
      </c>
      <c r="J5" s="13" t="inlineStr">
        <is>
          <t>未確認</t>
        </is>
      </c>
      <c r="K5" s="14" t="inlineStr">
        <is>
          <t>https://www.city.noshiro.lg.jp/sangyo/kokyo-kotsu/kokyokoutsu-keikaku/24040</t>
        </is>
      </c>
      <c r="L5" s="11" t="inlineStr">
        <is>
          <t>第2次能代市環境基本計画（R5.3見直し）</t>
        </is>
      </c>
      <c r="M5" s="11" t="inlineStr">
        <is>
          <t>H30〜R9</t>
        </is>
      </c>
      <c r="N5" s="13" t="n">
        <v>9</v>
      </c>
      <c r="O5" s="13" t="inlineStr">
        <is>
          <t>確認済</t>
        </is>
      </c>
      <c r="P5" s="13" t="inlineStr">
        <is>
          <t>未確認</t>
        </is>
      </c>
      <c r="Q5" s="14" t="inlineStr">
        <is>
          <t>https://www.city.noshiro.lg.jp/sangyo/kankyo/keikaku/22091</t>
        </is>
      </c>
      <c r="R5" s="11" t="inlineStr">
        <is>
          <t>交通：R6.3策定（前計画は能代市地域公共交通網形成計画 H31.3策定）。市単独計画で能代山本広域の共同計画は確認できず。終期は検索で確認できず。環境：H30〜R9の10年計画、R5.3中間見直し（PDF https://www.city.noshiro.lg.jp/up/files/www/sangyo/kankyo/keikaku/keikaku_minaoshi_2nd.pdf ）。R9終期のため第3次計画はR8〜R9策定見込み、着手は未確認（有望）。環境基本計画懇談会の資料あり https://www.city.noshiro.lg.jp/up/files/www/sangyo/kankyo/keikaku/kondankai/1st/shiryo2_jokyo-kongo.pdf （開催時期未確認）。 R8.6に市民意識調査実施（https://www.city.noshiro.lg.jp/city/koho/ishiki-chosa/27883 、総合計画向けで環境計画専用ではない）。 【ファクトチェック 2026-10-01: 正しい】確認期間: H30〜R9（平成30年度〜令和9年度の10年間、R5.3中間見直し）／次期: 確認できず／根拠: https://www.city.noshiro.lg.jp/sangyo/kankyo/keikaku/22091</t>
        </is>
      </c>
      <c r="S5" s="15" t="inlineStr">
        <is>
          <t>調査済</t>
        </is>
      </c>
      <c r="T5" s="11" t="inlineStr">
        <is>
          <t>掲載</t>
        </is>
      </c>
    </row>
    <row r="6">
      <c r="A6" s="11" t="n">
        <v>3</v>
      </c>
      <c r="B6" s="11" t="inlineStr">
        <is>
          <t>横手市</t>
        </is>
      </c>
      <c r="C6" s="12">
        <f>IF(OR(D6="◎",E6="◎"),"◎ 営業",IF(OR(D6="△",E6="△"),"△ 着手済・要確認",IF(OR(D6="？",E6="？"),"？ 期間要確認","✕ 対象外")))</f>
        <v/>
      </c>
      <c r="D6" s="13">
        <f>IF(J6="計画なし","－",IF(J6="策定済","✕",IF(H6="","？",IF(AND(H6&gt;=TGT_MIN,H6&lt;=TGT_MAX),IF(J6="着手済","△","◎"),"✕"))))</f>
        <v/>
      </c>
      <c r="E6" s="13">
        <f>IF(P6="計画なし","－",IF(P6="策定済","✕",IF(N6="","？",IF(AND(N6&gt;=TGT_MIN,N6&lt;=TGT_MAX),IF(P6="着手済","△","◎"),"✕"))))</f>
        <v/>
      </c>
      <c r="F6" s="11" t="inlineStr">
        <is>
          <t>横手市地域公共交通計画</t>
        </is>
      </c>
      <c r="G6" s="11" t="inlineStr">
        <is>
          <t>R6〜R10</t>
        </is>
      </c>
      <c r="H6" s="13" t="n">
        <v>10</v>
      </c>
      <c r="I6" s="13" t="inlineStr">
        <is>
          <t>確認済</t>
        </is>
      </c>
      <c r="J6" s="13" t="inlineStr">
        <is>
          <t>未確認</t>
        </is>
      </c>
      <c r="K6" s="14" t="inlineStr">
        <is>
          <t>https://www.city.yokote.lg.jp/shisei/1001179/1001469/1001472/1003840.html</t>
        </is>
      </c>
      <c r="L6" s="11" t="inlineStr">
        <is>
          <t>第3次横手市環境基本計画</t>
        </is>
      </c>
      <c r="M6" s="11" t="inlineStr">
        <is>
          <t>R8〜R17</t>
        </is>
      </c>
      <c r="N6" s="13" t="n">
        <v>17</v>
      </c>
      <c r="O6" s="13" t="inlineStr">
        <is>
          <t>確認済</t>
        </is>
      </c>
      <c r="P6" s="13" t="inlineStr">
        <is>
          <t>策定済</t>
        </is>
      </c>
      <c r="Q6" s="14" t="inlineStr">
        <is>
          <t>https://www.city.yokote.lg.jp/shisei/1001179/1001469/1001471/1003346.html</t>
        </is>
      </c>
      <c r="R6" s="11" t="inlineStr">
        <is>
          <t>交通：R6.3策定（概要版 https://www.city.yokote.lg.jp/_res/projects/default_project/_page_/001/003/596/20240219_1-2.pdf ）。R10終期で次期作業は未確認。環境：第2次（H28〜）の後継として第3次（R8〜R17）を策定済（概要 https://www.city.yokote.lg.jp/_res/projects/default_project/_page_/001/003/346/dai3jigaiyou.pdf ）。</t>
        </is>
      </c>
      <c r="S6" s="15" t="inlineStr">
        <is>
          <t>調査済</t>
        </is>
      </c>
      <c r="T6" s="11" t="inlineStr">
        <is>
          <t>掲載</t>
        </is>
      </c>
    </row>
    <row r="7">
      <c r="A7" s="11" t="n">
        <v>4</v>
      </c>
      <c r="B7" s="11" t="inlineStr">
        <is>
          <t>大館市</t>
        </is>
      </c>
      <c r="C7" s="12">
        <f>IF(OR(D7="◎",E7="◎"),"◎ 営業",IF(OR(D7="△",E7="△"),"△ 着手済・要確認",IF(OR(D7="？",E7="？"),"？ 期間要確認","✕ 対象外")))</f>
        <v/>
      </c>
      <c r="D7" s="13">
        <f>IF(J7="計画なし","－",IF(J7="策定済","✕",IF(H7="","？",IF(AND(H7&gt;=TGT_MIN,H7&lt;=TGT_MAX),IF(J7="着手済","△","◎"),"✕"))))</f>
        <v/>
      </c>
      <c r="E7" s="13">
        <f>IF(P7="計画なし","－",IF(P7="策定済","✕",IF(N7="","？",IF(AND(N7&gt;=TGT_MIN,N7&lt;=TGT_MAX),IF(P7="着手済","△","◎"),"✕"))))</f>
        <v/>
      </c>
      <c r="F7" s="11" t="inlineStr">
        <is>
          <t>大館市地域公共交通計画（旧・地域公共交通網形成計画、R7.8改定）</t>
        </is>
      </c>
      <c r="G7" s="11" t="inlineStr">
        <is>
          <t>H30〜R9</t>
        </is>
      </c>
      <c r="H7" s="13" t="n">
        <v>9</v>
      </c>
      <c r="I7" s="13" t="inlineStr">
        <is>
          <t>確認済</t>
        </is>
      </c>
      <c r="J7" s="13" t="inlineStr">
        <is>
          <t>未確認</t>
        </is>
      </c>
      <c r="K7" s="14" t="inlineStr">
        <is>
          <t>https://www.city.odate.lg.jp/city/soshiki/koutsu/p11901</t>
        </is>
      </c>
      <c r="L7" s="11" t="inlineStr">
        <is>
          <t>第3次大館市環境基本計画</t>
        </is>
      </c>
      <c r="M7" s="11" t="inlineStr">
        <is>
          <t>R3〜R12</t>
        </is>
      </c>
      <c r="N7" s="16" t="n">
        <v>12</v>
      </c>
      <c r="O7" s="13" t="inlineStr">
        <is>
          <t>推定</t>
        </is>
      </c>
      <c r="P7" s="13" t="inlineStr">
        <is>
          <t>未確認</t>
        </is>
      </c>
      <c r="Q7" s="14" t="inlineStr">
        <is>
          <t>https://www.city.odate.lg.jp/city/soshiki/kankyokikaku/p7909</t>
        </is>
      </c>
      <c r="R7" s="11" t="inlineStr">
        <is>
          <t>交通：H30.3策定の網形成計画（H30〜R9）をR6年度に地域公共交通計画へ名称変更・改定（R6.5『大館市地域公共交通網形成計画見直し業務』入札 https://nsearch.jp/nyusatsu_ankens/664c662d6a90d97d72380dee ）、R7.3/R7.8改定版PDFあり。R9(2027)終期のため次期計画策定はR8〜R9に着手見込みだが、策定業務プロポーザル等は検索で未確認（有望）。環境：第3次はR3.3パブコメを経て策定、期間は第2次(H23〜R2)の10年サイクルから推定。 R7.8改定版には『概ね10年後に見直し』との記載あり（計画期間はH30〜R9）。関連：大館市地域公共交通利便増進実施計画 https://www.mlit.go.jp/sogoseisaku/transport/content/001911965.pdf 【ファクトチェック 2026-10-01: 正しい】確認期間: H30〜R9（2018年度～2027年度）／次期: 確認できず（R7に利便増進実施計画（2025～2027年度）を策定済。次期計画の策定業務・協議会審議は未確認）／根拠: https://www.city.odate.lg.jp/uploads/public/pages_0000011901_00/R07.8%E6%9C%88%E6%94%B9%E6%AD%A3.%E5%A4%A7%E9%A4%A8%E5%B8%82%E5%9C%B0%E5%9F%9F%E5%85%AC%E5%85%B1%E4%BA%A4%E8%A8%88%E7%94%BB_.pdf</t>
        </is>
      </c>
      <c r="S7" s="15" t="inlineStr">
        <is>
          <t>調査済</t>
        </is>
      </c>
      <c r="T7" s="11" t="inlineStr">
        <is>
          <t>掲載</t>
        </is>
      </c>
    </row>
    <row r="8">
      <c r="A8" s="11" t="n">
        <v>5</v>
      </c>
      <c r="B8" s="11" t="inlineStr">
        <is>
          <t>男鹿市</t>
        </is>
      </c>
      <c r="C8" s="12">
        <f>IF(OR(D8="◎",E8="◎"),"◎ 営業",IF(OR(D8="△",E8="△"),"△ 着手済・要確認",IF(OR(D8="？",E8="？"),"？ 期間要確認","✕ 対象外")))</f>
        <v/>
      </c>
      <c r="D8" s="13">
        <f>IF(J8="計画なし","－",IF(J8="策定済","✕",IF(H8="","？",IF(AND(H8&gt;=TGT_MIN,H8&lt;=TGT_MAX),IF(J8="着手済","△","◎"),"✕"))))</f>
        <v/>
      </c>
      <c r="E8" s="13">
        <f>IF(P8="計画なし","－",IF(P8="策定済","✕",IF(N8="","？",IF(AND(N8&gt;=TGT_MIN,N8&lt;=TGT_MAX),IF(P8="着手済","△","◎"),"✕"))))</f>
        <v/>
      </c>
      <c r="F8" s="11" t="inlineStr">
        <is>
          <t>男鹿市地域公共交通計画</t>
        </is>
      </c>
      <c r="G8" s="11" t="inlineStr">
        <is>
          <t>R6〜R10</t>
        </is>
      </c>
      <c r="H8" s="13" t="n">
        <v>10</v>
      </c>
      <c r="I8" s="13" t="inlineStr">
        <is>
          <t>確認済</t>
        </is>
      </c>
      <c r="J8" s="13" t="inlineStr">
        <is>
          <t>未確認</t>
        </is>
      </c>
      <c r="K8" s="14" t="inlineStr">
        <is>
          <t>https://www.city.oga.akita.jp/soshik/kikakuseisakuka/kakushukeikaku/6608.html</t>
        </is>
      </c>
      <c r="L8" s="11" t="n"/>
      <c r="M8" s="11" t="inlineStr">
        <is>
          <t>不明</t>
        </is>
      </c>
      <c r="N8" s="13" t="n"/>
      <c r="O8" s="13" t="inlineStr">
        <is>
          <t>不明</t>
        </is>
      </c>
      <c r="P8" s="13" t="inlineStr">
        <is>
          <t>計画なし</t>
        </is>
      </c>
      <c r="Q8" s="11" t="n"/>
      <c r="R8" s="11" t="inlineStr">
        <is>
          <t>交通：前計画は男鹿市地域公共交通網形成計画（https://www.city.oga.akita.jp/soshik/kikakuseisakuka/kakushukeikaku/1012.html ）。R10終期で次期作業は未確認。環境：環境基本計画は検索で見つからず（計画なしと推定、要確認）。環境省策定状況ページ https://www.env.go.jp/policy/local_keikaku/sakutei2/05/05206.html 。次期男鹿市総合計画を策定中（https://www.city.oga.akita.jp/soshik/kikakuseisakuka/1/8055.html ）。</t>
        </is>
      </c>
      <c r="S8" s="15" t="inlineStr">
        <is>
          <t>調査済</t>
        </is>
      </c>
      <c r="T8" s="11" t="inlineStr">
        <is>
          <t>掲載</t>
        </is>
      </c>
    </row>
    <row r="9">
      <c r="A9" s="11" t="n">
        <v>6</v>
      </c>
      <c r="B9" s="11" t="inlineStr">
        <is>
          <t>湯沢市</t>
        </is>
      </c>
      <c r="C9" s="12">
        <f>IF(OR(D9="◎",E9="◎"),"◎ 営業",IF(OR(D9="△",E9="△"),"△ 着手済・要確認",IF(OR(D9="？",E9="？"),"？ 期間要確認","✕ 対象外")))</f>
        <v/>
      </c>
      <c r="D9" s="13">
        <f>IF(J9="計画なし","－",IF(J9="策定済","✕",IF(H9="","？",IF(AND(H9&gt;=TGT_MIN,H9&lt;=TGT_MAX),IF(J9="着手済","△","◎"),"✕"))))</f>
        <v/>
      </c>
      <c r="E9" s="13">
        <f>IF(P9="計画なし","－",IF(P9="策定済","✕",IF(N9="","？",IF(AND(N9&gt;=TGT_MIN,N9&lt;=TGT_MAX),IF(P9="着手済","△","◎"),"✕"))))</f>
        <v/>
      </c>
      <c r="F9" s="11" t="inlineStr">
        <is>
          <t>湯沢市地域公共交通計画</t>
        </is>
      </c>
      <c r="G9" s="11" t="inlineStr">
        <is>
          <t>R6〜R10</t>
        </is>
      </c>
      <c r="H9" s="13" t="n">
        <v>10</v>
      </c>
      <c r="I9" s="13" t="inlineStr">
        <is>
          <t>確認済</t>
        </is>
      </c>
      <c r="J9" s="13" t="inlineStr">
        <is>
          <t>未確認</t>
        </is>
      </c>
      <c r="K9" s="14" t="inlineStr">
        <is>
          <t>https://www.city-yuzawa.jp/soshiki/31/5581.html</t>
        </is>
      </c>
      <c r="L9" s="11" t="n"/>
      <c r="M9" s="11" t="inlineStr">
        <is>
          <t>不明</t>
        </is>
      </c>
      <c r="N9" s="13" t="n"/>
      <c r="O9" s="13" t="inlineStr">
        <is>
          <t>不明</t>
        </is>
      </c>
      <c r="P9" s="13" t="inlineStr">
        <is>
          <t>計画なし</t>
        </is>
      </c>
      <c r="Q9" s="11" t="n"/>
      <c r="R9" s="11" t="inlineStr">
        <is>
          <t>交通：市単独計画（前計画は第2次湯沢市地域公共交通網形成計画 R2.2 https://www.city-yuzawa.jp/uploaded/attachment/13134.pdf ）。湯沢雄勝広域の共同計画は確認できず。R10終期で次期作業は未確認。新潟県湯沢町と混同注意。環境：環境基本計画は検索で見つからず（計画なしと推定、要確認）。第2次地球温暖化対策実行計画（事務事業編）R3策定、R4.6ゼロカーボンシティ宣言。環境省策定状況 https://www.env.go.jp/policy/local_keikaku/sakutei2/05/05207.html 。</t>
        </is>
      </c>
      <c r="S9" s="15" t="inlineStr">
        <is>
          <t>調査済</t>
        </is>
      </c>
      <c r="T9" s="11" t="inlineStr">
        <is>
          <t>掲載</t>
        </is>
      </c>
    </row>
    <row r="10">
      <c r="A10" s="11" t="n">
        <v>7</v>
      </c>
      <c r="B10" s="11" t="inlineStr">
        <is>
          <t>鹿角市</t>
        </is>
      </c>
      <c r="C10" s="12">
        <f>IF(OR(D10="◎",E10="◎"),"◎ 営業",IF(OR(D10="△",E10="△"),"△ 着手済・要確認",IF(OR(D10="？",E10="？"),"？ 期間要確認","✕ 対象外")))</f>
        <v/>
      </c>
      <c r="D10" s="13">
        <f>IF(J10="計画なし","－",IF(J10="策定済","✕",IF(H10="","？",IF(AND(H10&gt;=TGT_MIN,H10&lt;=TGT_MAX),IF(J10="着手済","△","◎"),"✕"))))</f>
        <v/>
      </c>
      <c r="E10" s="13">
        <f>IF(P10="計画なし","－",IF(P10="策定済","✕",IF(N10="","？",IF(AND(N10&gt;=TGT_MIN,N10&lt;=TGT_MAX),IF(P10="着手済","△","◎"),"✕"))))</f>
        <v/>
      </c>
      <c r="F10" s="11" t="inlineStr">
        <is>
          <t>鹿角市地域公共交通計画（令和7年6月改訂版）</t>
        </is>
      </c>
      <c r="G10" s="11" t="inlineStr">
        <is>
          <t>R5〜R9</t>
        </is>
      </c>
      <c r="H10" s="16" t="n">
        <v>9</v>
      </c>
      <c r="I10" s="13" t="inlineStr">
        <is>
          <t>推定</t>
        </is>
      </c>
      <c r="J10" s="13" t="inlineStr">
        <is>
          <t>未確認</t>
        </is>
      </c>
      <c r="K10" s="14" t="inlineStr">
        <is>
          <t>https://www.city.kazuno.lg.jp/soshiki/shiminkyodo/kankyoseikatsu/gyomu/2/3/10092.html</t>
        </is>
      </c>
      <c r="L10" s="11" t="inlineStr">
        <is>
          <t>第3次鹿角市環境基本計画</t>
        </is>
      </c>
      <c r="M10" s="11" t="inlineStr">
        <is>
          <t>R3〜R12</t>
        </is>
      </c>
      <c r="N10" s="16" t="n">
        <v>12</v>
      </c>
      <c r="O10" s="13" t="inlineStr">
        <is>
          <t>推定</t>
        </is>
      </c>
      <c r="P10" s="13" t="inlineStr">
        <is>
          <t>未確認</t>
        </is>
      </c>
      <c r="Q10" s="14" t="inlineStr">
        <is>
          <t>https://www.city.kazuno.lg.jp/soshiki/shiminkyodo/kankyoseikatsu/gyomu/1/3/index.html</t>
        </is>
      </c>
      <c r="R10" s="11" t="inlineStr">
        <is>
          <t>交通：R7.6改訂版（秋北バス一部路線廃止・八幡平地区再編 R7.10.1対応）。計画期間は検索結果で未確認だが、R4年度協議会で策定審議（資料 https://www.city.kazuno.lg.jp/material/files/group/8/shiryou3_R4_3.pdf ）→R5年度始期の5年計画（R5〜R9）と推定、要確認。協議会 https://www.city.kazuno.lg.jp/soshiki/shiminkyodo/kankyoseikatsu/gyomu/2/3/9297.html 。環境：エネルギービジョン（R4.2）が第3次環境基本計画と終期を整合、R13年3月まで（=R12年度末）https://www.city.kazuno.lg.jp/material/files/group/14/energyvision.pdf 。e_urlは市の環境ページ（計画直リンク未取得）。 【ファクトチェック 2026-10-01: 確認できず】確認期間: R5〜R9（要約のみ）／次期: 確認できず／根拠: https://realtime-nippon.com/archives/052094230123001/ 【追加調査 2026-10】【2026-10-02調査】検索3回の要約がいずれも「計画期間は令和5年度から令和9年度まで」と回答（出典候補: 計画ページ https://www.city.kazuno.lg.jp/soshiki/shiminkyodo/kankyoseikatsu/gyomu/2/3/10092.html 、協議会 https://www.city.kazuno.lg.jp/soshiki/shiminkyodo/kankyoseikatsu/gyomu/2/3/9297.html ）が、本文抜粋は表示されず要約のみのため推定のまま（R5〜R9の確度は高い）。市サイト・realtime-nipponはWebFetch不可。関連: R7.10.1八幡平地区公共交通再編 https://www.city.kazuno.lg.jp/soshiki/shiminkyodo/kankyoseikatsu/gyomu/2/3/13627.html 。次期計画の委託・審議は検索で見当たらず。</t>
        </is>
      </c>
      <c r="S10" s="15" t="inlineStr">
        <is>
          <t>調査済</t>
        </is>
      </c>
      <c r="T10" s="11" t="inlineStr">
        <is>
          <t>掲載</t>
        </is>
      </c>
    </row>
    <row r="11">
      <c r="A11" s="11" t="n">
        <v>8</v>
      </c>
      <c r="B11" s="11" t="inlineStr">
        <is>
          <t>由利本荘市</t>
        </is>
      </c>
      <c r="C11" s="12">
        <f>IF(OR(D11="◎",E11="◎"),"◎ 営業",IF(OR(D11="△",E11="△"),"△ 着手済・要確認",IF(OR(D11="？",E11="？"),"？ 期間要確認","✕ 対象外")))</f>
        <v/>
      </c>
      <c r="D11" s="13">
        <f>IF(J11="計画なし","－",IF(J11="策定済","✕",IF(H11="","？",IF(AND(H11&gt;=TGT_MIN,H11&lt;=TGT_MAX),IF(J11="着手済","△","◎"),"✕"))))</f>
        <v/>
      </c>
      <c r="E11" s="13">
        <f>IF(P11="計画なし","－",IF(P11="策定済","✕",IF(N11="","？",IF(AND(N11&gt;=TGT_MIN,N11&lt;=TGT_MAX),IF(P11="着手済","△","◎"),"✕"))))</f>
        <v/>
      </c>
      <c r="F11" s="11" t="inlineStr">
        <is>
          <t>由利本荘市地域公共交通計画</t>
        </is>
      </c>
      <c r="G11" s="11" t="inlineStr">
        <is>
          <t>R6〜R10</t>
        </is>
      </c>
      <c r="H11" s="13" t="n">
        <v>10</v>
      </c>
      <c r="I11" s="13" t="inlineStr">
        <is>
          <t>確認済</t>
        </is>
      </c>
      <c r="J11" s="13" t="inlineStr">
        <is>
          <t>未確認</t>
        </is>
      </c>
      <c r="K11" s="14" t="inlineStr">
        <is>
          <t>https://www.city.yurihonjo.lg.jp/1000006/1001990/1009868.html</t>
        </is>
      </c>
      <c r="L11" s="11" t="inlineStr">
        <is>
          <t>第二次由利本荘市環境基本計画</t>
        </is>
      </c>
      <c r="M11" s="11" t="inlineStr">
        <is>
          <t>R5〜R14</t>
        </is>
      </c>
      <c r="N11" s="16" t="n">
        <v>14</v>
      </c>
      <c r="O11" s="13" t="inlineStr">
        <is>
          <t>推定</t>
        </is>
      </c>
      <c r="P11" s="13" t="inlineStr">
        <is>
          <t>未確認</t>
        </is>
      </c>
      <c r="Q11" s="14" t="inlineStr">
        <is>
          <t>https://www.city.yurihonjo.lg.jp/_res/projects/default_project/_page_/001/007/924/keikaku.pdf</t>
        </is>
      </c>
      <c r="R11" s="11" t="inlineStr">
        <is>
          <t>交通：網形成計画（第二次 R2〜R6）の後継としてR5年度プロポーザルで策定、期間2024〜2028年度。改訂ページあり（1009868）。環境：R5年度開始、終期は検索で未確認（10年と推定）。</t>
        </is>
      </c>
      <c r="S11" s="15" t="inlineStr">
        <is>
          <t>調査済</t>
        </is>
      </c>
      <c r="T11" s="11" t="inlineStr">
        <is>
          <t>掲載</t>
        </is>
      </c>
    </row>
    <row r="12">
      <c r="A12" s="11" t="n">
        <v>9</v>
      </c>
      <c r="B12" s="11" t="inlineStr">
        <is>
          <t>潟上市</t>
        </is>
      </c>
      <c r="C12" s="12">
        <f>IF(OR(D12="◎",E12="◎"),"◎ 営業",IF(OR(D12="△",E12="△"),"△ 着手済・要確認",IF(OR(D12="？",E12="？"),"？ 期間要確認","✕ 対象外")))</f>
        <v/>
      </c>
      <c r="D12" s="13">
        <f>IF(J12="計画なし","－",IF(J12="策定済","✕",IF(H12="","？",IF(AND(H12&gt;=TGT_MIN,H12&lt;=TGT_MAX),IF(J12="着手済","△","◎"),"✕"))))</f>
        <v/>
      </c>
      <c r="E12" s="13">
        <f>IF(P12="計画なし","－",IF(P12="策定済","✕",IF(N12="","？",IF(AND(N12&gt;=TGT_MIN,N12&lt;=TGT_MAX),IF(P12="着手済","△","◎"),"✕"))))</f>
        <v/>
      </c>
      <c r="F12" s="11" t="inlineStr">
        <is>
          <t>潟上市地域公共交通計画</t>
        </is>
      </c>
      <c r="G12" s="11" t="inlineStr">
        <is>
          <t>R4〜R8</t>
        </is>
      </c>
      <c r="H12" s="13" t="n">
        <v>8</v>
      </c>
      <c r="I12" s="13" t="inlineStr">
        <is>
          <t>確認済</t>
        </is>
      </c>
      <c r="J12" s="13" t="inlineStr">
        <is>
          <t>未確認</t>
        </is>
      </c>
      <c r="K12" s="14" t="inlineStr">
        <is>
          <t>https://www.city.katagami.lg.jp/soshiki/shiminseikatsu/chiikidukurika/chiikishinko/bus/4006.html</t>
        </is>
      </c>
      <c r="L12" s="11" t="inlineStr">
        <is>
          <t>第2次潟上市環境基本計画</t>
        </is>
      </c>
      <c r="M12" s="11" t="inlineStr">
        <is>
          <t>R5〜R14</t>
        </is>
      </c>
      <c r="N12" s="16" t="n">
        <v>14</v>
      </c>
      <c r="O12" s="13" t="inlineStr">
        <is>
          <t>推定</t>
        </is>
      </c>
      <c r="P12" s="13" t="inlineStr">
        <is>
          <t>未確認</t>
        </is>
      </c>
      <c r="Q12" s="14" t="inlineStr">
        <is>
          <t>https://www.city.katagami.lg.jp/material/files/group/6/kankyokihon2.pdf</t>
        </is>
      </c>
      <c r="R12" s="11" t="inlineStr">
        <is>
          <t>交通：R8(2026)年度で終期。次期計画の策定業務・協議会審議は検索で確認できず（R8年度中に改定作業のはず、有望・要確認）。公共交通アンケート結果ページあり https://www.city.katagami.lg.jp/soshiki/shiminseikatsu/chiikidukurika/chiikishinko/bus/3900.html （時期未確認）。環境：R5.3策定・R5年度始期、終期は未確認（10年と推定）。</t>
        </is>
      </c>
      <c r="S12" s="15" t="inlineStr">
        <is>
          <t>調査済</t>
        </is>
      </c>
      <c r="T12" s="11" t="inlineStr">
        <is>
          <t>掲載</t>
        </is>
      </c>
    </row>
    <row r="13">
      <c r="A13" s="11" t="n">
        <v>10</v>
      </c>
      <c r="B13" s="11" t="inlineStr">
        <is>
          <t>大仙市</t>
        </is>
      </c>
      <c r="C13" s="12">
        <f>IF(OR(D13="◎",E13="◎"),"◎ 営業",IF(OR(D13="△",E13="△"),"△ 着手済・要確認",IF(OR(D13="？",E13="？"),"？ 期間要確認","✕ 対象外")))</f>
        <v/>
      </c>
      <c r="D13" s="13">
        <f>IF(J13="計画なし","－",IF(J13="策定済","✕",IF(H13="","？",IF(AND(H13&gt;=TGT_MIN,H13&lt;=TGT_MAX),IF(J13="着手済","△","◎"),"✕"))))</f>
        <v/>
      </c>
      <c r="E13" s="13">
        <f>IF(P13="計画なし","－",IF(P13="策定済","✕",IF(N13="","？",IF(AND(N13&gt;=TGT_MIN,N13&lt;=TGT_MAX),IF(P13="着手済","△","◎"),"✕"))))</f>
        <v/>
      </c>
      <c r="F13" s="11" t="inlineStr">
        <is>
          <t>大仙市地域公共交通計画マスタープラン</t>
        </is>
      </c>
      <c r="G13" s="11" t="inlineStr">
        <is>
          <t>R3〜R7</t>
        </is>
      </c>
      <c r="H13" s="13" t="n">
        <v>7</v>
      </c>
      <c r="I13" s="13" t="inlineStr">
        <is>
          <t>確認済</t>
        </is>
      </c>
      <c r="J13" s="13" t="inlineStr">
        <is>
          <t>未確認</t>
        </is>
      </c>
      <c r="K13" s="14" t="inlineStr">
        <is>
          <t>https://www.city.daisen.lg.jp/archive/contents-12074</t>
        </is>
      </c>
      <c r="L13" s="11" t="inlineStr">
        <is>
          <t>第2次大仙市環境基本計画</t>
        </is>
      </c>
      <c r="M13" s="11" t="inlineStr">
        <is>
          <t>R1〜R10</t>
        </is>
      </c>
      <c r="N13" s="16" t="n">
        <v>10</v>
      </c>
      <c r="O13" s="13" t="inlineStr">
        <is>
          <t>推定</t>
        </is>
      </c>
      <c r="P13" s="13" t="inlineStr">
        <is>
          <t>未確認</t>
        </is>
      </c>
      <c r="Q13" s="14" t="inlineStr">
        <is>
          <t>https://www.city.daisen.lg.jp/genre/administration/plannning</t>
        </is>
      </c>
      <c r="R13" s="11" t="inlineStr">
        <is>
          <t>交通：マスタープラン（R3〜R7）は期間満了。後継（R8〜）計画の策定・パブコメは検索で確認できず（要確認・有望）。旧網形成計画PDF https://www.city.daisen.lg.jp/docs/2013091900263/file_contents/plan1.pdf 。環境：第2次はR1策定、終期未確認（10年と推定）。区域施策編あり https://www.city.daisen.lg.jp/archive/contents-13811 。e_urlは方針・計画一覧ページ。</t>
        </is>
      </c>
      <c r="S13" s="15" t="inlineStr">
        <is>
          <t>調査済</t>
        </is>
      </c>
      <c r="T13" s="11" t="inlineStr">
        <is>
          <t>掲載</t>
        </is>
      </c>
    </row>
    <row r="14">
      <c r="A14" s="11" t="n">
        <v>11</v>
      </c>
      <c r="B14" s="11" t="inlineStr">
        <is>
          <t>北秋田市</t>
        </is>
      </c>
      <c r="C14" s="12">
        <f>IF(OR(D14="◎",E14="◎"),"◎ 営業",IF(OR(D14="△",E14="△"),"△ 着手済・要確認",IF(OR(D14="？",E14="？"),"？ 期間要確認","✕ 対象外")))</f>
        <v/>
      </c>
      <c r="D14" s="13">
        <f>IF(J14="計画なし","－",IF(J14="策定済","✕",IF(H14="","？",IF(AND(H14&gt;=TGT_MIN,H14&lt;=TGT_MAX),IF(J14="着手済","△","◎"),"✕"))))</f>
        <v/>
      </c>
      <c r="E14" s="13">
        <f>IF(P14="計画なし","－",IF(P14="策定済","✕",IF(N14="","？",IF(AND(N14&gt;=TGT_MIN,N14&lt;=TGT_MAX),IF(P14="着手済","△","◎"),"✕"))))</f>
        <v/>
      </c>
      <c r="F14" s="11" t="inlineStr">
        <is>
          <t>北秋田市地域公共交通計画</t>
        </is>
      </c>
      <c r="G14" s="11" t="inlineStr">
        <is>
          <t>R5〜R9</t>
        </is>
      </c>
      <c r="H14" s="13" t="n">
        <v>9</v>
      </c>
      <c r="I14" s="13" t="inlineStr">
        <is>
          <t>確認済</t>
        </is>
      </c>
      <c r="J14" s="13" t="inlineStr">
        <is>
          <t>未確認</t>
        </is>
      </c>
      <c r="K14" s="14" t="inlineStr">
        <is>
          <t>https://www.city.kitaakita.akita.jp/uploads/public/news_0000015700_00/koukyoukoutsukeikaku.pdf</t>
        </is>
      </c>
      <c r="L14" s="11" t="inlineStr">
        <is>
          <t>北秋田市環境基本計画（R3改正版）</t>
        </is>
      </c>
      <c r="M14" s="11" t="inlineStr">
        <is>
          <t>〜R8（H28またはH29〜R8の10年間）</t>
        </is>
      </c>
      <c r="N14" s="13" t="n">
        <v>8</v>
      </c>
      <c r="O14" s="13" t="inlineStr">
        <is>
          <t>確認済</t>
        </is>
      </c>
      <c r="P14" s="13" t="inlineStr">
        <is>
          <t>未確認</t>
        </is>
      </c>
      <c r="Q14" s="14" t="inlineStr">
        <is>
          <t>https://www.city.kitaakita.akita.jp/uploads/public/archive_0000014042_00/%E3%80%90R3%E6%94%B9%E6%AD%A3%E3%80%91%E5%8C%97%E7%A7%8B%E7%94%B0%E5%B8%82%E7%92%B0%E5%A2%83%E5%9F%BA%E6%9C%AC%E8%A8%88%E7%94%BB_(%E6%9C%80%E7%B5%82%E7%89%88).pdf</t>
        </is>
      </c>
      <c r="R14" s="11" t="inlineStr">
        <is>
          <t>交通：R5.3（公表2024.3.29頃）策定、R5〜R9（網形成計画H30〜R4の後継）。市単独計画（上小阿仁村との共同計画は確認できず）。利便増進実施計画もあり https://www.city.kitaakita.akita.jp/news/p12935 。R9終期のため次期計画はR8〜R9に着手見込み、現時点で策定業務は未確認。R8年度県北地域部会資料あり https://www.pref.akita.lg.jp/uploads/public/archive_0000098833_00/R8活性化協議会①/令和８年度第１回秋田県地域公共交通活性化協議会県北地域部会_会議概要.pdf 。環境：H30.4.1始期・R3改正（10年間ならR9終期、推定・要確認）。区域施策編も策定中/策定済（ゼロカーボン宣言R6.2.15）。 【ファクトチェック 2026-10-01: 正しい】確認期間: R5〜R9／次期: 確認できず／根拠: https://www.city.kitaakita.akita.jp/news/p15700 【ファクトチェック 2026-10-01: 誤り】確認期間: 〜R8（「平成28年度から令和8年度までの10年間」と要約。10年間ならH29〜R8の可能性）／次期: 確認できず（終期R8＝今年度のため次期計画策定が進行中の可能性が高いが、策定業務公告・審議会・アンケートは検索で見つからず）／根拠: https://www.city.kitaakita.akita.jp/archive/p13109</t>
        </is>
      </c>
      <c r="S14" s="15" t="inlineStr">
        <is>
          <t>調査済</t>
        </is>
      </c>
      <c r="T14" s="11" t="inlineStr">
        <is>
          <t>掲載</t>
        </is>
      </c>
    </row>
    <row r="15">
      <c r="A15" s="11" t="n">
        <v>12</v>
      </c>
      <c r="B15" s="11" t="inlineStr">
        <is>
          <t>にかほ市</t>
        </is>
      </c>
      <c r="C15" s="12">
        <f>IF(OR(D15="◎",E15="◎"),"◎ 営業",IF(OR(D15="△",E15="△"),"△ 着手済・要確認",IF(OR(D15="？",E15="？"),"？ 期間要確認","✕ 対象外")))</f>
        <v/>
      </c>
      <c r="D15" s="13">
        <f>IF(J15="計画なし","－",IF(J15="策定済","✕",IF(H15="","？",IF(AND(H15&gt;=TGT_MIN,H15&lt;=TGT_MAX),IF(J15="着手済","△","◎"),"✕"))))</f>
        <v/>
      </c>
      <c r="E15" s="13">
        <f>IF(P15="計画なし","－",IF(P15="策定済","✕",IF(N15="","？",IF(AND(N15&gt;=TGT_MIN,N15&lt;=TGT_MAX),IF(P15="着手済","△","◎"),"✕"))))</f>
        <v/>
      </c>
      <c r="F15" s="11" t="inlineStr">
        <is>
          <t>にかほ市地域公共交通計画（R7.3修正）</t>
        </is>
      </c>
      <c r="G15" s="11" t="inlineStr">
        <is>
          <t>R4〜R8</t>
        </is>
      </c>
      <c r="H15" s="13" t="n">
        <v>8</v>
      </c>
      <c r="I15" s="13" t="inlineStr">
        <is>
          <t>確認済</t>
        </is>
      </c>
      <c r="J15" s="13" t="inlineStr">
        <is>
          <t>未確認</t>
        </is>
      </c>
      <c r="K15" s="14" t="inlineStr">
        <is>
          <t>https://www.city.nikaho.akita.jp/material/files/group/5/koukyoukoutuukeikaku3.pdf</t>
        </is>
      </c>
      <c r="L15" s="11" t="n"/>
      <c r="M15" s="11" t="inlineStr">
        <is>
          <t>不明</t>
        </is>
      </c>
      <c r="N15" s="13" t="n"/>
      <c r="O15" s="13" t="inlineStr">
        <is>
          <t>不明</t>
        </is>
      </c>
      <c r="P15" s="13" t="inlineStr">
        <is>
          <t>計画なし</t>
        </is>
      </c>
      <c r="Q15" s="11" t="n"/>
      <c r="R15" s="11" t="inlineStr">
        <is>
          <t>交通：R4.3策定・R7.3修正、R8(2026)年度で終期。「にかほ市地域交通調査分析支援業務委託プロポーザル」実施（受託候補者：博報堂）https://www.city.nikaho.akita.jp/soshikikarasagasu/renkei/gyomuannai/1_1/6279.html ―次期計画に向けた調査の可能性大（時期・計画策定との関係は要確認）。AIオンデマンド交通実証も実施。環境：環境基本計画は検索で見つからず。代替としてにかほ市地球温暖化対策実行計画（区域施策編）R7.3策定・2027年度まで https://www.city.nikaho.akita.jp/material/files/group/8/kuikishisaku.pdf 。</t>
        </is>
      </c>
      <c r="S15" s="15" t="inlineStr">
        <is>
          <t>調査済</t>
        </is>
      </c>
      <c r="T15" s="11" t="inlineStr">
        <is>
          <t>掲載</t>
        </is>
      </c>
    </row>
    <row r="16">
      <c r="A16" s="11" t="n">
        <v>13</v>
      </c>
      <c r="B16" s="11" t="inlineStr">
        <is>
          <t>仙北市</t>
        </is>
      </c>
      <c r="C16" s="12">
        <f>IF(OR(D16="◎",E16="◎"),"◎ 営業",IF(OR(D16="△",E16="△"),"△ 着手済・要確認",IF(OR(D16="？",E16="？"),"？ 期間要確認","✕ 対象外")))</f>
        <v/>
      </c>
      <c r="D16" s="13">
        <f>IF(J16="計画なし","－",IF(J16="策定済","✕",IF(H16="","？",IF(AND(H16&gt;=TGT_MIN,H16&lt;=TGT_MAX),IF(J16="着手済","△","◎"),"✕"))))</f>
        <v/>
      </c>
      <c r="E16" s="13">
        <f>IF(P16="計画なし","－",IF(P16="策定済","✕",IF(N16="","？",IF(AND(N16&gt;=TGT_MIN,N16&lt;=TGT_MAX),IF(P16="着手済","△","◎"),"✕"))))</f>
        <v/>
      </c>
      <c r="F16" s="11" t="inlineStr">
        <is>
          <t>仙北市地域公共交通計画</t>
        </is>
      </c>
      <c r="G16" s="11" t="inlineStr">
        <is>
          <t>R4〜R8</t>
        </is>
      </c>
      <c r="H16" s="13" t="n">
        <v>8</v>
      </c>
      <c r="I16" s="13" t="inlineStr">
        <is>
          <t>確認済</t>
        </is>
      </c>
      <c r="J16" s="13" t="inlineStr">
        <is>
          <t>着手済</t>
        </is>
      </c>
      <c r="K16" s="14" t="inlineStr">
        <is>
          <t>https://www.city.semboku.akita.jp/government/keikaku/documents/220428_koukyoukoutsuu.pdf</t>
        </is>
      </c>
      <c r="L16" s="11" t="n"/>
      <c r="M16" s="11" t="inlineStr">
        <is>
          <t>不明</t>
        </is>
      </c>
      <c r="N16" s="13" t="n"/>
      <c r="O16" s="13" t="inlineStr">
        <is>
          <t>不明</t>
        </is>
      </c>
      <c r="P16" s="13" t="inlineStr">
        <is>
          <t>計画なし</t>
        </is>
      </c>
      <c r="Q16" s="11" t="n"/>
      <c r="R16" s="11" t="inlineStr">
        <is>
          <t>交通：R4.3策定、R8(2026)年度が最終年度。2026年度部局経営方針シートでR9年度からの新計画を市民意見を反映して準備（公共交通座談会拡充・乗車体験イベント・意見交換会）と記載 https://www.city.semboku.akita.jp/government/keikaku/documents/2026_hoshinsi-to.pdf 。策定支援業務の委託先は未確認（有望）。環境：環境基本計画は検索で見つからず（SDGs未来都市計画・一般廃棄物処理基本計画等のみ）。</t>
        </is>
      </c>
      <c r="S16" s="15" t="inlineStr">
        <is>
          <t>調査済</t>
        </is>
      </c>
      <c r="T16" s="11" t="inlineStr">
        <is>
          <t>掲載</t>
        </is>
      </c>
    </row>
    <row r="17">
      <c r="A17" s="11" t="n">
        <v>14</v>
      </c>
      <c r="B17" s="11" t="inlineStr">
        <is>
          <t>小坂町</t>
        </is>
      </c>
      <c r="C17" s="12">
        <f>IF(OR(D17="◎",E17="◎"),"◎ 営業",IF(OR(D17="△",E17="△"),"△ 着手済・要確認",IF(OR(D17="？",E17="？"),"？ 期間要確認","✕ 対象外")))</f>
        <v/>
      </c>
      <c r="D17" s="13">
        <f>IF(J17="計画なし","－",IF(J17="策定済","✕",IF(H17="","？",IF(AND(H17&gt;=TGT_MIN,H17&lt;=TGT_MAX),IF(J17="着手済","△","◎"),"✕"))))</f>
        <v/>
      </c>
      <c r="E17" s="13">
        <f>IF(P17="計画なし","－",IF(P17="策定済","✕",IF(N17="","？",IF(AND(N17&gt;=TGT_MIN,N17&lt;=TGT_MAX),IF(P17="着手済","△","◎"),"✕"))))</f>
        <v/>
      </c>
      <c r="F17" s="11" t="inlineStr">
        <is>
          <t>小坂町地域公共交通計画</t>
        </is>
      </c>
      <c r="G17" s="11" t="inlineStr">
        <is>
          <t>R4〜R8</t>
        </is>
      </c>
      <c r="H17" s="13" t="n">
        <v>8</v>
      </c>
      <c r="I17" s="13" t="inlineStr">
        <is>
          <t>確認済</t>
        </is>
      </c>
      <c r="J17" s="13" t="inlineStr">
        <is>
          <t>未確認</t>
        </is>
      </c>
      <c r="K17" s="14" t="inlineStr">
        <is>
          <t>https://www.town.kosaka.akita.jp/machinososhiki/somuka/kikakuzaiseihan/2_2/kokyokotsukeikaku/2497.html</t>
        </is>
      </c>
      <c r="L17" s="11" t="inlineStr">
        <is>
          <t>第3次小坂町環境基本計画</t>
        </is>
      </c>
      <c r="M17" s="11" t="inlineStr">
        <is>
          <t>R6〜（終期不明）</t>
        </is>
      </c>
      <c r="N17" s="13" t="n"/>
      <c r="O17" s="13" t="inlineStr">
        <is>
          <t>不明</t>
        </is>
      </c>
      <c r="P17" s="13" t="inlineStr">
        <is>
          <t>策定済</t>
        </is>
      </c>
      <c r="Q17" s="14" t="inlineStr">
        <is>
          <t>https://www.town.kosaka.akita.jp/material/files/group/8/01.pdf</t>
        </is>
      </c>
      <c r="R17" s="11" t="inlineStr">
        <is>
          <t>交通：R4.4.1〜R9.3.31（R8年度終期）。今年度が最終年度のため次期計画策定が必要だが、策定業務プロポーザル等は検索で確認できず（要確認・有望）。協議会ページ https://www.town.kosaka.akita.jp/machinososhiki/somuka/kikakuzaiseihan/2_2/kokyokotsukeikaku/2499.html 、R8.4に地域公共交通マップ作成。環境：第3次計画R6.3策定（期間は検索結果で未確認）。地球温暖化対策実行計画（区域施策編）をR8.1.5策定 https://www.town.kosaka.akita.jp/machinososhiki/chominka/chominseikatsuhan/1/2900.html 。参考：秋田県地域公共交通計画（R4.3策定、R4〜R8）が県全域を対象、R8終期のため次期計画はR8年度に策定作業中と見込まれる（R8第1回県活性化協議会 https://www.pref.akita.lg.jp/uploads/public/archive_0000098833_00/R8活性化協議会①/令和８年度第１回秋田県地域公共交通活性化協議会_会議概要.pdf ）。</t>
        </is>
      </c>
      <c r="S17" s="15" t="inlineStr">
        <is>
          <t>調査済</t>
        </is>
      </c>
      <c r="T17" s="11" t="inlineStr">
        <is>
          <t>掲載</t>
        </is>
      </c>
    </row>
    <row r="18">
      <c r="A18" s="11" t="n">
        <v>15</v>
      </c>
      <c r="B18" s="11" t="inlineStr">
        <is>
          <t>上小阿仁村</t>
        </is>
      </c>
      <c r="C18" s="12">
        <f>IF(OR(D18="◎",E18="◎"),"◎ 営業",IF(OR(D18="△",E18="△"),"△ 着手済・要確認",IF(OR(D18="？",E18="？"),"？ 期間要確認","✕ 対象外")))</f>
        <v/>
      </c>
      <c r="D18" s="13">
        <f>IF(J18="計画なし","－",IF(J18="策定済","✕",IF(H18="","？",IF(AND(H18&gt;=TGT_MIN,H18&lt;=TGT_MAX),IF(J18="着手済","△","◎"),"✕"))))</f>
        <v/>
      </c>
      <c r="E18" s="13">
        <f>IF(P18="計画なし","－",IF(P18="策定済","✕",IF(N18="","？",IF(AND(N18&gt;=TGT_MIN,N18&lt;=TGT_MAX),IF(P18="着手済","△","◎"),"✕"))))</f>
        <v/>
      </c>
      <c r="F18" s="11" t="n"/>
      <c r="G18" s="11" t="inlineStr">
        <is>
          <t>不明</t>
        </is>
      </c>
      <c r="H18" s="13" t="n"/>
      <c r="I18" s="13" t="inlineStr">
        <is>
          <t>不明</t>
        </is>
      </c>
      <c r="J18" s="13" t="inlineStr">
        <is>
          <t>未確認</t>
        </is>
      </c>
      <c r="K18" s="11" t="n"/>
      <c r="L18" s="11" t="n"/>
      <c r="M18" s="11" t="inlineStr">
        <is>
          <t>不明</t>
        </is>
      </c>
      <c r="N18" s="13" t="n"/>
      <c r="O18" s="13" t="inlineStr">
        <is>
          <t>不明</t>
        </is>
      </c>
      <c r="P18" s="13" t="inlineStr">
        <is>
          <t>未確認</t>
        </is>
      </c>
      <c r="Q18" s="11" t="n"/>
      <c r="R18" s="11" t="inlineStr">
        <is>
          <t>交通：村単独の地域公共交通計画は確認できず。以前は北秋田市・上小阿仁村の地域公共交通網形成計画（H29〜H34）が検索要約に出たが未確証。現行の北秋田市地域公共交通計画（R5〜R9、R5.3策定 https://www.city.kitaakita.akita.jp/uploads/public/news_0000015700_00/koukyoukoutsukeikaku.pdf ）の計画区域に上小阿仁村が含まれるかは未確認（要確認、含まれればt_end=9）。環境：環境基本計画・温対計画とも村HP検索で確認できず（計画なしの可能性大）。参考：秋田県地域公共交通計画（R4.3策定、R4〜R8）が県全域を対象、R8終期のため次期計画はR8年度に策定作業中と見込まれる（R8第1回県活性化協議会 https://www.pref.akita.lg.jp/uploads/public/archive_0000098833_00/R8活性化協議会①/令和８年度第１回秋田県地域公共交通活性化協議会_会議概要.pdf ）。 【追加調査 2026-10】環境：村サイト限定検索で、村議会会議録（R6第6回12月 https://www.vill.kamikoani.akita.jp/div/gikai/pdf/R6-6-3.pdf 、R7第2回3月 https://www.vill.kamikoani.akita.jp/div/gikai/pdf/R7-2-1.pdf 等）に『上小阿仁村環境基本計画』を自然エネルギーによる脱炭素戦略の村全体の総合行動計画として策定する旨の言及が要約で出た（どの会議録かは原文未確認）。小水力発電可能性調査（2023）を踏まえ再エネ設備基本設計を進行中との記載。策定済の計画書・期間・URLは検索で見当たらず（策定中または未公表の可能性）。未確認のまま。確認日2026-10-02。</t>
        </is>
      </c>
      <c r="S18" s="18" t="inlineStr">
        <is>
          <t>未調査</t>
        </is>
      </c>
      <c r="T18" s="11" t="inlineStr">
        <is>
          <t>未掲載</t>
        </is>
      </c>
    </row>
    <row r="19">
      <c r="A19" s="11" t="n">
        <v>16</v>
      </c>
      <c r="B19" s="11" t="inlineStr">
        <is>
          <t>藤里町</t>
        </is>
      </c>
      <c r="C19" s="12">
        <f>IF(OR(D19="◎",E19="◎"),"◎ 営業",IF(OR(D19="△",E19="△"),"△ 着手済・要確認",IF(OR(D19="？",E19="？"),"？ 期間要確認","✕ 対象外")))</f>
        <v/>
      </c>
      <c r="D19" s="13">
        <f>IF(J19="計画なし","－",IF(J19="策定済","✕",IF(H19="","？",IF(AND(H19&gt;=TGT_MIN,H19&lt;=TGT_MAX),IF(J19="着手済","△","◎"),"✕"))))</f>
        <v/>
      </c>
      <c r="E19" s="13">
        <f>IF(P19="計画なし","－",IF(P19="策定済","✕",IF(N19="","？",IF(AND(N19&gt;=TGT_MIN,N19&lt;=TGT_MAX),IF(P19="着手済","△","◎"),"✕"))))</f>
        <v/>
      </c>
      <c r="F19" s="11" t="inlineStr">
        <is>
          <t>藤里町地域公共交通計画</t>
        </is>
      </c>
      <c r="G19" s="11" t="inlineStr">
        <is>
          <t>R6〜R10</t>
        </is>
      </c>
      <c r="H19" s="13" t="n">
        <v>10</v>
      </c>
      <c r="I19" s="13" t="inlineStr">
        <is>
          <t>確認済</t>
        </is>
      </c>
      <c r="J19" s="13" t="inlineStr">
        <is>
          <t>策定済</t>
        </is>
      </c>
      <c r="K19" s="14" t="inlineStr">
        <is>
          <t>http://www.town.fujisato.akita.jp/kotsu/c640/c643/2890</t>
        </is>
      </c>
      <c r="L19" s="11" t="inlineStr">
        <is>
          <t>藤里町環境基本計画</t>
        </is>
      </c>
      <c r="M19" s="11" t="inlineStr">
        <is>
          <t>不明（H12.3策定）</t>
        </is>
      </c>
      <c r="N19" s="13" t="n"/>
      <c r="O19" s="13" t="inlineStr">
        <is>
          <t>不明</t>
        </is>
      </c>
      <c r="P19" s="13" t="inlineStr">
        <is>
          <t>未確認</t>
        </is>
      </c>
      <c r="Q19" s="14" t="inlineStr">
        <is>
          <t>https://www.env.go.jp/press/files/jp/3487.pdf</t>
        </is>
      </c>
      <c r="R19" s="11" t="inlineStr">
        <is>
          <t>交通：R6.6.18作成、前計画は藤里町地域公共交通網形成計画（H27〜H31）。計画PDF http://www.town.fujisato.akita.jp/up/files/town/soshiki/c52/c74/%E8%97%A4%E9%87%8C%E7%94%BA%E5%9C%B0%E5%9F%9F%E5%85%AC%E5%85%B1%E4%BA%A4%E9%80%9A%E8%A8%88%E7%94%BB.pdf 。能代山本地域の広域計画は確認できず（R6.10秋北バス路線再編で町内デマンド拡充）。環境：環境省資料でH12.3策定の記載のみ、現行版・改定状況は町HPで確認できず（実質計画なしの可能性）。参考：秋田県地域公共交通計画（R4.3策定、R4〜R8）が県全域を対象、R8終期のため次期計画はR8年度に策定作業中と見込まれる（R8第1回県活性化協議会 https://www.pref.akita.lg.jp/uploads/public/archive_0000098833_00/R8活性化協議会①/令和８年度第１回秋田県地域公共交通活性化協議会_会議概要.pdf ）。 【追加調査 2026-10】環境：町サイト限定（town.fujisato.akita.jp）で『環境基本計画』検索→過疎計画・国土強靱化・総合戦略・まちづくり計画（H26.3）・公共施設等総合管理計画のみヒットし、環境基本計画（H12.3策定、環境省資料 https://www.env.go.jp/press/files/jp/3487.pdf ）の現行版・改定版は町HP上に見当たらず。計画が実質失効の可能性大だが計画なしの明示根拠はないため未確認のまま。確認日2026-10-02。</t>
        </is>
      </c>
      <c r="S19" s="15" t="inlineStr">
        <is>
          <t>調査済</t>
        </is>
      </c>
      <c r="T19" s="11" t="inlineStr">
        <is>
          <t>掲載</t>
        </is>
      </c>
    </row>
    <row r="20">
      <c r="A20" s="11" t="n">
        <v>17</v>
      </c>
      <c r="B20" s="11" t="inlineStr">
        <is>
          <t>三種町</t>
        </is>
      </c>
      <c r="C20" s="12">
        <f>IF(OR(D20="◎",E20="◎"),"◎ 営業",IF(OR(D20="△",E20="△"),"△ 着手済・要確認",IF(OR(D20="？",E20="？"),"？ 期間要確認","✕ 対象外")))</f>
        <v/>
      </c>
      <c r="D20" s="13">
        <f>IF(J20="計画なし","－",IF(J20="策定済","✕",IF(H20="","？",IF(AND(H20&gt;=TGT_MIN,H20&lt;=TGT_MAX),IF(J20="着手済","△","◎"),"✕"))))</f>
        <v/>
      </c>
      <c r="E20" s="13">
        <f>IF(P20="計画なし","－",IF(P20="策定済","✕",IF(N20="","？",IF(AND(N20&gt;=TGT_MIN,N20&lt;=TGT_MAX),IF(P20="着手済","△","◎"),"✕"))))</f>
        <v/>
      </c>
      <c r="F20" s="11" t="inlineStr">
        <is>
          <t>三種町地域公共交通計画</t>
        </is>
      </c>
      <c r="G20" s="11" t="inlineStr">
        <is>
          <t>不明（R3.6策定、R6.5改訂）</t>
        </is>
      </c>
      <c r="H20" s="13" t="n"/>
      <c r="I20" s="13" t="inlineStr">
        <is>
          <t>不明</t>
        </is>
      </c>
      <c r="J20" s="13" t="inlineStr">
        <is>
          <t>未確認</t>
        </is>
      </c>
      <c r="K20" s="14" t="inlineStr">
        <is>
          <t>https://www.town.mitane.akita.jp/material/files/group/3/mitanekoukyoukoutuukeikaku.pdf</t>
        </is>
      </c>
      <c r="L20" s="11" t="n"/>
      <c r="M20" s="11" t="inlineStr">
        <is>
          <t>不明</t>
        </is>
      </c>
      <c r="N20" s="13" t="n"/>
      <c r="O20" s="13" t="inlineStr">
        <is>
          <t>不明</t>
        </is>
      </c>
      <c r="P20" s="13" t="inlineStr">
        <is>
          <t>計画なし</t>
        </is>
      </c>
      <c r="Q20" s="11" t="n"/>
      <c r="R20" s="11" t="inlineStr">
        <is>
          <t>交通：R3.6.18地域公共交通会議で承認、R6.5.23改訂。計画期間は検索結果で確認できず（要確認）。計画ページ https://www.town.mitane.akita.jp/soshikikarasagasu/kikakuseisakuka/1/143.html 。環境：環境基本計画は確認できず。代替として三種町地域脱炭素実行計画（R6〜R12、区域施策編・事務事業編・適応計画を一体化、変更あり） https://www.town.mitane.akita.jp/material/files/group/3/datutannso.pdf / https://www.town.mitane.akita.jp/soshikikarasagasu/kikakuseisakuka/1/3093.html 。参考：秋田県地域公共交通計画（R4.3策定、R4〜R8）が県全域を対象、R8終期のため次期計画はR8年度に策定作業中と見込まれる（R8第1回県活性化協議会 https://www.pref.akita.lg.jp/uploads/public/archive_0000098833_00/R8活性化協議会①/令和８年度第１回秋田県地域公共交通活性化協議会_会議概要.pdf ）。</t>
        </is>
      </c>
      <c r="S20" s="15" t="inlineStr">
        <is>
          <t>調査済</t>
        </is>
      </c>
      <c r="T20" s="11" t="inlineStr">
        <is>
          <t>掲載</t>
        </is>
      </c>
    </row>
    <row r="21">
      <c r="A21" s="11" t="n">
        <v>18</v>
      </c>
      <c r="B21" s="11" t="inlineStr">
        <is>
          <t>八峰町</t>
        </is>
      </c>
      <c r="C21" s="12">
        <f>IF(OR(D21="◎",E21="◎"),"◎ 営業",IF(OR(D21="△",E21="△"),"△ 着手済・要確認",IF(OR(D21="？",E21="？"),"？ 期間要確認","✕ 対象外")))</f>
        <v/>
      </c>
      <c r="D21" s="13">
        <f>IF(J21="計画なし","－",IF(J21="策定済","✕",IF(H21="","？",IF(AND(H21&gt;=TGT_MIN,H21&lt;=TGT_MAX),IF(J21="着手済","△","◎"),"✕"))))</f>
        <v/>
      </c>
      <c r="E21" s="13">
        <f>IF(P21="計画なし","－",IF(P21="策定済","✕",IF(N21="","？",IF(AND(N21&gt;=TGT_MIN,N21&lt;=TGT_MAX),IF(P21="着手済","△","◎"),"✕"))))</f>
        <v/>
      </c>
      <c r="F21" s="11" t="n"/>
      <c r="G21" s="11" t="inlineStr">
        <is>
          <t>不明</t>
        </is>
      </c>
      <c r="H21" s="13" t="n"/>
      <c r="I21" s="13" t="inlineStr">
        <is>
          <t>不明</t>
        </is>
      </c>
      <c r="J21" s="13" t="inlineStr">
        <is>
          <t>未確認</t>
        </is>
      </c>
      <c r="K21" s="11" t="n"/>
      <c r="L21" s="11" t="n"/>
      <c r="M21" s="11" t="inlineStr">
        <is>
          <t>不明</t>
        </is>
      </c>
      <c r="N21" s="13" t="n"/>
      <c r="O21" s="13" t="inlineStr">
        <is>
          <t>不明</t>
        </is>
      </c>
      <c r="P21" s="13" t="inlineStr">
        <is>
          <t>計画なし</t>
        </is>
      </c>
      <c r="Q21" s="11" t="n"/>
      <c r="R21" s="11" t="inlineStr">
        <is>
          <t>交通：八峰町単独の地域公共交通計画は町HP検索で確認できず。R2年度に住民アンケート、R3.10.1〜R4.9.30巡回バス試行運行 http://www.town.happou.akita.jp/docs/2021091400034/ 。能代山本地域の広域計画も確認できず（R6.10秋北バス能代山本路線再編で町の巡回バス・乗合タクシー拡充）https://www.sakigake.jp/news/article/20241006AK0019/ 。環境：環境基本計画は確認できず（町HP要約に地球温暖化防止対策実行計画・省エネビジョンの言及のみ、詳細不明）。参考：秋田県地域公共交通計画（R4.3策定、R4〜R8）が県全域を対象、R8終期のため次期計画はR8年度に策定作業中と見込まれる（R8第1回県活性化協議会 https://www.pref.akita.lg.jp/uploads/public/archive_0000098833_00/R8活性化協議会①/令和８年度第１回秋田県地域公共交通活性化協議会_会議概要.pdf ）。</t>
        </is>
      </c>
      <c r="S21" s="18" t="inlineStr">
        <is>
          <t>環境のみ調査</t>
        </is>
      </c>
      <c r="T21" s="11" t="inlineStr">
        <is>
          <t>未掲載</t>
        </is>
      </c>
    </row>
    <row r="22">
      <c r="A22" s="11" t="n">
        <v>19</v>
      </c>
      <c r="B22" s="11" t="inlineStr">
        <is>
          <t>五城目町</t>
        </is>
      </c>
      <c r="C22" s="12">
        <f>IF(OR(D22="◎",E22="◎"),"◎ 営業",IF(OR(D22="△",E22="△"),"△ 着手済・要確認",IF(OR(D22="？",E22="？"),"？ 期間要確認","✕ 対象外")))</f>
        <v/>
      </c>
      <c r="D22" s="13">
        <f>IF(J22="計画なし","－",IF(J22="策定済","✕",IF(H22="","？",IF(AND(H22&gt;=TGT_MIN,H22&lt;=TGT_MAX),IF(J22="着手済","△","◎"),"✕"))))</f>
        <v/>
      </c>
      <c r="E22" s="13">
        <f>IF(P22="計画なし","－",IF(P22="策定済","✕",IF(N22="","？",IF(AND(N22&gt;=TGT_MIN,N22&lt;=TGT_MAX),IF(P22="着手済","△","◎"),"✕"))))</f>
        <v/>
      </c>
      <c r="F22" s="11" t="inlineStr">
        <is>
          <t>南秋地域公共交通計画（五城目町・八郎潟町・大潟村共同）</t>
        </is>
      </c>
      <c r="G22" s="11" t="inlineStr">
        <is>
          <t>R5〜R9</t>
        </is>
      </c>
      <c r="H22" s="13" t="n">
        <v>9</v>
      </c>
      <c r="I22" s="13" t="inlineStr">
        <is>
          <t>確認済</t>
        </is>
      </c>
      <c r="J22" s="13" t="inlineStr">
        <is>
          <t>未確認</t>
        </is>
      </c>
      <c r="K22" s="14" t="inlineStr">
        <is>
          <t>https://www.town.gojome.akita.jp/kurashi/koukyoukoutsu/2085</t>
        </is>
      </c>
      <c r="L22" s="11" t="n"/>
      <c r="M22" s="11" t="inlineStr">
        <is>
          <t>不明</t>
        </is>
      </c>
      <c r="N22" s="13" t="n"/>
      <c r="O22" s="13" t="inlineStr">
        <is>
          <t>不明</t>
        </is>
      </c>
      <c r="P22" s="13" t="inlineStr">
        <is>
          <t>計画なし</t>
        </is>
      </c>
      <c r="Q22" s="11" t="n"/>
      <c r="R22" s="11" t="inlineStr">
        <is>
          <t>交通：南秋地域公共交通活性化協議会（五城目・八郎潟・大潟）が策定、R5〜R9でR9終期→次期はR8〜R9に着手見込み（着手情報は未確認）。計画案PDF https://www.town.gojome.akita.jp/up/files/town/machikeikaku/koutuukeikaku.pdf 。別途、町単独の五城目町地域公共交通計画（R4〜R8、R4.5策定）https://www.town.gojome.akita.jp/town/sosikiannai/machi/matiduku/1734 もあり、R8終期（次期は未確認）。環境：環境基本計画は確認できず。地球温暖化対策実行計画（事務事業編）のみ確認。参考：秋田県地域公共交通計画（R4.3策定、R4〜R8）が県全域を対象、R8終期のため次期計画はR8年度に策定作業中と見込まれる（R8第1回県活性化協議会 https://www.pref.akita.lg.jp/uploads/public/archive_0000098833_00/R8活性化協議会①/令和８年度第１回秋田県地域公共交通活性化協議会_会議概要.pdf ）。 【ファクトチェック 2026-10-01: 正しい】確認期間: R5〜R9（令和5年度～令和9年度、5年間）／次期: 確認できず（協議会での次期計画審議・策定業務の公告は検索で見つからず）／根拠: https://www.town.gojome.akita.jp/kurashi/koukyoukoutsu/2085</t>
        </is>
      </c>
      <c r="S22" s="15" t="inlineStr">
        <is>
          <t>調査済</t>
        </is>
      </c>
      <c r="T22" s="11" t="inlineStr">
        <is>
          <t>掲載（広域：南秋）</t>
        </is>
      </c>
    </row>
    <row r="23">
      <c r="A23" s="11" t="n">
        <v>20</v>
      </c>
      <c r="B23" s="11" t="inlineStr">
        <is>
          <t>八郎潟町</t>
        </is>
      </c>
      <c r="C23" s="12">
        <f>IF(OR(D23="◎",E23="◎"),"◎ 営業",IF(OR(D23="△",E23="△"),"△ 着手済・要確認",IF(OR(D23="？",E23="？"),"？ 期間要確認","✕ 対象外")))</f>
        <v/>
      </c>
      <c r="D23" s="13">
        <f>IF(J23="計画なし","－",IF(J23="策定済","✕",IF(H23="","？",IF(AND(H23&gt;=TGT_MIN,H23&lt;=TGT_MAX),IF(J23="着手済","△","◎"),"✕"))))</f>
        <v/>
      </c>
      <c r="E23" s="13">
        <f>IF(P23="計画なし","－",IF(P23="策定済","✕",IF(N23="","？",IF(AND(N23&gt;=TGT_MIN,N23&lt;=TGT_MAX),IF(P23="着手済","△","◎"),"✕"))))</f>
        <v/>
      </c>
      <c r="F23" s="11" t="inlineStr">
        <is>
          <t>南秋地域公共交通計画（五城目町・八郎潟町・大潟村共同、南秋地域公共交通活性化協議会）</t>
        </is>
      </c>
      <c r="G23" s="11" t="inlineStr">
        <is>
          <t>R5〜R9</t>
        </is>
      </c>
      <c r="H23" s="13" t="n">
        <v>9</v>
      </c>
      <c r="I23" s="13" t="inlineStr">
        <is>
          <t>確認済</t>
        </is>
      </c>
      <c r="J23" s="13" t="inlineStr">
        <is>
          <t>未確認</t>
        </is>
      </c>
      <c r="K23" s="14" t="inlineStr">
        <is>
          <t>https://www.town.gojome.akita.jp/kurashi/koukyoukoutsu/2085</t>
        </is>
      </c>
      <c r="L23" s="11" t="n"/>
      <c r="M23" s="11" t="inlineStr">
        <is>
          <t>不明</t>
        </is>
      </c>
      <c r="N23" s="13" t="n"/>
      <c r="O23" s="13" t="inlineStr">
        <is>
          <t>不明</t>
        </is>
      </c>
      <c r="P23" s="13" t="inlineStr">
        <is>
          <t>計画なし</t>
        </is>
      </c>
      <c r="Q23" s="11" t="n"/>
      <c r="R23" s="11" t="inlineStr">
        <is>
          <t>交通：南秋地域公共交通計画はR5.6策定（東北運輸局資料で確認）。井川町は含まれない。計画期間R5〜R9（五城目町サイトで確認、計画案PDF https://www.town.gojome.akita.jp/up/files/town/machikeikaku/koutuukeikaku.pdf ）。東北運輸局資料 https://wwwtb.mlit.go.jp/tohoku/content/000305851.pdf 。環境：町独自の環境基本計画は検索で見当たらず。【県計画】秋田県地域公共交通計画はR4〜R8（R4.3策定、R8＝今年度終期）。R8.6.23の令和8年度第1回秋田県地域公共交通活性化協議会で県計画の策定（次期計画）を議論 https://www.pref.akita.lg.jp/uploads/public/archive_0000098833_00/R8活性化協議会①/令和８年度第１回秋田県地域公共交通活性化協議会_会議概要.pdf 【ファクトチェック 2026-10-01: 正しい】確認期間: R5〜R9（令和5年度～令和9年度、5年間）／次期: 確認できず（協議会での次期計画審議・策定業務の公告は検索で見つからず）／根拠: https://www.town.gojome.akita.jp/kurashi/koukyoukoutsu/2085</t>
        </is>
      </c>
      <c r="S23" s="15" t="inlineStr">
        <is>
          <t>調査済</t>
        </is>
      </c>
      <c r="T23" s="11" t="inlineStr">
        <is>
          <t>掲載（広域：南秋）</t>
        </is>
      </c>
    </row>
    <row r="24">
      <c r="A24" s="11" t="n">
        <v>21</v>
      </c>
      <c r="B24" s="11" t="inlineStr">
        <is>
          <t>井川町</t>
        </is>
      </c>
      <c r="C24" s="12">
        <f>IF(OR(D24="◎",E24="◎"),"◎ 営業",IF(OR(D24="△",E24="△"),"△ 着手済・要確認",IF(OR(D24="？",E24="？"),"？ 期間要確認","✕ 対象外")))</f>
        <v/>
      </c>
      <c r="D24" s="13">
        <f>IF(J24="計画なし","－",IF(J24="策定済","✕",IF(H24="","？",IF(AND(H24&gt;=TGT_MIN,H24&lt;=TGT_MAX),IF(J24="着手済","△","◎"),"✕"))))</f>
        <v/>
      </c>
      <c r="E24" s="13">
        <f>IF(P24="計画なし","－",IF(P24="策定済","✕",IF(N24="","？",IF(AND(N24&gt;=TGT_MIN,N24&lt;=TGT_MAX),IF(P24="着手済","△","◎"),"✕"))))</f>
        <v/>
      </c>
      <c r="F24" s="11" t="inlineStr">
        <is>
          <t>秋田県地域公共交通計画（県計画、町独自計画は見当たらず）</t>
        </is>
      </c>
      <c r="G24" s="11" t="inlineStr">
        <is>
          <t>R4〜R8</t>
        </is>
      </c>
      <c r="H24" s="13" t="n">
        <v>8</v>
      </c>
      <c r="I24" s="13" t="inlineStr">
        <is>
          <t>確認済</t>
        </is>
      </c>
      <c r="J24" s="13" t="inlineStr">
        <is>
          <t>未確認</t>
        </is>
      </c>
      <c r="K24" s="14" t="inlineStr">
        <is>
          <t>https://www.pref.akita.lg.jp/uploads/public/archive_0000062825_00/観スポ_所管事項関連　別冊２（秋田県地域公共交通計画（案）について）.pdf</t>
        </is>
      </c>
      <c r="L24" s="11" t="n"/>
      <c r="M24" s="11" t="inlineStr">
        <is>
          <t>不明</t>
        </is>
      </c>
      <c r="N24" s="13" t="n"/>
      <c r="O24" s="13" t="inlineStr">
        <is>
          <t>不明</t>
        </is>
      </c>
      <c r="P24" s="13" t="inlineStr">
        <is>
          <t>計画なし</t>
        </is>
      </c>
      <c r="Q24" s="11" t="n"/>
      <c r="R24" s="11" t="inlineStr">
        <is>
          <t>交通：町独自の地域公共交通計画は検索で確認できず（南秋地域公共交通計画は五城目・八郎潟・大潟の3町村で井川町は不参加）。t_urlは県計画（案）資料。県計画はR8終期で次期県計画を協議会で検討中（下記）。環境：環境基本計画・区域施策編とも検索で見当たらず。【県計画】秋田県地域公共交通計画はR4〜R8（R4.3策定、R8＝今年度終期）。R8.6.23の令和8年度第1回秋田県地域公共交通活性化協議会で県計画の策定（次期計画）を議論 https://www.pref.akita.lg.jp/uploads/public/archive_0000098833_00/R8活性化協議会①/令和８年度第１回秋田県地域公共交通活性化協議会_会議概要.pdf</t>
        </is>
      </c>
      <c r="S24" s="15" t="inlineStr">
        <is>
          <t>調査済</t>
        </is>
      </c>
      <c r="T24" s="17" t="inlineStr">
        <is>
          <t>未掲載【当方は計画あり】</t>
        </is>
      </c>
    </row>
    <row r="25">
      <c r="A25" s="11" t="n">
        <v>22</v>
      </c>
      <c r="B25" s="11" t="inlineStr">
        <is>
          <t>大潟村</t>
        </is>
      </c>
      <c r="C25" s="12">
        <f>IF(OR(D25="◎",E25="◎"),"◎ 営業",IF(OR(D25="△",E25="△"),"△ 着手済・要確認",IF(OR(D25="？",E25="？"),"？ 期間要確認","✕ 対象外")))</f>
        <v/>
      </c>
      <c r="D25" s="13">
        <f>IF(J25="計画なし","－",IF(J25="策定済","✕",IF(H25="","？",IF(AND(H25&gt;=TGT_MIN,H25&lt;=TGT_MAX),IF(J25="着手済","△","◎"),"✕"))))</f>
        <v/>
      </c>
      <c r="E25" s="13">
        <f>IF(P25="計画なし","－",IF(P25="策定済","✕",IF(N25="","？",IF(AND(N25&gt;=TGT_MIN,N25&lt;=TGT_MAX),IF(P25="着手済","△","◎"),"✕"))))</f>
        <v/>
      </c>
      <c r="F25" s="11" t="inlineStr">
        <is>
          <t>南秋地域公共交通計画（五城目町・八郎潟町・大潟村共同、南秋地域公共交通活性化協議会）</t>
        </is>
      </c>
      <c r="G25" s="11" t="inlineStr">
        <is>
          <t>R5〜R9</t>
        </is>
      </c>
      <c r="H25" s="13" t="n">
        <v>9</v>
      </c>
      <c r="I25" s="13" t="inlineStr">
        <is>
          <t>確認済</t>
        </is>
      </c>
      <c r="J25" s="13" t="inlineStr">
        <is>
          <t>未確認</t>
        </is>
      </c>
      <c r="K25" s="14" t="inlineStr">
        <is>
          <t>https://www.town.gojome.akita.jp/kurashi/koukyoukoutsu/2085</t>
        </is>
      </c>
      <c r="L25" s="11" t="n"/>
      <c r="M25" s="11" t="inlineStr">
        <is>
          <t>不明</t>
        </is>
      </c>
      <c r="N25" s="13" t="n"/>
      <c r="O25" s="13" t="inlineStr">
        <is>
          <t>不明</t>
        </is>
      </c>
      <c r="P25" s="13" t="inlineStr">
        <is>
          <t>計画なし</t>
        </is>
      </c>
      <c r="Q25" s="11" t="n"/>
      <c r="R25" s="11" t="inlineStr">
        <is>
          <t>交通：八郎潟町と同じ南秋地域公共交通計画（R5.6策定）。期間R5〜R9（五城目町サイトで確認）。環境：村独自の環境基本計画は検索で見当たらず。大潟村は環境省の脱炭素先行地域（メガソーラー・地域エネルギー会社等） https://www.env.go.jp/content/900512579.pdf 。第3次大潟村振興計画に「自然にやさしい環境の創造」あり。 【ファクトチェック 2026-10-01: 正しい】確認期間: R5〜R9（令和5年度～令和9年度、5年間）／次期: 確認できず（協議会での次期計画審議・策定業務の公告は検索で見つからず）／根拠: https://www.town.gojome.akita.jp/kurashi/koukyoukoutsu/2085</t>
        </is>
      </c>
      <c r="S25" s="15" t="inlineStr">
        <is>
          <t>調査済</t>
        </is>
      </c>
      <c r="T25" s="11" t="inlineStr">
        <is>
          <t>掲載（広域：南秋）</t>
        </is>
      </c>
    </row>
    <row r="26">
      <c r="A26" s="11" t="n">
        <v>23</v>
      </c>
      <c r="B26" s="11" t="inlineStr">
        <is>
          <t>美郷町</t>
        </is>
      </c>
      <c r="C26" s="12">
        <f>IF(OR(D26="◎",E26="◎"),"◎ 営業",IF(OR(D26="△",E26="△"),"△ 着手済・要確認",IF(OR(D26="？",E26="？"),"？ 期間要確認","✕ 対象外")))</f>
        <v/>
      </c>
      <c r="D26" s="13">
        <f>IF(J26="計画なし","－",IF(J26="策定済","✕",IF(H26="","？",IF(AND(H26&gt;=TGT_MIN,H26&lt;=TGT_MAX),IF(J26="着手済","△","◎"),"✕"))))</f>
        <v/>
      </c>
      <c r="E26" s="13">
        <f>IF(P26="計画なし","－",IF(P26="策定済","✕",IF(N26="","？",IF(AND(N26&gt;=TGT_MIN,N26&lt;=TGT_MAX),IF(P26="着手済","△","◎"),"✕"))))</f>
        <v/>
      </c>
      <c r="F26" s="11" t="inlineStr">
        <is>
          <t>美郷町地域公共交通計画</t>
        </is>
      </c>
      <c r="G26" s="11" t="inlineStr">
        <is>
          <t>R4〜R8?（R4.3策定）</t>
        </is>
      </c>
      <c r="H26" s="16" t="n">
        <v>8</v>
      </c>
      <c r="I26" s="13" t="inlineStr">
        <is>
          <t>推定</t>
        </is>
      </c>
      <c r="J26" s="13" t="inlineStr">
        <is>
          <t>未確認</t>
        </is>
      </c>
      <c r="K26" s="14" t="inlineStr">
        <is>
          <t>https://www.town.misato.akita.jp/up/files/madoguchi/kikaku/kikakuzaiseihan/koutukeikaku/%E7%BE%8E%E9%83%B7%E7%94%BA%E5%9C%B0%E5%9F%9F%E5%85%AC%E5%85%B1%E4%BA%A4%E9%80%9A%E8%A8%88%E7%94%BB.pdf</t>
        </is>
      </c>
      <c r="L26" s="11" t="n"/>
      <c r="M26" s="11" t="inlineStr">
        <is>
          <t>不明</t>
        </is>
      </c>
      <c r="N26" s="13" t="n"/>
      <c r="O26" s="13" t="inlineStr">
        <is>
          <t>不明</t>
        </is>
      </c>
      <c r="P26" s="13" t="inlineStr">
        <is>
          <t>計画なし</t>
        </is>
      </c>
      <c r="Q26" s="11" t="n"/>
      <c r="R26" s="11" t="inlineStr">
        <is>
          <t>交通：R4.3策定（乗合タクシー中心）。期間は検索結果で確認できず、県計画と同じ5年ならR4〜R8（今年度終期→次期計画の動きに注意、町の策定業務は未確認）。島根県美郷町と混同注意。環境：環境基本計画は見当たらず（事務事業編の美郷町役場地球温暖化対策実行計画（第2期、H27.3）等のみ https://www.town.misato.akita.jp/up/files/archives/jikkoukeikaku/6848download.pdf ）。【県計画】秋田県地域公共交通計画はR4〜R8（R4.3策定、R8＝今年度終期）。R8.6.23の令和8年度第1回秋田県地域公共交通活性化協議会で県計画の策定（次期計画）を議論 https://www.pref.akita.lg.jp/uploads/public/archive_0000098833_00/R8活性化協議会①/令和８年度第１回秋田県地域公共交通活性化協議会_会議概要.pdf</t>
        </is>
      </c>
      <c r="S26" s="15" t="inlineStr">
        <is>
          <t>調査済</t>
        </is>
      </c>
      <c r="T26" s="11" t="inlineStr">
        <is>
          <t>掲載</t>
        </is>
      </c>
    </row>
    <row r="27">
      <c r="A27" s="11" t="n">
        <v>24</v>
      </c>
      <c r="B27" s="11" t="inlineStr">
        <is>
          <t>羽後町</t>
        </is>
      </c>
      <c r="C27" s="12">
        <f>IF(OR(D27="◎",E27="◎"),"◎ 営業",IF(OR(D27="△",E27="△"),"△ 着手済・要確認",IF(OR(D27="？",E27="？"),"？ 期間要確認","✕ 対象外")))</f>
        <v/>
      </c>
      <c r="D27" s="13">
        <f>IF(J27="計画なし","－",IF(J27="策定済","✕",IF(H27="","？",IF(AND(H27&gt;=TGT_MIN,H27&lt;=TGT_MAX),IF(J27="着手済","△","◎"),"✕"))))</f>
        <v/>
      </c>
      <c r="E27" s="13">
        <f>IF(P27="計画なし","－",IF(P27="策定済","✕",IF(N27="","？",IF(AND(N27&gt;=TGT_MIN,N27&lt;=TGT_MAX),IF(P27="着手済","△","◎"),"✕"))))</f>
        <v/>
      </c>
      <c r="F27" s="11" t="inlineStr">
        <is>
          <t>秋田県地域公共交通計画（県計画、町独自計画は見当たらず）</t>
        </is>
      </c>
      <c r="G27" s="11" t="inlineStr">
        <is>
          <t>R4〜R8</t>
        </is>
      </c>
      <c r="H27" s="13" t="n">
        <v>8</v>
      </c>
      <c r="I27" s="13" t="inlineStr">
        <is>
          <t>確認済</t>
        </is>
      </c>
      <c r="J27" s="13" t="inlineStr">
        <is>
          <t>未確認</t>
        </is>
      </c>
      <c r="K27" s="14" t="inlineStr">
        <is>
          <t>https://www.pref.akita.lg.jp/uploads/public/archive_0000062825_00/観スポ_所管事項関連　別冊２（秋田県地域公共交通計画（案）について）.pdf</t>
        </is>
      </c>
      <c r="L27" s="11" t="n"/>
      <c r="M27" s="11" t="inlineStr">
        <is>
          <t>不明</t>
        </is>
      </c>
      <c r="N27" s="13" t="n"/>
      <c r="O27" s="13" t="inlineStr">
        <is>
          <t>不明</t>
        </is>
      </c>
      <c r="P27" s="13" t="inlineStr">
        <is>
          <t>計画なし</t>
        </is>
      </c>
      <c r="Q27" s="11" t="n"/>
      <c r="R27" s="11" t="inlineStr">
        <is>
          <t>交通：町独自の地域公共交通計画、湯沢雄勝広域の共同計画とも検索で確認できず（湯沢市は単独計画あり）。羽後交通路線は県計画（地域間幹線系統）で位置づけ。環境：環境基本計画・区域施策編とも見当たらず。【県計画】秋田県地域公共交通計画はR4〜R8（R4.3策定、R8＝今年度終期）。R8.6.23の令和8年度第1回秋田県地域公共交通活性化協議会で県計画の策定（次期計画）を議論 https://www.pref.akita.lg.jp/uploads/public/archive_0000098833_00/R8活性化協議会①/令和８年度第１回秋田県地域公共交通活性化協議会_会議概要.pdf</t>
        </is>
      </c>
      <c r="S27" s="15" t="inlineStr">
        <is>
          <t>調査済</t>
        </is>
      </c>
      <c r="T27" s="17" t="inlineStr">
        <is>
          <t>未掲載【当方は計画あり】</t>
        </is>
      </c>
    </row>
    <row r="28">
      <c r="A28" s="11" t="n">
        <v>25</v>
      </c>
      <c r="B28" s="11" t="inlineStr">
        <is>
          <t>東成瀬村</t>
        </is>
      </c>
      <c r="C28" s="12">
        <f>IF(OR(D28="◎",E28="◎"),"◎ 営業",IF(OR(D28="△",E28="△"),"△ 着手済・要確認",IF(OR(D28="？",E28="？"),"？ 期間要確認","✕ 対象外")))</f>
        <v/>
      </c>
      <c r="D28" s="13">
        <f>IF(J28="計画なし","－",IF(J28="策定済","✕",IF(H28="","？",IF(AND(H28&gt;=TGT_MIN,H28&lt;=TGT_MAX),IF(J28="着手済","△","◎"),"✕"))))</f>
        <v/>
      </c>
      <c r="E28" s="13">
        <f>IF(P28="計画なし","－",IF(P28="策定済","✕",IF(N28="","？",IF(AND(N28&gt;=TGT_MIN,N28&lt;=TGT_MAX),IF(P28="着手済","△","◎"),"✕"))))</f>
        <v/>
      </c>
      <c r="F28" s="11" t="inlineStr">
        <is>
          <t>東成瀬村地域公共交通計画</t>
        </is>
      </c>
      <c r="G28" s="11" t="inlineStr">
        <is>
          <t>R8〜R12</t>
        </is>
      </c>
      <c r="H28" s="16" t="n">
        <v>12</v>
      </c>
      <c r="I28" s="13" t="inlineStr">
        <is>
          <t>推定</t>
        </is>
      </c>
      <c r="J28" s="13" t="inlineStr">
        <is>
          <t>策定済</t>
        </is>
      </c>
      <c r="K28" s="14" t="inlineStr">
        <is>
          <t>https://vill.higashinaruse.lg.jp/villager/lifework/post-36197/</t>
        </is>
      </c>
      <c r="L28" s="11" t="n"/>
      <c r="M28" s="11" t="inlineStr">
        <is>
          <t>不明</t>
        </is>
      </c>
      <c r="N28" s="13" t="n"/>
      <c r="O28" s="13" t="inlineStr">
        <is>
          <t>不明</t>
        </is>
      </c>
      <c r="P28" s="13" t="inlineStr">
        <is>
          <t>計画なし</t>
        </is>
      </c>
      <c r="Q28" s="11" t="n"/>
      <c r="R28" s="11" t="inlineStr">
        <is>
          <t>交通：村独自の地域公共交通計画・湯沢雄勝広域共同計画とも検索で確認できず。環境：環境基本計画見当たらず（まち・ひと・しごと創生推進計画のみ確認）。【県計画】秋田県地域公共交通計画はR4〜R8（R4.3策定、R8＝今年度終期）。R8.6.23の令和8年度第1回秋田県地域公共交通活性化協議会で県計画の策定（次期計画）を議論 https://www.pref.akita.lg.jp/uploads/public/archive_0000098833_00/R8活性化協議会①/令和８年度第１回秋田県地域公共交通活性化協議会_会議概要.pdf 【追加調査 2026-10】交通(2026-10調査)：村単独の東成瀬村地域公共交通計画をR8.3策定（村HP「東成瀬村地域公共交通計画を策定しました」 https://vill.higashinaruse.lg.jp/villager/lifework/post-36197/ ）。計画期間 令和8年度〜令和12年度（2026〜2030年度）、検索結果本文で2回確認。東成瀬村地域公共交通活性化協議会を設置（R6年度第1回協議会R7.1.30 https://vill.higashinaruse.lg.jp/wp-content/uploads/2025/03/a47c589c-621f-42c3-b67e-b4f7bba572f4.pdf ）、「交通空白」解消に向けた調査・検討業務を公募（https://vill.higashinaruse.lg.jp/villager/news/post-33178/ ）。R8.10.1から公共ライドシェア実証開始（https://vill.higashinaruse.lg.jp/villager/post-38003/ ）。従来記載の秋田県計画は参考扱いに。 ※期間は英語の検索要約でのみ確認（本文未確認）のため推定に留める。 根拠: formulated in March 2026 (Reiwa 8). The plan covers the period from fiscal year 2026 to fiscal year 2030 (Reiwa 8 to Reiwa 12)</t>
        </is>
      </c>
      <c r="S28" s="15" t="inlineStr">
        <is>
          <t>調査済</t>
        </is>
      </c>
      <c r="T28" s="11" t="inlineStr">
        <is>
          <t>掲載</t>
        </is>
      </c>
    </row>
  </sheetData>
  <autoFilter ref="A3:T28"/>
  <conditionalFormatting sqref="A4:T28">
    <cfRule type="expression" priority="5" dxfId="0">
      <formula>LEFT($C4,1)="◎"</formula>
    </cfRule>
    <cfRule type="expression" priority="6" dxfId="1">
      <formula>LEFT($C4,1)="△"</formula>
    </cfRule>
    <cfRule type="expression" priority="7" dxfId="2">
      <formula>LEFT($C4,1)="？"</formula>
    </cfRule>
    <cfRule type="expression" priority="8" dxfId="3">
      <formula>LEFT($C4,1)="✕"</formula>
    </cfRule>
  </conditionalFormatting>
  <conditionalFormatting sqref="H4:H28">
    <cfRule type="expression" priority="1" dxfId="4" stopIfTrue="1">
      <formula>AND(ISNUMBER(H4),H4&gt;=TGT_MIN,H4&lt;=TGT_MAX)</formula>
    </cfRule>
    <cfRule type="expression" priority="2" dxfId="5">
      <formula>AND(ISNUMBER(H4),H4=TGT_MAX+1)</formula>
    </cfRule>
  </conditionalFormatting>
  <conditionalFormatting sqref="N4:N28">
    <cfRule type="expression" priority="3" dxfId="4" stopIfTrue="1">
      <formula>AND(ISNUMBER(N4),N4&gt;=TGT_MIN,N4&lt;=TGT_MAX)</formula>
    </cfRule>
    <cfRule type="expression" priority="4" dxfId="5">
      <formula>AND(ISNUMBER(N4),N4=TGT_MAX+1)</formula>
    </cfRule>
  </conditionalFormatting>
  <dataValidations count="1">
    <dataValidation sqref="J4:J28 P4:P28" showDropDown="0" showInputMessage="0" showErrorMessage="0" allowBlank="1" type="list">
      <formula1>"未確認,着手済,策定済,計画なし"</formula1>
    </dataValidation>
  </dataValidations>
  <hyperlinks>
    <hyperlink xmlns:r="http://schemas.openxmlformats.org/officeDocument/2006/relationships" ref="K4" r:id="rId1"/>
    <hyperlink xmlns:r="http://schemas.openxmlformats.org/officeDocument/2006/relationships" ref="Q4" r:id="rId2"/>
    <hyperlink xmlns:r="http://schemas.openxmlformats.org/officeDocument/2006/relationships" ref="K5" r:id="rId3"/>
    <hyperlink xmlns:r="http://schemas.openxmlformats.org/officeDocument/2006/relationships" ref="Q5" r:id="rId4"/>
    <hyperlink xmlns:r="http://schemas.openxmlformats.org/officeDocument/2006/relationships" ref="K6" r:id="rId5"/>
    <hyperlink xmlns:r="http://schemas.openxmlformats.org/officeDocument/2006/relationships" ref="Q6" r:id="rId6"/>
    <hyperlink xmlns:r="http://schemas.openxmlformats.org/officeDocument/2006/relationships" ref="K7" r:id="rId7"/>
    <hyperlink xmlns:r="http://schemas.openxmlformats.org/officeDocument/2006/relationships" ref="Q7" r:id="rId8"/>
    <hyperlink xmlns:r="http://schemas.openxmlformats.org/officeDocument/2006/relationships" ref="K8" r:id="rId9"/>
    <hyperlink xmlns:r="http://schemas.openxmlformats.org/officeDocument/2006/relationships" ref="K9" r:id="rId10"/>
    <hyperlink xmlns:r="http://schemas.openxmlformats.org/officeDocument/2006/relationships" ref="K10" r:id="rId11"/>
    <hyperlink xmlns:r="http://schemas.openxmlformats.org/officeDocument/2006/relationships" ref="Q10" r:id="rId12"/>
    <hyperlink xmlns:r="http://schemas.openxmlformats.org/officeDocument/2006/relationships" ref="K11" r:id="rId13"/>
    <hyperlink xmlns:r="http://schemas.openxmlformats.org/officeDocument/2006/relationships" ref="Q11" r:id="rId14"/>
    <hyperlink xmlns:r="http://schemas.openxmlformats.org/officeDocument/2006/relationships" ref="K12" r:id="rId15"/>
    <hyperlink xmlns:r="http://schemas.openxmlformats.org/officeDocument/2006/relationships" ref="Q12" r:id="rId16"/>
    <hyperlink xmlns:r="http://schemas.openxmlformats.org/officeDocument/2006/relationships" ref="K13" r:id="rId17"/>
    <hyperlink xmlns:r="http://schemas.openxmlformats.org/officeDocument/2006/relationships" ref="Q13" r:id="rId18"/>
    <hyperlink xmlns:r="http://schemas.openxmlformats.org/officeDocument/2006/relationships" ref="K14" r:id="rId19"/>
    <hyperlink xmlns:r="http://schemas.openxmlformats.org/officeDocument/2006/relationships" ref="Q14" r:id="rId20"/>
    <hyperlink xmlns:r="http://schemas.openxmlformats.org/officeDocument/2006/relationships" ref="K15" r:id="rId21"/>
    <hyperlink xmlns:r="http://schemas.openxmlformats.org/officeDocument/2006/relationships" ref="K16" r:id="rId22"/>
    <hyperlink xmlns:r="http://schemas.openxmlformats.org/officeDocument/2006/relationships" ref="K17" r:id="rId23"/>
    <hyperlink xmlns:r="http://schemas.openxmlformats.org/officeDocument/2006/relationships" ref="Q17" r:id="rId24"/>
    <hyperlink xmlns:r="http://schemas.openxmlformats.org/officeDocument/2006/relationships" ref="K19" r:id="rId25"/>
    <hyperlink xmlns:r="http://schemas.openxmlformats.org/officeDocument/2006/relationships" ref="Q19" r:id="rId26"/>
    <hyperlink xmlns:r="http://schemas.openxmlformats.org/officeDocument/2006/relationships" ref="K20" r:id="rId27"/>
    <hyperlink xmlns:r="http://schemas.openxmlformats.org/officeDocument/2006/relationships" ref="K22" r:id="rId28"/>
    <hyperlink xmlns:r="http://schemas.openxmlformats.org/officeDocument/2006/relationships" ref="K23" r:id="rId29"/>
    <hyperlink xmlns:r="http://schemas.openxmlformats.org/officeDocument/2006/relationships" ref="K24" r:id="rId30"/>
    <hyperlink xmlns:r="http://schemas.openxmlformats.org/officeDocument/2006/relationships" ref="K25" r:id="rId31"/>
    <hyperlink xmlns:r="http://schemas.openxmlformats.org/officeDocument/2006/relationships" ref="K26" r:id="rId32"/>
    <hyperlink xmlns:r="http://schemas.openxmlformats.org/officeDocument/2006/relationships" ref="K27" r:id="rId33"/>
    <hyperlink xmlns:r="http://schemas.openxmlformats.org/officeDocument/2006/relationships" ref="K28" r:id="rId3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6" customWidth="1" min="3" max="3"/>
    <col width="7" customWidth="1" min="4" max="4"/>
    <col width="7" customWidth="1" min="5" max="5"/>
    <col width="30" customWidth="1" min="6" max="6"/>
    <col width="15" customWidth="1" min="7" max="7"/>
    <col width="9" customWidth="1" min="8" max="8"/>
    <col width="8" customWidth="1" min="9" max="9"/>
    <col width="9" customWidth="1" min="10" max="10"/>
    <col width="34" customWidth="1" min="11" max="11"/>
    <col width="30" customWidth="1" min="12" max="12"/>
    <col width="15" customWidth="1" min="13" max="13"/>
    <col width="9" customWidth="1" min="14" max="14"/>
    <col width="8" customWidth="1" min="15" max="15"/>
    <col width="9" customWidth="1" min="16" max="16"/>
    <col width="34" customWidth="1" min="17" max="17"/>
    <col width="55" customWidth="1" min="18" max="18"/>
    <col width="14" customWidth="1" min="19" max="19"/>
    <col width="24" customWidth="1" min="20" max="20"/>
  </cols>
  <sheetData>
    <row r="1">
      <c r="A1" s="1" t="inlineStr">
        <is>
          <t>山形県　地域公共交通計画・環境基本計画の終期一覧（2026年9月30日時点の調査）</t>
        </is>
      </c>
    </row>
    <row r="2">
      <c r="A2" s="9">
        <f>"営業判定の対象：終期 R"&amp;TGT_MIN&amp;"〜R"&amp;TGT_MAX&amp;"年度 →◎（着手済は△、期間不明は？）。終期セルの色：緑＝対象年度／橙＝その翌年度（次の候補）。対象年度は「集計・設定」シートのC4・C5のプルダウンで切替。"</f>
        <v/>
      </c>
    </row>
    <row r="3" ht="32" customHeight="1">
      <c r="A3" s="10" t="inlineStr">
        <is>
          <t>No</t>
        </is>
      </c>
      <c r="B3" s="10" t="inlineStr">
        <is>
          <t>市町村</t>
        </is>
      </c>
      <c r="C3" s="10" t="inlineStr">
        <is>
          <t>営業判定</t>
        </is>
      </c>
      <c r="D3" s="10" t="inlineStr">
        <is>
          <t>交通判定</t>
        </is>
      </c>
      <c r="E3" s="10" t="inlineStr">
        <is>
          <t>環境判定</t>
        </is>
      </c>
      <c r="F3" s="10" t="inlineStr">
        <is>
          <t>地域公共交通計画</t>
        </is>
      </c>
      <c r="G3" s="10" t="inlineStr">
        <is>
          <t>交通 計画期間</t>
        </is>
      </c>
      <c r="H3" s="10" t="inlineStr">
        <is>
          <t>交通 終期(令和年度)</t>
        </is>
      </c>
      <c r="I3" s="10" t="inlineStr">
        <is>
          <t>交通 確度</t>
        </is>
      </c>
      <c r="J3" s="10" t="inlineStr">
        <is>
          <t>交通 改定状況</t>
        </is>
      </c>
      <c r="K3" s="10" t="inlineStr">
        <is>
          <t>交通 計画リンク（エビデンス）</t>
        </is>
      </c>
      <c r="L3" s="10" t="inlineStr">
        <is>
          <t>環境基本計画</t>
        </is>
      </c>
      <c r="M3" s="10" t="inlineStr">
        <is>
          <t>環境 計画期間</t>
        </is>
      </c>
      <c r="N3" s="10" t="inlineStr">
        <is>
          <t>環境 終期(令和年度)</t>
        </is>
      </c>
      <c r="O3" s="10" t="inlineStr">
        <is>
          <t>環境 確度</t>
        </is>
      </c>
      <c r="P3" s="10" t="inlineStr">
        <is>
          <t>環境 改定状況</t>
        </is>
      </c>
      <c r="Q3" s="10" t="inlineStr">
        <is>
          <t>環境 計画リンク（エビデンス）</t>
        </is>
      </c>
      <c r="R3" s="10" t="inlineStr">
        <is>
          <t>注釈（改定作業の状況など）</t>
        </is>
      </c>
      <c r="S3" s="10" t="inlineStr">
        <is>
          <t>調査状況</t>
        </is>
      </c>
      <c r="T3" s="10" t="inlineStr">
        <is>
          <t>国交省一覧(R8.5末)</t>
        </is>
      </c>
    </row>
    <row r="4">
      <c r="A4" s="11" t="n">
        <v>1</v>
      </c>
      <c r="B4" s="11" t="inlineStr">
        <is>
          <t>山形市</t>
        </is>
      </c>
      <c r="C4" s="12">
        <f>IF(OR(D4="◎",E4="◎"),"◎ 営業",IF(OR(D4="△",E4="△"),"△ 着手済・要確認",IF(OR(D4="？",E4="？"),"？ 期間要確認","✕ 対象外")))</f>
        <v/>
      </c>
      <c r="D4" s="13">
        <f>IF(J4="計画なし","－",IF(J4="策定済","✕",IF(H4="","？",IF(AND(H4&gt;=TGT_MIN,H4&lt;=TGT_MAX),IF(J4="着手済","△","◎"),"✕"))))</f>
        <v/>
      </c>
      <c r="E4" s="13">
        <f>IF(P4="計画なし","－",IF(P4="策定済","✕",IF(N4="","？",IF(AND(N4&gt;=TGT_MIN,N4&lt;=TGT_MAX),IF(P4="着手済","△","◎"),"✕"))))</f>
        <v/>
      </c>
      <c r="F4" s="11" t="inlineStr">
        <is>
          <t>第2期山形市地域公共交通計画</t>
        </is>
      </c>
      <c r="G4" s="11" t="inlineStr">
        <is>
          <t>R8〜R12</t>
        </is>
      </c>
      <c r="H4" s="13" t="n">
        <v>12</v>
      </c>
      <c r="I4" s="13" t="inlineStr">
        <is>
          <t>確認済</t>
        </is>
      </c>
      <c r="J4" s="13" t="inlineStr">
        <is>
          <t>策定済</t>
        </is>
      </c>
      <c r="K4" s="14" t="inlineStr">
        <is>
          <t>https://www.city.yamagata-yamagata.lg.jp/_res/projects/default_project/_page_/001/002/654/keikaku2_honpen.pdf</t>
        </is>
      </c>
      <c r="L4" s="11" t="inlineStr">
        <is>
          <t>第4次山形市環境基本計画</t>
        </is>
      </c>
      <c r="M4" s="11" t="inlineStr">
        <is>
          <t>R3〜R12</t>
        </is>
      </c>
      <c r="N4" s="16" t="n">
        <v>12</v>
      </c>
      <c r="O4" s="13" t="inlineStr">
        <is>
          <t>推定</t>
        </is>
      </c>
      <c r="P4" s="13" t="inlineStr">
        <is>
          <t>未確認</t>
        </is>
      </c>
      <c r="Q4" s="14" t="inlineStr">
        <is>
          <t>https://www.city.yamagata-yamagata.lg.jp/shiseijoho/keikaku/1006993/1002366.html</t>
        </is>
      </c>
      <c r="R4" s="11" t="inlineStr">
        <is>
          <t>交通：第1期(R3.3策定)の後継として第2期をR8.3策定、計画期間R8.4〜R13.3。計画ページ https://www.city.yamagata-yamagata.lg.jp/shiseijoho/keikaku/1008370/1002654.html 。環境：第4次は令和12年度(2030)を目標年度とする10年計画（開始年度は推定）。</t>
        </is>
      </c>
      <c r="S4" s="15" t="inlineStr">
        <is>
          <t>調査済</t>
        </is>
      </c>
      <c r="T4" s="11" t="inlineStr">
        <is>
          <t>掲載</t>
        </is>
      </c>
    </row>
    <row r="5">
      <c r="A5" s="11" t="n">
        <v>2</v>
      </c>
      <c r="B5" s="11" t="inlineStr">
        <is>
          <t>米沢市</t>
        </is>
      </c>
      <c r="C5" s="12">
        <f>IF(OR(D5="◎",E5="◎"),"◎ 営業",IF(OR(D5="△",E5="△"),"△ 着手済・要確認",IF(OR(D5="？",E5="？"),"？ 期間要確認","✕ 対象外")))</f>
        <v/>
      </c>
      <c r="D5" s="13">
        <f>IF(J5="計画なし","－",IF(J5="策定済","✕",IF(H5="","？",IF(AND(H5&gt;=TGT_MIN,H5&lt;=TGT_MAX),IF(J5="着手済","△","◎"),"✕"))))</f>
        <v/>
      </c>
      <c r="E5" s="13">
        <f>IF(P5="計画なし","－",IF(P5="策定済","✕",IF(N5="","？",IF(AND(N5&gt;=TGT_MIN,N5&lt;=TGT_MAX),IF(P5="着手済","△","◎"),"✕"))))</f>
        <v/>
      </c>
      <c r="F5" s="11" t="inlineStr">
        <is>
          <t>米沢市地域公共交通計画</t>
        </is>
      </c>
      <c r="G5" s="11" t="inlineStr">
        <is>
          <t>R4〜R8</t>
        </is>
      </c>
      <c r="H5" s="13" t="n">
        <v>8</v>
      </c>
      <c r="I5" s="13" t="inlineStr">
        <is>
          <t>確認済</t>
        </is>
      </c>
      <c r="J5" s="13" t="inlineStr">
        <is>
          <t>未確認</t>
        </is>
      </c>
      <c r="K5" s="14" t="inlineStr">
        <is>
          <t>https://www.city.yonezawa.yamagata.jp/soshiki/2/1007/7/2367.html</t>
        </is>
      </c>
      <c r="L5" s="11" t="inlineStr">
        <is>
          <t>第4期米沢市環境基本計画</t>
        </is>
      </c>
      <c r="M5" s="11" t="inlineStr">
        <is>
          <t>R8〜不明</t>
        </is>
      </c>
      <c r="N5" s="16" t="n"/>
      <c r="O5" s="13" t="inlineStr">
        <is>
          <t>推定</t>
        </is>
      </c>
      <c r="P5" s="13" t="inlineStr">
        <is>
          <t>策定済</t>
        </is>
      </c>
      <c r="Q5" s="14" t="inlineStr">
        <is>
          <t>https://www.city.yonezawa.yamagata.jp/soshiki/3/kankyo/9_1/8300.html</t>
        </is>
      </c>
      <c r="R5" s="11" t="inlineStr">
        <is>
          <t>交通：R8年度終期のため次期計画策定が今年度中に必要だが、策定支援業務・パブコメ等は検索で未確認（要確認・営業優先度高）。環境：第3期(H28〜R7)の後継として第4期案をR7.11.14環境審議会で審議（資料 https://www.city.yonezawa.yamagata.jp/material/files/group/47/02_setumeisiryou.pdf ）、R8.3策定とみられる。第4期地球温暖化対策実行計画もパブコメ実施。</t>
        </is>
      </c>
      <c r="S5" s="15" t="inlineStr">
        <is>
          <t>調査済</t>
        </is>
      </c>
      <c r="T5" s="11" t="inlineStr">
        <is>
          <t>掲載</t>
        </is>
      </c>
    </row>
    <row r="6">
      <c r="A6" s="11" t="n">
        <v>3</v>
      </c>
      <c r="B6" s="11" t="inlineStr">
        <is>
          <t>鶴岡市</t>
        </is>
      </c>
      <c r="C6" s="12">
        <f>IF(OR(D6="◎",E6="◎"),"◎ 営業",IF(OR(D6="△",E6="△"),"△ 着手済・要確認",IF(OR(D6="？",E6="？"),"？ 期間要確認","✕ 対象外")))</f>
        <v/>
      </c>
      <c r="D6" s="13">
        <f>IF(J6="計画なし","－",IF(J6="策定済","✕",IF(H6="","？",IF(AND(H6&gt;=TGT_MIN,H6&lt;=TGT_MAX),IF(J6="着手済","△","◎"),"✕"))))</f>
        <v/>
      </c>
      <c r="E6" s="13">
        <f>IF(P6="計画なし","－",IF(P6="策定済","✕",IF(N6="","？",IF(AND(N6&gt;=TGT_MIN,N6&lt;=TGT_MAX),IF(P6="着手済","△","◎"),"✕"))))</f>
        <v/>
      </c>
      <c r="F6" s="11" t="inlineStr">
        <is>
          <t>鶴岡市地域公共交通計画（R08-12）</t>
        </is>
      </c>
      <c r="G6" s="11" t="inlineStr">
        <is>
          <t>R8〜R12</t>
        </is>
      </c>
      <c r="H6" s="13" t="n">
        <v>12</v>
      </c>
      <c r="I6" s="13" t="inlineStr">
        <is>
          <t>確認済</t>
        </is>
      </c>
      <c r="J6" s="13" t="inlineStr">
        <is>
          <t>策定済</t>
        </is>
      </c>
      <c r="K6" s="14" t="inlineStr">
        <is>
          <t>https://www.city.tsuruoka.lg.jp/seibi/tiikikoukyoukoutu/tiiki0120160419.files/R8.3honnpenn.pdf</t>
        </is>
      </c>
      <c r="L6" s="11" t="inlineStr">
        <is>
          <t>第2次鶴岡市環境基本計画</t>
        </is>
      </c>
      <c r="M6" s="11" t="inlineStr">
        <is>
          <t>R4〜R13</t>
        </is>
      </c>
      <c r="N6" s="16" t="n">
        <v>13</v>
      </c>
      <c r="O6" s="13" t="inlineStr">
        <is>
          <t>推定</t>
        </is>
      </c>
      <c r="P6" s="13" t="inlineStr">
        <is>
          <t>未確認</t>
        </is>
      </c>
      <c r="Q6" s="14" t="inlineStr">
        <is>
          <t>https://www.city.tsuruoka.lg.jp/seibi/kankyo/kihonkeikaku/dainizi_kankyoukihon.html</t>
        </is>
      </c>
      <c r="R6" s="11" t="inlineStr">
        <is>
          <t>交通：R7.6改定支援業務プロポーザル→R8.3策定（パブコメ結果 https://www.city.tsuruoka.lg.jp/shisei/koutyou/publiccomment/r07/tiiki0120260327.html ）。環境：第1次H24〜R3の後継、第2次はR4開始（期間は10年と推定）。</t>
        </is>
      </c>
      <c r="S6" s="15" t="inlineStr">
        <is>
          <t>調査済</t>
        </is>
      </c>
      <c r="T6" s="11" t="inlineStr">
        <is>
          <t>掲載</t>
        </is>
      </c>
    </row>
    <row r="7">
      <c r="A7" s="11" t="n">
        <v>4</v>
      </c>
      <c r="B7" s="11" t="inlineStr">
        <is>
          <t>酒田市</t>
        </is>
      </c>
      <c r="C7" s="12">
        <f>IF(OR(D7="◎",E7="◎"),"◎ 営業",IF(OR(D7="△",E7="△"),"△ 着手済・要確認",IF(OR(D7="？",E7="？"),"？ 期間要確認","✕ 対象外")))</f>
        <v/>
      </c>
      <c r="D7" s="13">
        <f>IF(J7="計画なし","－",IF(J7="策定済","✕",IF(H7="","？",IF(AND(H7&gt;=TGT_MIN,H7&lt;=TGT_MAX),IF(J7="着手済","△","◎"),"✕"))))</f>
        <v/>
      </c>
      <c r="E7" s="13">
        <f>IF(P7="計画なし","－",IF(P7="策定済","✕",IF(N7="","？",IF(AND(N7&gt;=TGT_MIN,N7&lt;=TGT_MAX),IF(P7="着手済","△","◎"),"✕"))))</f>
        <v/>
      </c>
      <c r="F7" s="11" t="inlineStr">
        <is>
          <t>酒田市地域公共交通計画</t>
        </is>
      </c>
      <c r="G7" s="11" t="inlineStr">
        <is>
          <t>R3〜R8（延長）</t>
        </is>
      </c>
      <c r="H7" s="16" t="n">
        <v>8</v>
      </c>
      <c r="I7" s="13" t="inlineStr">
        <is>
          <t>推定</t>
        </is>
      </c>
      <c r="J7" s="13" t="inlineStr">
        <is>
          <t>着手済</t>
        </is>
      </c>
      <c r="K7" s="14" t="inlineStr">
        <is>
          <t>https://www.city.sakata.lg.jp/shisei/shisakukeikaku/kikaku/chiikokyokotsumo/trafficplan2021.html</t>
        </is>
      </c>
      <c r="L7" s="11" t="inlineStr">
        <is>
          <t>第3次酒田市環境基本計画</t>
        </is>
      </c>
      <c r="M7" s="11" t="inlineStr">
        <is>
          <t>R8〜不明</t>
        </is>
      </c>
      <c r="N7" s="16" t="n"/>
      <c r="O7" s="13" t="inlineStr">
        <is>
          <t>推定</t>
        </is>
      </c>
      <c r="P7" s="13" t="inlineStr">
        <is>
          <t>策定済</t>
        </is>
      </c>
      <c r="Q7" s="14" t="inlineStr">
        <is>
          <t>https://www.city.sakata.lg.jp/shisei/shisakukeikaku/shimin/kankyokihonkeikaku/kankyoplan03.files/kankyoplan3-data.pdf</t>
        </is>
      </c>
      <c r="R7" s="11" t="inlineStr">
        <is>
          <t>交通：R3.2策定の計画(R3〜R7)。市サイトに『次期計画として令和9〜13年度を計画期間とする新計画』の記載があり、現計画はR8まで延長し次期計画を策定中とみられる（要確認）。計画一覧 https://www.city.sakata.lg.jp/shisei/shisakukeikaku/kikaku/chiikokyokotsumo/index.html 。環境：第3次をR8.3策定（資料編で確認、期間未確認）。</t>
        </is>
      </c>
      <c r="S7" s="15" t="inlineStr">
        <is>
          <t>調査済</t>
        </is>
      </c>
      <c r="T7" s="11" t="inlineStr">
        <is>
          <t>掲載</t>
        </is>
      </c>
    </row>
    <row r="8">
      <c r="A8" s="11" t="n">
        <v>5</v>
      </c>
      <c r="B8" s="11" t="inlineStr">
        <is>
          <t>新庄市</t>
        </is>
      </c>
      <c r="C8" s="12">
        <f>IF(OR(D8="◎",E8="◎"),"◎ 営業",IF(OR(D8="△",E8="△"),"△ 着手済・要確認",IF(OR(D8="？",E8="？"),"？ 期間要確認","✕ 対象外")))</f>
        <v/>
      </c>
      <c r="D8" s="13">
        <f>IF(J8="計画なし","－",IF(J8="策定済","✕",IF(H8="","？",IF(AND(H8&gt;=TGT_MIN,H8&lt;=TGT_MAX),IF(J8="着手済","△","◎"),"✕"))))</f>
        <v/>
      </c>
      <c r="E8" s="13">
        <f>IF(P8="計画なし","－",IF(P8="策定済","✕",IF(N8="","？",IF(AND(N8&gt;=TGT_MIN,N8&lt;=TGT_MAX),IF(P8="着手済","△","◎"),"✕"))))</f>
        <v/>
      </c>
      <c r="F8" s="11" t="inlineStr">
        <is>
          <t>山形県地域公共交通計画（県・市町村共同、R8.3.27策定）</t>
        </is>
      </c>
      <c r="G8" s="11" t="inlineStr">
        <is>
          <t>R8〜R12</t>
        </is>
      </c>
      <c r="H8" s="13" t="n">
        <v>12</v>
      </c>
      <c r="I8" s="13" t="inlineStr">
        <is>
          <t>確認済</t>
        </is>
      </c>
      <c r="J8" s="13" t="inlineStr">
        <is>
          <t>策定済</t>
        </is>
      </c>
      <c r="K8" s="14" t="inlineStr">
        <is>
          <t>https://www.pref.yamagata.jp/documents/50579/keikaku_honpen.pdf</t>
        </is>
      </c>
      <c r="L8" s="11" t="inlineStr">
        <is>
          <t>第4次新庄市環境基本計画</t>
        </is>
      </c>
      <c r="M8" s="11" t="inlineStr">
        <is>
          <t>R3〜R12</t>
        </is>
      </c>
      <c r="N8" s="13" t="n">
        <v>12</v>
      </c>
      <c r="O8" s="13" t="inlineStr">
        <is>
          <t>確認済</t>
        </is>
      </c>
      <c r="P8" s="13" t="inlineStr">
        <is>
          <t>未確認</t>
        </is>
      </c>
      <c r="Q8" s="14" t="inlineStr">
        <is>
          <t>http://www.city.shinjo.yamagata.jp/s008/170/010/kankyoukihonkeikakuno4.pdf</t>
        </is>
      </c>
      <c r="R8" s="11" t="inlineStr">
        <is>
          <t>交通：市単独の地域公共交通計画は検索で見当たらず。県計画の最上地域部会で最上管内8市町村の公共交通再編を検討中（R7.11資料 https://www.pref.yamagata.jp/documents/47862/20251125shiryou2-2.pdf ）。山形県地域公共交通計画（前計画R3〜R7）は市町村の利便増進実施計画等を内包する県全域計画。次期計画はR8.2パブコメ（https://www200.pref.yamagata.jp/020057/keikakupabukomepress2.html ）を経てR8.3.27策定（期間は未確認、R8開始）。 【追加調査 2026-10】交通(2026-10調査)：市単独の「新庄市地域公共交通計画」は検索で見当たらず。新庄市の地域内フィーダー系統（まちなか循環線）は山形県地域公共交通計画に位置付け（https://www.pref.yamagata.jp/documents/22689/05_shinjo.pdf ）。国交省一覧の「単独・期間満了」は前県計画（R3〜R7、市町村共同作成）を指す可能性が高い。次期県計画は計画期間 令和8〜12年度（本編 https://www.pref.yamagata.jp/documents/50579/keikaku_honpen.pdf 、概要 https://www.pref.yamagata.jp/documents/50579/keikaku_gaiyou.pdf 、策定業務仕様書 https://www300.pref.yamagata.jp/documents/45835/02_shiyousyo.pdf ）。県全域＋全市町村が対象、4地域ブロック（最上ブロック）構成。 根拠: 山形県地域公共交通計画（本編）… 計画期間 令和8～12年度（検索結果本文）</t>
        </is>
      </c>
      <c r="S8" s="15" t="inlineStr">
        <is>
          <t>調査済</t>
        </is>
      </c>
      <c r="T8" s="17" t="inlineStr">
        <is>
          <t>掲載／期間満了</t>
        </is>
      </c>
    </row>
    <row r="9">
      <c r="A9" s="11" t="n">
        <v>6</v>
      </c>
      <c r="B9" s="11" t="inlineStr">
        <is>
          <t>寒河江市</t>
        </is>
      </c>
      <c r="C9" s="12">
        <f>IF(OR(D9="◎",E9="◎"),"◎ 営業",IF(OR(D9="△",E9="△"),"△ 着手済・要確認",IF(OR(D9="？",E9="？"),"？ 期間要確認","✕ 対象外")))</f>
        <v/>
      </c>
      <c r="D9" s="13">
        <f>IF(J9="計画なし","－",IF(J9="策定済","✕",IF(H9="","？",IF(AND(H9&gt;=TGT_MIN,H9&lt;=TGT_MAX),IF(J9="着手済","△","◎"),"✕"))))</f>
        <v/>
      </c>
      <c r="E9" s="13">
        <f>IF(P9="計画なし","－",IF(P9="策定済","✕",IF(N9="","？",IF(AND(N9&gt;=TGT_MIN,N9&lt;=TGT_MAX),IF(P9="着手済","△","◎"),"✕"))))</f>
        <v/>
      </c>
      <c r="F9" s="11" t="inlineStr">
        <is>
          <t>寒河江市生活交通ネットワーク計画（法定計画か不明）</t>
        </is>
      </c>
      <c r="G9" s="11" t="inlineStr">
        <is>
          <t>不明</t>
        </is>
      </c>
      <c r="H9" s="13" t="n"/>
      <c r="I9" s="13" t="inlineStr">
        <is>
          <t>不明</t>
        </is>
      </c>
      <c r="J9" s="13" t="inlineStr">
        <is>
          <t>未確認</t>
        </is>
      </c>
      <c r="K9" s="14" t="inlineStr">
        <is>
          <t>https://www.city.sagae.yamagata.jp/shisei/keikaku/toshikankyokeikaku/koutsu_net_sakutei.html</t>
        </is>
      </c>
      <c r="L9" s="11" t="inlineStr">
        <is>
          <t>寒河江市環境基本計画（R5.3改定）</t>
        </is>
      </c>
      <c r="M9" s="11" t="inlineStr">
        <is>
          <t>R5〜R14（10年間）</t>
        </is>
      </c>
      <c r="N9" s="13" t="n">
        <v>14</v>
      </c>
      <c r="O9" s="13" t="inlineStr">
        <is>
          <t>確認済</t>
        </is>
      </c>
      <c r="P9" s="13" t="inlineStr">
        <is>
          <t>未確認</t>
        </is>
      </c>
      <c r="Q9" s="14" t="inlineStr">
        <is>
          <t>https://www.city.sagae.yamagata.jp/shisei/keikaku/toshikankyokeikaku/kankyokeikaku.html</t>
        </is>
      </c>
      <c r="R9" s="11" t="inlineStr">
        <is>
          <t>交通：法定の地域公共交通計画は見当たらず、市の生活交通ネットワーク計画と県計画（山形県地域公共交通計画（県・市町村共同、次期計画R8.3.27策定））で対応。環境：R5.3改定、期間は検索で確認できず。 【追加調査 2026-10】環境：R5.3改定版の計画期間は2023（R5）〜2032（R14）年度の10年間。旧計画（H26〜R5）を1年前倒しで改定（R4ゼロカーボンシティ宣言を受け）。計画ページ https://www.city.sagae.yamagata.jp/shisei/keikaku/toshikankyokeikaku/kankyokeikaku.html 。 根拠: 計画期間は令和5年度から令和14年度までの10年間（前計画 平成26年度〜令和5年度を1年前倒しで改定）</t>
        </is>
      </c>
      <c r="S9" s="15" t="inlineStr">
        <is>
          <t>調査済</t>
        </is>
      </c>
      <c r="T9" s="17" t="inlineStr">
        <is>
          <t>未掲載【当方は計画あり】</t>
        </is>
      </c>
    </row>
    <row r="10">
      <c r="A10" s="11" t="n">
        <v>7</v>
      </c>
      <c r="B10" s="11" t="inlineStr">
        <is>
          <t>上山市</t>
        </is>
      </c>
      <c r="C10" s="12">
        <f>IF(OR(D10="◎",E10="◎"),"◎ 営業",IF(OR(D10="△",E10="△"),"△ 着手済・要確認",IF(OR(D10="？",E10="？"),"？ 期間要確認","✕ 対象外")))</f>
        <v/>
      </c>
      <c r="D10" s="13">
        <f>IF(J10="計画なし","－",IF(J10="策定済","✕",IF(H10="","？",IF(AND(H10&gt;=TGT_MIN,H10&lt;=TGT_MAX),IF(J10="着手済","△","◎"),"✕"))))</f>
        <v/>
      </c>
      <c r="E10" s="13">
        <f>IF(P10="計画なし","－",IF(P10="策定済","✕",IF(N10="","？",IF(AND(N10&gt;=TGT_MIN,N10&lt;=TGT_MAX),IF(P10="着手済","△","◎"),"✕"))))</f>
        <v/>
      </c>
      <c r="F10" s="11" t="inlineStr">
        <is>
          <t>山形県地域公共交通計画（県・市町村共同、次期計画R8.3.27策定）</t>
        </is>
      </c>
      <c r="G10" s="11" t="inlineStr">
        <is>
          <t>R8〜不明</t>
        </is>
      </c>
      <c r="H10" s="16" t="n"/>
      <c r="I10" s="13" t="inlineStr">
        <is>
          <t>推定</t>
        </is>
      </c>
      <c r="J10" s="13" t="inlineStr">
        <is>
          <t>策定済</t>
        </is>
      </c>
      <c r="K10" s="14" t="inlineStr">
        <is>
          <t>https://www.pref.yamagata.jp/020057/kurashi/kendo/kotsuseisaku/ykotsu_kasseikakyougikai.html</t>
        </is>
      </c>
      <c r="L10" s="11" t="inlineStr">
        <is>
          <t>第3期上山市快適環境基本計画</t>
        </is>
      </c>
      <c r="M10" s="11" t="inlineStr">
        <is>
          <t>R6〜R12</t>
        </is>
      </c>
      <c r="N10" s="13" t="n">
        <v>12</v>
      </c>
      <c r="O10" s="13" t="inlineStr">
        <is>
          <t>確認済</t>
        </is>
      </c>
      <c r="P10" s="13" t="inlineStr">
        <is>
          <t>未確認</t>
        </is>
      </c>
      <c r="Q10" s="14" t="inlineStr">
        <is>
          <t>https://www.city.kaminoyama.yamagata.jp/soshiki/6/kaitekikankyou-gaiyou.html</t>
        </is>
      </c>
      <c r="R10" s="11" t="inlineStr">
        <is>
          <t>交通：市単独の地域公共交通計画は検索で見当たらず（上山市地域公共交通会議のみ）。山形県地域公共交通計画（前計画R3〜R7）は市町村の利便増進実施計画等を内包する県全域計画。次期計画はR8.2パブコメ（https://www200.pref.yamagata.jp/020057/keikakupabukomepress2.html ）を経てR8.3.27策定（期間は未確認、R8開始）。 環境：R6.4〜R13.3の8年間（第8次振興計画に合わせる）。</t>
        </is>
      </c>
      <c r="S10" s="15" t="inlineStr">
        <is>
          <t>調査済</t>
        </is>
      </c>
      <c r="T10" s="17" t="inlineStr">
        <is>
          <t>未掲載【当方は計画あり】</t>
        </is>
      </c>
    </row>
    <row r="11">
      <c r="A11" s="11" t="n">
        <v>8</v>
      </c>
      <c r="B11" s="11" t="inlineStr">
        <is>
          <t>村山市</t>
        </is>
      </c>
      <c r="C11" s="12">
        <f>IF(OR(D11="◎",E11="◎"),"◎ 営業",IF(OR(D11="△",E11="△"),"△ 着手済・要確認",IF(OR(D11="？",E11="？"),"？ 期間要確認","✕ 対象外")))</f>
        <v/>
      </c>
      <c r="D11" s="13">
        <f>IF(J11="計画なし","－",IF(J11="策定済","✕",IF(H11="","？",IF(AND(H11&gt;=TGT_MIN,H11&lt;=TGT_MAX),IF(J11="着手済","△","◎"),"✕"))))</f>
        <v/>
      </c>
      <c r="E11" s="13">
        <f>IF(P11="計画なし","－",IF(P11="策定済","✕",IF(N11="","？",IF(AND(N11&gt;=TGT_MIN,N11&lt;=TGT_MAX),IF(P11="着手済","△","◎"),"✕"))))</f>
        <v/>
      </c>
      <c r="F11" s="11" t="inlineStr">
        <is>
          <t>山形県地域公共交通計画（県・市町村共同、次期計画R8.3.27策定）</t>
        </is>
      </c>
      <c r="G11" s="11" t="inlineStr">
        <is>
          <t>R8〜不明</t>
        </is>
      </c>
      <c r="H11" s="16" t="n"/>
      <c r="I11" s="13" t="inlineStr">
        <is>
          <t>推定</t>
        </is>
      </c>
      <c r="J11" s="13" t="inlineStr">
        <is>
          <t>策定済</t>
        </is>
      </c>
      <c r="K11" s="14" t="inlineStr">
        <is>
          <t>https://www.pref.yamagata.jp/020057/kurashi/kendo/kotsuseisaku/ykotsu_kasseikakyougikai.html</t>
        </is>
      </c>
      <c r="L11" s="11" t="inlineStr">
        <is>
          <t>村山市環境基本計画（第２次）</t>
        </is>
      </c>
      <c r="M11" s="11" t="inlineStr">
        <is>
          <t>H30〜R9</t>
        </is>
      </c>
      <c r="N11" s="13" t="n">
        <v>9</v>
      </c>
      <c r="O11" s="13" t="inlineStr">
        <is>
          <t>確認済</t>
        </is>
      </c>
      <c r="P11" s="13" t="inlineStr">
        <is>
          <t>未確認</t>
        </is>
      </c>
      <c r="Q11" s="14" t="inlineStr">
        <is>
          <t>https://www.city.murayama.lg.jp/kurashi/shizen/kankyohozen/kankyoukihon.files/kankyou-2.pdf</t>
        </is>
      </c>
      <c r="R11" s="11" t="inlineStr">
        <is>
          <t>環境：H30〜R9（2027）の10年計画で終期R9。次期（第3次）策定の着手は未確認（R8〜R9に着手見込み・営業対象）。交通：市単独計画は見当たらず（市営バス・乗合タクシー運行）。山形県地域公共交通計画（前計画R3〜R7）は市町村の利便増進実施計画等を内包する県全域計画。次期計画はR8.2パブコメ（https://www200.pref.yamagata.jp/020057/keikakupabukomepress2.html ）を経てR8.3.27策定（期間は未確認、R8開始）。 【ファクトチェック 2026-10-01: 正しい】確認期間: H30〜R9（平成30年度〜平成39年度）／次期: 確認できず（市サイト内で第3次計画・アンケート等の情報見当たらず）／根拠: https://www.city.murayama.lg.jp/kurashi/shizen/kankyohozen/kankyoukihon.files/kankyou-2.pdf</t>
        </is>
      </c>
      <c r="S11" s="15" t="inlineStr">
        <is>
          <t>調査済</t>
        </is>
      </c>
      <c r="T11" s="17" t="inlineStr">
        <is>
          <t>未掲載【当方は計画あり】</t>
        </is>
      </c>
    </row>
    <row r="12">
      <c r="A12" s="11" t="n">
        <v>9</v>
      </c>
      <c r="B12" s="11" t="inlineStr">
        <is>
          <t>長井市</t>
        </is>
      </c>
      <c r="C12" s="12">
        <f>IF(OR(D12="◎",E12="◎"),"◎ 営業",IF(OR(D12="△",E12="△"),"△ 着手済・要確認",IF(OR(D12="？",E12="？"),"？ 期間要確認","✕ 対象外")))</f>
        <v/>
      </c>
      <c r="D12" s="13">
        <f>IF(J12="計画なし","－",IF(J12="策定済","✕",IF(H12="","？",IF(AND(H12&gt;=TGT_MIN,H12&lt;=TGT_MAX),IF(J12="着手済","△","◎"),"✕"))))</f>
        <v/>
      </c>
      <c r="E12" s="13">
        <f>IF(P12="計画なし","－",IF(P12="策定済","✕",IF(N12="","？",IF(AND(N12&gt;=TGT_MIN,N12&lt;=TGT_MAX),IF(P12="着手済","△","◎"),"✕"))))</f>
        <v/>
      </c>
      <c r="F12" s="11" t="inlineStr">
        <is>
          <t>長井市地域公共交通計画（案）</t>
        </is>
      </c>
      <c r="G12" s="11" t="inlineStr">
        <is>
          <t>不明</t>
        </is>
      </c>
      <c r="H12" s="13" t="n"/>
      <c r="I12" s="13" t="inlineStr">
        <is>
          <t>不明</t>
        </is>
      </c>
      <c r="J12" s="13" t="inlineStr">
        <is>
          <t>着手済</t>
        </is>
      </c>
      <c r="K12" s="14" t="inlineStr">
        <is>
          <t>https://www.city.nagai.yamagata.jp/kurashi_tetsuzuki/kokyokotsu/1/15982.html</t>
        </is>
      </c>
      <c r="L12" s="11" t="inlineStr">
        <is>
          <t>第4次長井市環境基本計画</t>
        </is>
      </c>
      <c r="M12" s="11" t="inlineStr">
        <is>
          <t>R6〜R15</t>
        </is>
      </c>
      <c r="N12" s="13" t="n">
        <v>15</v>
      </c>
      <c r="O12" s="13" t="inlineStr">
        <is>
          <t>確認済</t>
        </is>
      </c>
      <c r="P12" s="13" t="inlineStr">
        <is>
          <t>未確認</t>
        </is>
      </c>
      <c r="Q12" s="14" t="inlineStr">
        <is>
          <t>https://www.city.nagai.yamagata.jp/soshiki/sougoseisaku/106/205/6/sisakukeikaku/13731.html</t>
        </is>
      </c>
      <c r="R12" s="11" t="inlineStr">
        <is>
          <t>交通：これまでは県計画内の利便増進実施計画（長井市版、R3〜R7）で対応。市独自の地域公共交通計画（案）のパブコメをR8.3.12〜3.25に実施、策定完了・期間は未確認。R7交通空白解消緊急対策事業調査検討業務プロポーザルあり https://www.city.nagai.yamagata.jp/soshiki/chiikidukuri/105/201/1/15228.html 。</t>
        </is>
      </c>
      <c r="S12" s="15" t="inlineStr">
        <is>
          <t>調査済</t>
        </is>
      </c>
      <c r="T12" s="11" t="inlineStr">
        <is>
          <t>掲載（広域：フラワー長井線沿線）</t>
        </is>
      </c>
    </row>
    <row r="13">
      <c r="A13" s="11" t="n">
        <v>10</v>
      </c>
      <c r="B13" s="11" t="inlineStr">
        <is>
          <t>天童市</t>
        </is>
      </c>
      <c r="C13" s="12">
        <f>IF(OR(D13="◎",E13="◎"),"◎ 営業",IF(OR(D13="△",E13="△"),"△ 着手済・要確認",IF(OR(D13="？",E13="？"),"？ 期間要確認","✕ 対象外")))</f>
        <v/>
      </c>
      <c r="D13" s="13">
        <f>IF(J13="計画なし","－",IF(J13="策定済","✕",IF(H13="","？",IF(AND(H13&gt;=TGT_MIN,H13&lt;=TGT_MAX),IF(J13="着手済","△","◎"),"✕"))))</f>
        <v/>
      </c>
      <c r="E13" s="13">
        <f>IF(P13="計画なし","－",IF(P13="策定済","✕",IF(N13="","？",IF(AND(N13&gt;=TGT_MIN,N13&lt;=TGT_MAX),IF(P13="着手済","△","◎"),"✕"))))</f>
        <v/>
      </c>
      <c r="F13" s="11" t="inlineStr">
        <is>
          <t>山形県地域公共交通計画（県・市町村共同、次期計画R8.3.27策定）</t>
        </is>
      </c>
      <c r="G13" s="11" t="inlineStr">
        <is>
          <t>R8〜不明</t>
        </is>
      </c>
      <c r="H13" s="16" t="n"/>
      <c r="I13" s="13" t="inlineStr">
        <is>
          <t>推定</t>
        </is>
      </c>
      <c r="J13" s="13" t="inlineStr">
        <is>
          <t>策定済</t>
        </is>
      </c>
      <c r="K13" s="14" t="inlineStr">
        <is>
          <t>https://www.pref.yamagata.jp/020057/kurashi/kendo/kotsuseisaku/ykotsu_kasseikakyougikai.html</t>
        </is>
      </c>
      <c r="L13" s="11" t="inlineStr">
        <is>
          <t>第三次天童市環境基本計画</t>
        </is>
      </c>
      <c r="M13" s="11" t="inlineStr">
        <is>
          <t>R4〜R13</t>
        </is>
      </c>
      <c r="N13" s="13" t="n">
        <v>13</v>
      </c>
      <c r="O13" s="13" t="inlineStr">
        <is>
          <t>確認済</t>
        </is>
      </c>
      <c r="P13" s="13" t="inlineStr">
        <is>
          <t>未確認</t>
        </is>
      </c>
      <c r="Q13" s="14" t="inlineStr">
        <is>
          <t>https://www.city.tendo.yamagata.jp/municipal/shisaku/kannkyoukihonn.html</t>
        </is>
      </c>
      <c r="R13" s="11" t="inlineStr">
        <is>
          <t>交通：市単独の地域公共交通計画は検索で見当たらず（地域公共交通会議で市民バス等を協議）。山形県地域公共交通計画（前計画R3〜R7）は市町村の利便増進実施計画等を内包する県全域計画。次期計画はR8.2パブコメ（https://www200.pref.yamagata.jp/020057/keikakupabukomepress2.html ）を経てR8.3.27策定（期間は未確認、R8開始）。</t>
        </is>
      </c>
      <c r="S13" s="15" t="inlineStr">
        <is>
          <t>調査済</t>
        </is>
      </c>
      <c r="T13" s="17" t="inlineStr">
        <is>
          <t>未掲載【当方は計画あり】</t>
        </is>
      </c>
    </row>
    <row r="14">
      <c r="A14" s="11" t="n">
        <v>11</v>
      </c>
      <c r="B14" s="11" t="inlineStr">
        <is>
          <t>東根市</t>
        </is>
      </c>
      <c r="C14" s="12">
        <f>IF(OR(D14="◎",E14="◎"),"◎ 営業",IF(OR(D14="△",E14="△"),"△ 着手済・要確認",IF(OR(D14="？",E14="？"),"？ 期間要確認","✕ 対象外")))</f>
        <v/>
      </c>
      <c r="D14" s="13">
        <f>IF(J14="計画なし","－",IF(J14="策定済","✕",IF(H14="","？",IF(AND(H14&gt;=TGT_MIN,H14&lt;=TGT_MAX),IF(J14="着手済","△","◎"),"✕"))))</f>
        <v/>
      </c>
      <c r="E14" s="13">
        <f>IF(P14="計画なし","－",IF(P14="策定済","✕",IF(N14="","？",IF(AND(N14&gt;=TGT_MIN,N14&lt;=TGT_MAX),IF(P14="着手済","△","◎"),"✕"))))</f>
        <v/>
      </c>
      <c r="F14" s="11" t="inlineStr">
        <is>
          <t>山形県地域公共交通計画（県・市町村共同、次期計画R8.3.27策定）</t>
        </is>
      </c>
      <c r="G14" s="11" t="inlineStr">
        <is>
          <t>R8〜不明</t>
        </is>
      </c>
      <c r="H14" s="16" t="n"/>
      <c r="I14" s="13" t="inlineStr">
        <is>
          <t>推定</t>
        </is>
      </c>
      <c r="J14" s="13" t="inlineStr">
        <is>
          <t>策定済</t>
        </is>
      </c>
      <c r="K14" s="14" t="inlineStr">
        <is>
          <t>https://www.pref.yamagata.jp/020057/kurashi/kendo/kotsuseisaku/ykotsu_kasseikakyougikai.html</t>
        </is>
      </c>
      <c r="L14" s="11" t="inlineStr">
        <is>
          <t>第３次東根市大けやき環境基本計画</t>
        </is>
      </c>
      <c r="M14" s="11" t="inlineStr">
        <is>
          <t>R5〜R14（10年間）</t>
        </is>
      </c>
      <c r="N14" s="13" t="n">
        <v>14</v>
      </c>
      <c r="O14" s="13" t="inlineStr">
        <is>
          <t>確認済</t>
        </is>
      </c>
      <c r="P14" s="13" t="inlineStr">
        <is>
          <t>未確認</t>
        </is>
      </c>
      <c r="Q14" s="14" t="inlineStr">
        <is>
          <t>https://www.city.higashine.yamagata.jp/section_list/section008/seikatsukankyo-keikaku/169</t>
        </is>
      </c>
      <c r="R14" s="11" t="inlineStr">
        <is>
          <t>交通：市単独の地域公共交通計画は見当たらず（市民バス運行、県計画を踏まえる）。山形県地域公共交通計画（前計画R3〜R7）は市町村の利便増進実施計画等を内包する県全域計画。次期計画はR8.2パブコメ（https://www200.pref.yamagata.jp/020057/keikakupabukomepress2.html ）を経てR8.3.27策定（期間は未確認、R8開始）。 環境：前計画H25〜R4の後継としてR4年度に第3次策定（期間は未確認、R5開始と推定）。 【追加調査 2026-10】環境：第3次東根市大けやき環境基本計画はR4年度策定、計画期間R5〜R14（2023〜2032年度）の10年間。前計画（改訂版）はH25〜R4。計画ページ https://www.city.higashine.yamagata.jp/section_list/section008/seikatsukankyo-keikaku/169 （本編・概要版PDF掲載）。 根拠: The third version covers the period from R5 to R14 (fiscal year 2023 to fiscal year 2032)</t>
        </is>
      </c>
      <c r="S14" s="15" t="inlineStr">
        <is>
          <t>調査済</t>
        </is>
      </c>
      <c r="T14" s="17" t="inlineStr">
        <is>
          <t>未掲載【当方は計画あり】</t>
        </is>
      </c>
    </row>
    <row r="15">
      <c r="A15" s="11" t="n">
        <v>12</v>
      </c>
      <c r="B15" s="11" t="inlineStr">
        <is>
          <t>尾花沢市</t>
        </is>
      </c>
      <c r="C15" s="12">
        <f>IF(OR(D15="◎",E15="◎"),"◎ 営業",IF(OR(D15="△",E15="△"),"△ 着手済・要確認",IF(OR(D15="？",E15="？"),"？ 期間要確認","✕ 対象外")))</f>
        <v/>
      </c>
      <c r="D15" s="13">
        <f>IF(J15="計画なし","－",IF(J15="策定済","✕",IF(H15="","？",IF(AND(H15&gt;=TGT_MIN,H15&lt;=TGT_MAX),IF(J15="着手済","△","◎"),"✕"))))</f>
        <v/>
      </c>
      <c r="E15" s="13">
        <f>IF(P15="計画なし","－",IF(P15="策定済","✕",IF(N15="","？",IF(AND(N15&gt;=TGT_MIN,N15&lt;=TGT_MAX),IF(P15="着手済","△","◎"),"✕"))))</f>
        <v/>
      </c>
      <c r="F15" s="11" t="inlineStr">
        <is>
          <t>山形県地域公共交通計画（県・市町村共同、次期計画R8.3.27策定）</t>
        </is>
      </c>
      <c r="G15" s="11" t="inlineStr">
        <is>
          <t>R8〜不明</t>
        </is>
      </c>
      <c r="H15" s="16" t="n"/>
      <c r="I15" s="13" t="inlineStr">
        <is>
          <t>推定</t>
        </is>
      </c>
      <c r="J15" s="13" t="inlineStr">
        <is>
          <t>策定済</t>
        </is>
      </c>
      <c r="K15" s="14" t="inlineStr">
        <is>
          <t>https://www.pref.yamagata.jp/020057/kurashi/kendo/kotsuseisaku/ykotsu_kasseikakyougikai.html</t>
        </is>
      </c>
      <c r="L15" s="11" t="inlineStr">
        <is>
          <t>尾花沢市環境基本計画（令和4年〜令和13年）</t>
        </is>
      </c>
      <c r="M15" s="11" t="inlineStr">
        <is>
          <t>R4〜R13</t>
        </is>
      </c>
      <c r="N15" s="13" t="n">
        <v>13</v>
      </c>
      <c r="O15" s="13" t="inlineStr">
        <is>
          <t>確認済</t>
        </is>
      </c>
      <c r="P15" s="13" t="inlineStr">
        <is>
          <t>未確認</t>
        </is>
      </c>
      <c r="Q15" s="14" t="inlineStr">
        <is>
          <t>https://www.city.obanazawa.yamagata.jp/kurashi/kankyo/kankyo-shisaku/715</t>
        </is>
      </c>
      <c r="R15" s="11" t="inlineStr">
        <is>
          <t>交通：市単独の地域公共交通計画は見当たらず。R7.10から一部路線バス休止・AIデマンド交通へ移行。山形県地域公共交通計画（前計画R3〜R7）は市町村の利便増進実施計画等を内包する県全域計画。次期計画はR8.2パブコメ（https://www200.pref.yamagata.jp/020057/keikakupabukomepress2.html ）を経てR8.3.27策定（期間は未確認、R8開始）。</t>
        </is>
      </c>
      <c r="S15" s="15" t="inlineStr">
        <is>
          <t>調査済</t>
        </is>
      </c>
      <c r="T15" s="17" t="inlineStr">
        <is>
          <t>未掲載【当方は計画あり】</t>
        </is>
      </c>
    </row>
    <row r="16">
      <c r="A16" s="11" t="n">
        <v>13</v>
      </c>
      <c r="B16" s="11" t="inlineStr">
        <is>
          <t>南陽市</t>
        </is>
      </c>
      <c r="C16" s="12">
        <f>IF(OR(D16="◎",E16="◎"),"◎ 営業",IF(OR(D16="△",E16="△"),"△ 着手済・要確認",IF(OR(D16="？",E16="？"),"？ 期間要確認","✕ 対象外")))</f>
        <v/>
      </c>
      <c r="D16" s="13">
        <f>IF(J16="計画なし","－",IF(J16="策定済","✕",IF(H16="","？",IF(AND(H16&gt;=TGT_MIN,H16&lt;=TGT_MAX),IF(J16="着手済","△","◎"),"✕"))))</f>
        <v/>
      </c>
      <c r="E16" s="13">
        <f>IF(P16="計画なし","－",IF(P16="策定済","✕",IF(N16="","？",IF(AND(N16&gt;=TGT_MIN,N16&lt;=TGT_MAX),IF(P16="着手済","△","◎"),"✕"))))</f>
        <v/>
      </c>
      <c r="F16" s="11" t="inlineStr">
        <is>
          <t>南陽市地域公共交通計画（案）</t>
        </is>
      </c>
      <c r="G16" s="11" t="inlineStr">
        <is>
          <t>不明</t>
        </is>
      </c>
      <c r="H16" s="13" t="n"/>
      <c r="I16" s="13" t="inlineStr">
        <is>
          <t>不明</t>
        </is>
      </c>
      <c r="J16" s="13" t="inlineStr">
        <is>
          <t>着手済</t>
        </is>
      </c>
      <c r="K16" s="14" t="inlineStr">
        <is>
          <t>http://www.city.nanyo.yamagata.jp/kikakusuishin/6356</t>
        </is>
      </c>
      <c r="L16" s="11" t="n"/>
      <c r="M16" s="11" t="inlineStr">
        <is>
          <t>不明</t>
        </is>
      </c>
      <c r="N16" s="13" t="n"/>
      <c r="O16" s="13" t="inlineStr">
        <is>
          <t>不明</t>
        </is>
      </c>
      <c r="P16" s="13" t="inlineStr">
        <is>
          <t>計画なし</t>
        </is>
      </c>
      <c r="Q16" s="11" t="n"/>
      <c r="R16" s="11" t="inlineStr">
        <is>
          <t>交通：県計画(R3〜R7)終了に合わせR7年度に市独自の地域公共交通計画を策定（R7.5 協議会 http://www.city.nanyo.yamagata.jp/tiikikoukyoukoutuu/6089 、R7施政方針）。計画案のパブコメ実施を確認、策定完了・期間は未確認。環境：環境基本計画は検索で見当たらず。代替として地球温暖化対策実行計画（区域施策編）R5〜R12（R7.12一部改正）http://www.city.nanyo.yamagata.jp/up/files/siminkurasi/tikyuuonndannka/kuikishisakuhen_honpen(R7).pdf 。</t>
        </is>
      </c>
      <c r="S16" s="15" t="inlineStr">
        <is>
          <t>調査済</t>
        </is>
      </c>
      <c r="T16" s="11" t="inlineStr">
        <is>
          <t>掲載（広域：フラワー長井線沿線）</t>
        </is>
      </c>
    </row>
    <row r="17">
      <c r="A17" s="11" t="n">
        <v>14</v>
      </c>
      <c r="B17" s="11" t="inlineStr">
        <is>
          <t>山辺町</t>
        </is>
      </c>
      <c r="C17" s="12">
        <f>IF(OR(D17="◎",E17="◎"),"◎ 営業",IF(OR(D17="△",E17="△"),"△ 着手済・要確認",IF(OR(D17="？",E17="？"),"？ 期間要確認","✕ 対象外")))</f>
        <v/>
      </c>
      <c r="D17" s="13">
        <f>IF(J17="計画なし","－",IF(J17="策定済","✕",IF(H17="","？",IF(AND(H17&gt;=TGT_MIN,H17&lt;=TGT_MAX),IF(J17="着手済","△","◎"),"✕"))))</f>
        <v/>
      </c>
      <c r="E17" s="13">
        <f>IF(P17="計画なし","－",IF(P17="策定済","✕",IF(N17="","？",IF(AND(N17&gt;=TGT_MIN,N17&lt;=TGT_MAX),IF(P17="着手済","△","◎"),"✕"))))</f>
        <v/>
      </c>
      <c r="F17" s="11" t="inlineStr">
        <is>
          <t>山形県地域公共交通計画（県・市町村共同、次期計画R8.3.27策定）</t>
        </is>
      </c>
      <c r="G17" s="11" t="inlineStr">
        <is>
          <t>R8〜不明</t>
        </is>
      </c>
      <c r="H17" s="16" t="n"/>
      <c r="I17" s="13" t="inlineStr">
        <is>
          <t>推定</t>
        </is>
      </c>
      <c r="J17" s="13" t="inlineStr">
        <is>
          <t>策定済</t>
        </is>
      </c>
      <c r="K17" s="14" t="inlineStr">
        <is>
          <t>https://www.pref.yamagata.jp/020057/kurashi/kendo/kotsuseisaku/ykotsu_kasseikakyougikai.html</t>
        </is>
      </c>
      <c r="L17" s="11" t="n"/>
      <c r="M17" s="11" t="inlineStr">
        <is>
          <t>不明</t>
        </is>
      </c>
      <c r="N17" s="13" t="n"/>
      <c r="O17" s="13" t="inlineStr">
        <is>
          <t>不明</t>
        </is>
      </c>
      <c r="P17" s="13" t="inlineStr">
        <is>
          <t>計画なし</t>
        </is>
      </c>
      <c r="Q17" s="11" t="n"/>
      <c r="R17" s="11" t="inlineStr">
        <is>
          <t>交通：町単独の地域公共交通計画は見当たらず。旧『山辺町生活交通ネットワーク計画』https://www.town.yamanobe.yamagata.jp/uploaded/attachment/465.pdf あり、コミュニティバス運行。山形県地域公共交通計画（前計画R3〜R7）は市町村の利便増進実施計画等を内包する県全域計画。次期計画はR8.2パブコメ（https://www200.pref.yamagata.jp/020057/keikakupabukomepress2.html ）を経てR8.3.27策定（期間は未確認、R8開始）。 環境：環境基本計画は検索で見当たらず。</t>
        </is>
      </c>
      <c r="S17" s="15" t="inlineStr">
        <is>
          <t>調査済</t>
        </is>
      </c>
      <c r="T17" s="17" t="inlineStr">
        <is>
          <t>未掲載【当方は計画あり】</t>
        </is>
      </c>
    </row>
    <row r="18">
      <c r="A18" s="11" t="n">
        <v>15</v>
      </c>
      <c r="B18" s="11" t="inlineStr">
        <is>
          <t>中山町</t>
        </is>
      </c>
      <c r="C18" s="12">
        <f>IF(OR(D18="◎",E18="◎"),"◎ 営業",IF(OR(D18="△",E18="△"),"△ 着手済・要確認",IF(OR(D18="？",E18="？"),"？ 期間要確認","✕ 対象外")))</f>
        <v/>
      </c>
      <c r="D18" s="13">
        <f>IF(J18="計画なし","－",IF(J18="策定済","✕",IF(H18="","？",IF(AND(H18&gt;=TGT_MIN,H18&lt;=TGT_MAX),IF(J18="着手済","△","◎"),"✕"))))</f>
        <v/>
      </c>
      <c r="E18" s="13">
        <f>IF(P18="計画なし","－",IF(P18="策定済","✕",IF(N18="","？",IF(AND(N18&gt;=TGT_MIN,N18&lt;=TGT_MAX),IF(P18="着手済","△","◎"),"✕"))))</f>
        <v/>
      </c>
      <c r="F18" s="11" t="inlineStr">
        <is>
          <t>山形県地域公共交通計画（県・市町村共同、次期計画R8.3.27策定）</t>
        </is>
      </c>
      <c r="G18" s="11" t="inlineStr">
        <is>
          <t>R8〜不明</t>
        </is>
      </c>
      <c r="H18" s="16" t="n"/>
      <c r="I18" s="13" t="inlineStr">
        <is>
          <t>推定</t>
        </is>
      </c>
      <c r="J18" s="13" t="inlineStr">
        <is>
          <t>策定済</t>
        </is>
      </c>
      <c r="K18" s="14" t="inlineStr">
        <is>
          <t>https://www.pref.yamagata.jp/020057/kurashi/kendo/kotsuseisaku/ykotsu_kasseikakyougikai.html</t>
        </is>
      </c>
      <c r="L18" s="11" t="n"/>
      <c r="M18" s="11" t="inlineStr">
        <is>
          <t>不明</t>
        </is>
      </c>
      <c r="N18" s="13" t="n"/>
      <c r="O18" s="13" t="inlineStr">
        <is>
          <t>不明</t>
        </is>
      </c>
      <c r="P18" s="13" t="inlineStr">
        <is>
          <t>計画なし</t>
        </is>
      </c>
      <c r="Q18" s="11" t="n"/>
      <c r="R18" s="11" t="inlineStr">
        <is>
          <t>交通：町単独の地域公共交通計画は見当たらず。『中山町生活交通ネットワーク計画』策定（パブコメ結果 https://www.town.nakayama.yamagata.jp/soshiki/seisaku/machidukurisuishin/251.html 、期間未確認）。山形県地域公共交通計画（前計画R3〜R7）は市町村の利便増進実施計画等を内包する県全域計画。次期計画はR8.2パブコメ（https://www200.pref.yamagata.jp/020057/keikakupabukomepress2.html ）を経てR8.3.27策定（期間は未確認、R8開始）。 環境：環境基本計画は検索で見当たらず。</t>
        </is>
      </c>
      <c r="S18" s="15" t="inlineStr">
        <is>
          <t>調査済</t>
        </is>
      </c>
      <c r="T18" s="17" t="inlineStr">
        <is>
          <t>未掲載【当方は計画あり】</t>
        </is>
      </c>
    </row>
    <row r="19">
      <c r="A19" s="11" t="n">
        <v>16</v>
      </c>
      <c r="B19" s="11" t="inlineStr">
        <is>
          <t>河北町</t>
        </is>
      </c>
      <c r="C19" s="12">
        <f>IF(OR(D19="◎",E19="◎"),"◎ 営業",IF(OR(D19="△",E19="△"),"△ 着手済・要確認",IF(OR(D19="？",E19="？"),"？ 期間要確認","✕ 対象外")))</f>
        <v/>
      </c>
      <c r="D19" s="13">
        <f>IF(J19="計画なし","－",IF(J19="策定済","✕",IF(H19="","？",IF(AND(H19&gt;=TGT_MIN,H19&lt;=TGT_MAX),IF(J19="着手済","△","◎"),"✕"))))</f>
        <v/>
      </c>
      <c r="E19" s="13">
        <f>IF(P19="計画なし","－",IF(P19="策定済","✕",IF(N19="","？",IF(AND(N19&gt;=TGT_MIN,N19&lt;=TGT_MAX),IF(P19="着手済","△","◎"),"✕"))))</f>
        <v/>
      </c>
      <c r="F19" s="11" t="inlineStr">
        <is>
          <t>河北町地域公共交通計画（総合計画で言及）</t>
        </is>
      </c>
      <c r="G19" s="11" t="inlineStr">
        <is>
          <t>不明</t>
        </is>
      </c>
      <c r="H19" s="13" t="n"/>
      <c r="I19" s="13" t="inlineStr">
        <is>
          <t>不明</t>
        </is>
      </c>
      <c r="J19" s="13" t="inlineStr">
        <is>
          <t>未確認</t>
        </is>
      </c>
      <c r="K19" s="11" t="n"/>
      <c r="L19" s="11" t="inlineStr">
        <is>
          <t>第3次雛とべに花の里環境基本計画</t>
        </is>
      </c>
      <c r="M19" s="11" t="inlineStr">
        <is>
          <t>R6〜R15</t>
        </is>
      </c>
      <c r="N19" s="13" t="n">
        <v>15</v>
      </c>
      <c r="O19" s="13" t="inlineStr">
        <is>
          <t>確認済</t>
        </is>
      </c>
      <c r="P19" s="13" t="inlineStr">
        <is>
          <t>未確認</t>
        </is>
      </c>
      <c r="Q19" s="14" t="inlineStr">
        <is>
          <t>https://www.town.kahoku.yamagata.jp/gyouseizyouhou/seisaku_keikaku/keikaku_matizukuri/index.html</t>
        </is>
      </c>
      <c r="R19" s="11" t="inlineStr">
        <is>
          <t>交通：第8次総合計画に町地域公共交通計画への言及があるが計画書・期間は検索で確認できず（公共交通ページ https://www.town.kahoku.yamagata.jp/kurasi_tetuzuki/douro_koutuu/koukyoukoutuu/index.html ）。県計画（山形県地域公共交通計画（県・市町村共同、次期計画R8.3.27策定））も対象。環境：第3次（区域施策編を包含）R6年度から10年間。</t>
        </is>
      </c>
      <c r="S19" s="15" t="inlineStr">
        <is>
          <t>調査済</t>
        </is>
      </c>
      <c r="T19" s="11" t="inlineStr">
        <is>
          <t>掲載</t>
        </is>
      </c>
    </row>
    <row r="20">
      <c r="A20" s="11" t="n">
        <v>17</v>
      </c>
      <c r="B20" s="11" t="inlineStr">
        <is>
          <t>西川町</t>
        </is>
      </c>
      <c r="C20" s="12">
        <f>IF(OR(D20="◎",E20="◎"),"◎ 営業",IF(OR(D20="△",E20="△"),"△ 着手済・要確認",IF(OR(D20="？",E20="？"),"？ 期間要確認","✕ 対象外")))</f>
        <v/>
      </c>
      <c r="D20" s="13">
        <f>IF(J20="計画なし","－",IF(J20="策定済","✕",IF(H20="","？",IF(AND(H20&gt;=TGT_MIN,H20&lt;=TGT_MAX),IF(J20="着手済","△","◎"),"✕"))))</f>
        <v/>
      </c>
      <c r="E20" s="13">
        <f>IF(P20="計画なし","－",IF(P20="策定済","✕",IF(N20="","？",IF(AND(N20&gt;=TGT_MIN,N20&lt;=TGT_MAX),IF(P20="着手済","△","◎"),"✕"))))</f>
        <v/>
      </c>
      <c r="F20" s="11" t="inlineStr">
        <is>
          <t>西川町地域公共交通計画</t>
        </is>
      </c>
      <c r="G20" s="11" t="inlineStr">
        <is>
          <t>R4〜R8</t>
        </is>
      </c>
      <c r="H20" s="16" t="n">
        <v>8</v>
      </c>
      <c r="I20" s="13" t="inlineStr">
        <is>
          <t>推定</t>
        </is>
      </c>
      <c r="J20" s="13" t="inlineStr">
        <is>
          <t>未確認</t>
        </is>
      </c>
      <c r="K20" s="14" t="inlineStr">
        <is>
          <t>https://www.town.nishikawa.yamagata.jp/uploaded/attachment/510.pdf</t>
        </is>
      </c>
      <c r="L20" s="11" t="n"/>
      <c r="M20" s="11" t="inlineStr">
        <is>
          <t>不明</t>
        </is>
      </c>
      <c r="N20" s="13" t="n"/>
      <c r="O20" s="13" t="inlineStr">
        <is>
          <t>不明</t>
        </is>
      </c>
      <c r="P20" s="13" t="inlineStr">
        <is>
          <t>計画なし</t>
        </is>
      </c>
      <c r="Q20" s="11" t="n"/>
      <c r="R20" s="11" t="inlineStr">
        <is>
          <t>交通：R4.3策定（計画ページ https://www.town.nishikawa.yamagata.jp/soshiki/chomin/1317.html ）。期間は5年と仮定するとR8終期（未確認・要確認）。次期計画の着手は未確認。環境：環境基本計画は検索で見当たらず（ゼロカーボンシティ宣言あり）。</t>
        </is>
      </c>
      <c r="S20" s="15" t="inlineStr">
        <is>
          <t>調査済</t>
        </is>
      </c>
      <c r="T20" s="11" t="inlineStr">
        <is>
          <t>掲載</t>
        </is>
      </c>
    </row>
    <row r="21">
      <c r="A21" s="11" t="n">
        <v>18</v>
      </c>
      <c r="B21" s="11" t="inlineStr">
        <is>
          <t>朝日町</t>
        </is>
      </c>
      <c r="C21" s="12">
        <f>IF(OR(D21="◎",E21="◎"),"◎ 営業",IF(OR(D21="△",E21="△"),"△ 着手済・要確認",IF(OR(D21="？",E21="？"),"？ 期間要確認","✕ 対象外")))</f>
        <v/>
      </c>
      <c r="D21" s="13">
        <f>IF(J21="計画なし","－",IF(J21="策定済","✕",IF(H21="","？",IF(AND(H21&gt;=TGT_MIN,H21&lt;=TGT_MAX),IF(J21="着手済","△","◎"),"✕"))))</f>
        <v/>
      </c>
      <c r="E21" s="13">
        <f>IF(P21="計画なし","－",IF(P21="策定済","✕",IF(N21="","？",IF(AND(N21&gt;=TGT_MIN,N21&lt;=TGT_MAX),IF(P21="着手済","△","◎"),"✕"))))</f>
        <v/>
      </c>
      <c r="F21" s="11" t="inlineStr">
        <is>
          <t>山形県地域公共交通計画（県・市町村共同、次期計画R8.3.27策定）</t>
        </is>
      </c>
      <c r="G21" s="11" t="inlineStr">
        <is>
          <t>R8〜不明</t>
        </is>
      </c>
      <c r="H21" s="16" t="n"/>
      <c r="I21" s="13" t="inlineStr">
        <is>
          <t>推定</t>
        </is>
      </c>
      <c r="J21" s="13" t="inlineStr">
        <is>
          <t>策定済</t>
        </is>
      </c>
      <c r="K21" s="14" t="inlineStr">
        <is>
          <t>https://www.pref.yamagata.jp/020057/kurashi/kendo/kotsuseisaku/ykotsu_kasseikakyougikai.html</t>
        </is>
      </c>
      <c r="L21" s="11" t="inlineStr">
        <is>
          <t>第2次朝日町環境基本計画</t>
        </is>
      </c>
      <c r="M21" s="11" t="inlineStr">
        <is>
          <t>H30〜R9</t>
        </is>
      </c>
      <c r="N21" s="13" t="n">
        <v>9</v>
      </c>
      <c r="O21" s="13" t="inlineStr">
        <is>
          <t>確認済</t>
        </is>
      </c>
      <c r="P21" s="13" t="inlineStr">
        <is>
          <t>未確認</t>
        </is>
      </c>
      <c r="Q21" s="14" t="inlineStr">
        <is>
          <t>https://www.town.asahi.yamagata.jp/portal/soshikinogoannai/somuka/bosaigakari/3_1/3/2438.html</t>
        </is>
      </c>
      <c r="R21" s="11" t="inlineStr">
        <is>
          <t>環境：H30.3策定（第1次H23.3、見直し版あり）。第6次総合発展計画（H30〜R9の10年）と同期間とみられR9終期（計画書本文での期間記載は未確認）。次期計画着手は未確認・営業候補。交通：町単独の法定計画は見当たらず（旧・地域公共交通総合連携計画H22.3、H30活性化協議会設置）。山形県地域公共交通計画（前計画R3〜R7）は市町村の利便増進実施計画等を内包する県全域計画。次期計画はR8.2パブコメ（https://www200.pref.yamagata.jp/020057/keikakupabukomepress2.html ）を経てR8.3.27策定（期間は未確認、R8開始）。 【ファクトチェック 2026-10-01: 正しい】確認期間: H30〜R9（2018〜2027年度）／次期: 確認できず（第3次計画の情報なし）／根拠: https://www.town.asahi.yamagata.jp/portal/soshikinogoannai/somuka/bosaigakari/3_1/3/2438.html</t>
        </is>
      </c>
      <c r="S21" s="15" t="inlineStr">
        <is>
          <t>調査済</t>
        </is>
      </c>
      <c r="T21" s="17" t="inlineStr">
        <is>
          <t>未掲載【当方は計画あり】</t>
        </is>
      </c>
    </row>
    <row r="22">
      <c r="A22" s="11" t="n">
        <v>19</v>
      </c>
      <c r="B22" s="11" t="inlineStr">
        <is>
          <t>大江町</t>
        </is>
      </c>
      <c r="C22" s="12">
        <f>IF(OR(D22="◎",E22="◎"),"◎ 営業",IF(OR(D22="△",E22="△"),"△ 着手済・要確認",IF(OR(D22="？",E22="？"),"？ 期間要確認","✕ 対象外")))</f>
        <v/>
      </c>
      <c r="D22" s="13">
        <f>IF(J22="計画なし","－",IF(J22="策定済","✕",IF(H22="","？",IF(AND(H22&gt;=TGT_MIN,H22&lt;=TGT_MAX),IF(J22="着手済","△","◎"),"✕"))))</f>
        <v/>
      </c>
      <c r="E22" s="13">
        <f>IF(P22="計画なし","－",IF(P22="策定済","✕",IF(N22="","？",IF(AND(N22&gt;=TGT_MIN,N22&lt;=TGT_MAX),IF(P22="着手済","△","◎"),"✕"))))</f>
        <v/>
      </c>
      <c r="F22" s="11" t="inlineStr">
        <is>
          <t>山形県地域公共交通計画（県・市町村共同、次期計画R8.3.27策定）</t>
        </is>
      </c>
      <c r="G22" s="11" t="inlineStr">
        <is>
          <t>R8〜不明</t>
        </is>
      </c>
      <c r="H22" s="16" t="n"/>
      <c r="I22" s="13" t="inlineStr">
        <is>
          <t>推定</t>
        </is>
      </c>
      <c r="J22" s="13" t="inlineStr">
        <is>
          <t>策定済</t>
        </is>
      </c>
      <c r="K22" s="14" t="inlineStr">
        <is>
          <t>https://www.pref.yamagata.jp/020057/kurashi/kendo/kotsuseisaku/ykotsu_kasseikakyougikai.html</t>
        </is>
      </c>
      <c r="L22" s="11" t="inlineStr">
        <is>
          <t>第3次大江町環境基本計画</t>
        </is>
      </c>
      <c r="M22" s="11" t="inlineStr">
        <is>
          <t>R7〜R12</t>
        </is>
      </c>
      <c r="N22" s="13" t="n">
        <v>12</v>
      </c>
      <c r="O22" s="13" t="inlineStr">
        <is>
          <t>確認済</t>
        </is>
      </c>
      <c r="P22" s="13" t="inlineStr">
        <is>
          <t>未確認</t>
        </is>
      </c>
      <c r="Q22" s="14" t="inlineStr">
        <is>
          <t>https://www.town.oe.yamagata.jp/government/mainpolicy/keikaku/</t>
        </is>
      </c>
      <c r="R22" s="11" t="inlineStr">
        <is>
          <t>交通：町単独の地域公共交通計画は見当たらず。山形県地域公共交通計画（前計画R3〜R7）は市町村の利便増進実施計画等を内包する県全域計画。次期計画はR8.2パブコメ（https://www200.pref.yamagata.jp/020057/keikakupabukomepress2.html ）を経てR8.3.27策定（期間は未確認、R8開始）。 環境：第3次はR7〜R12年度（主な計画ページで確認）。</t>
        </is>
      </c>
      <c r="S22" s="15" t="inlineStr">
        <is>
          <t>調査済</t>
        </is>
      </c>
      <c r="T22" s="17" t="inlineStr">
        <is>
          <t>未掲載【当方は計画あり】</t>
        </is>
      </c>
    </row>
    <row r="23">
      <c r="A23" s="11" t="n">
        <v>20</v>
      </c>
      <c r="B23" s="11" t="inlineStr">
        <is>
          <t>大石田町</t>
        </is>
      </c>
      <c r="C23" s="12">
        <f>IF(OR(D23="◎",E23="◎"),"◎ 営業",IF(OR(D23="△",E23="△"),"△ 着手済・要確認",IF(OR(D23="？",E23="？"),"？ 期間要確認","✕ 対象外")))</f>
        <v/>
      </c>
      <c r="D23" s="13">
        <f>IF(J23="計画なし","－",IF(J23="策定済","✕",IF(H23="","？",IF(AND(H23&gt;=TGT_MIN,H23&lt;=TGT_MAX),IF(J23="着手済","△","◎"),"✕"))))</f>
        <v/>
      </c>
      <c r="E23" s="13">
        <f>IF(P23="計画なし","－",IF(P23="策定済","✕",IF(N23="","？",IF(AND(N23&gt;=TGT_MIN,N23&lt;=TGT_MAX),IF(P23="着手済","△","◎"),"✕"))))</f>
        <v/>
      </c>
      <c r="F23" s="11" t="inlineStr">
        <is>
          <t>山形県地域公共交通計画（県・市町村共同、次期計画R8.3.27策定）</t>
        </is>
      </c>
      <c r="G23" s="11" t="inlineStr">
        <is>
          <t>R8〜不明</t>
        </is>
      </c>
      <c r="H23" s="16" t="n"/>
      <c r="I23" s="13" t="inlineStr">
        <is>
          <t>推定</t>
        </is>
      </c>
      <c r="J23" s="13" t="inlineStr">
        <is>
          <t>策定済</t>
        </is>
      </c>
      <c r="K23" s="14" t="inlineStr">
        <is>
          <t>https://www.pref.yamagata.jp/020057/kurashi/kendo/kotsuseisaku/ykotsu_kasseikakyougikai.html</t>
        </is>
      </c>
      <c r="L23" s="11" t="n"/>
      <c r="M23" s="11" t="inlineStr">
        <is>
          <t>不明</t>
        </is>
      </c>
      <c r="N23" s="13" t="n"/>
      <c r="O23" s="13" t="inlineStr">
        <is>
          <t>不明</t>
        </is>
      </c>
      <c r="P23" s="13" t="inlineStr">
        <is>
          <t>計画なし</t>
        </is>
      </c>
      <c r="Q23" s="11" t="n"/>
      <c r="R23" s="11" t="inlineStr">
        <is>
          <t>交通：町単独の地域公共交通計画は見当たらず（各種計画一覧 https://www.town.oishida.yamagata.jp/chousei/keikaku/index.html ）。山形県地域公共交通計画（前計画R3〜R7）は市町村の利便増進実施計画等を内包する県全域計画。次期計画はR8.2パブコメ（https://www200.pref.yamagata.jp/020057/keikakupabukomepress2.html ）を経てR8.3.27策定（期間は未確認、R8開始）。 環境：環境基本計画は検索で見当たらず。</t>
        </is>
      </c>
      <c r="S23" s="15" t="inlineStr">
        <is>
          <t>調査済</t>
        </is>
      </c>
      <c r="T23" s="17" t="inlineStr">
        <is>
          <t>未掲載【当方は計画あり】</t>
        </is>
      </c>
    </row>
    <row r="24">
      <c r="A24" s="11" t="n">
        <v>21</v>
      </c>
      <c r="B24" s="11" t="inlineStr">
        <is>
          <t>金山町</t>
        </is>
      </c>
      <c r="C24" s="12">
        <f>IF(OR(D24="◎",E24="◎"),"◎ 営業",IF(OR(D24="△",E24="△"),"△ 着手済・要確認",IF(OR(D24="？",E24="？"),"？ 期間要確認","✕ 対象外")))</f>
        <v/>
      </c>
      <c r="D24" s="13">
        <f>IF(J24="計画なし","－",IF(J24="策定済","✕",IF(H24="","？",IF(AND(H24&gt;=TGT_MIN,H24&lt;=TGT_MAX),IF(J24="着手済","△","◎"),"✕"))))</f>
        <v/>
      </c>
      <c r="E24" s="13">
        <f>IF(P24="計画なし","－",IF(P24="策定済","✕",IF(N24="","？",IF(AND(N24&gt;=TGT_MIN,N24&lt;=TGT_MAX),IF(P24="着手済","△","◎"),"✕"))))</f>
        <v/>
      </c>
      <c r="F24" s="11" t="inlineStr">
        <is>
          <t>山形県地域公共交通計画（県・市町村共同、次期計画R8.3.27策定）</t>
        </is>
      </c>
      <c r="G24" s="11" t="inlineStr">
        <is>
          <t>R8〜不明</t>
        </is>
      </c>
      <c r="H24" s="16" t="n"/>
      <c r="I24" s="13" t="inlineStr">
        <is>
          <t>推定</t>
        </is>
      </c>
      <c r="J24" s="13" t="inlineStr">
        <is>
          <t>策定済</t>
        </is>
      </c>
      <c r="K24" s="14" t="inlineStr">
        <is>
          <t>https://www.pref.yamagata.jp/020057/kurashi/kendo/kotsuseisaku/ykotsu_kasseikakyougikai.html</t>
        </is>
      </c>
      <c r="L24" s="11" t="n"/>
      <c r="M24" s="11" t="inlineStr">
        <is>
          <t>不明</t>
        </is>
      </c>
      <c r="N24" s="13" t="n"/>
      <c r="O24" s="13" t="inlineStr">
        <is>
          <t>不明</t>
        </is>
      </c>
      <c r="P24" s="13" t="inlineStr">
        <is>
          <t>計画なし</t>
        </is>
      </c>
      <c r="Q24" s="11" t="n"/>
      <c r="R24" s="11" t="inlineStr">
        <is>
          <t>山形県最上郡金山町。交通：町単独計画は見当たらず（デマンドハイヤー運行）。山形県地域公共交通計画（前計画R3〜R7）は市町村の利便増進実施計画等を内包する県全域計画。次期計画はR8.2パブコメ（https://www200.pref.yamagata.jp/020057/keikakupabukomepress2.html ）を経てR8.3.27策定（期間は未確認、R8開始）。 最上地域8市町村は県計画の最上地域部会で広域的な公共交通再編を検討中（R7.11県協議会資料 https://www.pref.yamagata.jp/documents/47862/20251125shiryou2-2.pdf ）。 環境：環境基本計画は検索で見当たらず。</t>
        </is>
      </c>
      <c r="S24" s="15" t="inlineStr">
        <is>
          <t>調査済</t>
        </is>
      </c>
      <c r="T24" s="17" t="inlineStr">
        <is>
          <t>未掲載【当方は計画あり】</t>
        </is>
      </c>
    </row>
    <row r="25">
      <c r="A25" s="11" t="n">
        <v>22</v>
      </c>
      <c r="B25" s="11" t="inlineStr">
        <is>
          <t>最上町</t>
        </is>
      </c>
      <c r="C25" s="12">
        <f>IF(OR(D25="◎",E25="◎"),"◎ 営業",IF(OR(D25="△",E25="△"),"△ 着手済・要確認",IF(OR(D25="？",E25="？"),"？ 期間要確認","✕ 対象外")))</f>
        <v/>
      </c>
      <c r="D25" s="13">
        <f>IF(J25="計画なし","－",IF(J25="策定済","✕",IF(H25="","？",IF(AND(H25&gt;=TGT_MIN,H25&lt;=TGT_MAX),IF(J25="着手済","△","◎"),"✕"))))</f>
        <v/>
      </c>
      <c r="E25" s="13">
        <f>IF(P25="計画なし","－",IF(P25="策定済","✕",IF(N25="","？",IF(AND(N25&gt;=TGT_MIN,N25&lt;=TGT_MAX),IF(P25="着手済","△","◎"),"✕"))))</f>
        <v/>
      </c>
      <c r="F25" s="11" t="inlineStr">
        <is>
          <t>山形県地域公共交通計画（県・市町村共同、次期計画R8.3.27策定）</t>
        </is>
      </c>
      <c r="G25" s="11" t="inlineStr">
        <is>
          <t>R8〜不明</t>
        </is>
      </c>
      <c r="H25" s="16" t="n"/>
      <c r="I25" s="13" t="inlineStr">
        <is>
          <t>推定</t>
        </is>
      </c>
      <c r="J25" s="13" t="inlineStr">
        <is>
          <t>策定済</t>
        </is>
      </c>
      <c r="K25" s="14" t="inlineStr">
        <is>
          <t>https://www.pref.yamagata.jp/020057/kurashi/kendo/kotsuseisaku/ykotsu_kasseikakyougikai.html</t>
        </is>
      </c>
      <c r="L25" s="11" t="n"/>
      <c r="M25" s="11" t="inlineStr">
        <is>
          <t>不明</t>
        </is>
      </c>
      <c r="N25" s="13" t="n"/>
      <c r="O25" s="13" t="inlineStr">
        <is>
          <t>不明</t>
        </is>
      </c>
      <c r="P25" s="13" t="inlineStr">
        <is>
          <t>計画なし</t>
        </is>
      </c>
      <c r="Q25" s="11" t="n"/>
      <c r="R25" s="11" t="inlineStr">
        <is>
          <t>交通：町単独計画は見当たらず（予約制乗合バス https://town.mogami.lg.jp/life/03koutsuu/ ）。山形県地域公共交通計画（前計画R3〜R7）は市町村の利便増進実施計画等を内包する県全域計画。次期計画はR8.2パブコメ（https://www200.pref.yamagata.jp/020057/keikakupabukomepress2.html ）を経てR8.3.27策定（期間は未確認、R8開始）。 最上地域8市町村は県計画の最上地域部会で広域的な公共交通再編を検討中（R7.11県協議会資料 https://www.pref.yamagata.jp/documents/47862/20251125shiryou2-2.pdf ）。 環境：環境基本計画は検索で見当たらず。</t>
        </is>
      </c>
      <c r="S25" s="15" t="inlineStr">
        <is>
          <t>調査済</t>
        </is>
      </c>
      <c r="T25" s="17" t="inlineStr">
        <is>
          <t>未掲載【当方は計画あり】</t>
        </is>
      </c>
    </row>
    <row r="26">
      <c r="A26" s="11" t="n">
        <v>23</v>
      </c>
      <c r="B26" s="11" t="inlineStr">
        <is>
          <t>舟形町</t>
        </is>
      </c>
      <c r="C26" s="12">
        <f>IF(OR(D26="◎",E26="◎"),"◎ 営業",IF(OR(D26="△",E26="△"),"△ 着手済・要確認",IF(OR(D26="？",E26="？"),"？ 期間要確認","✕ 対象外")))</f>
        <v/>
      </c>
      <c r="D26" s="13">
        <f>IF(J26="計画なし","－",IF(J26="策定済","✕",IF(H26="","？",IF(AND(H26&gt;=TGT_MIN,H26&lt;=TGT_MAX),IF(J26="着手済","△","◎"),"✕"))))</f>
        <v/>
      </c>
      <c r="E26" s="13">
        <f>IF(P26="計画なし","－",IF(P26="策定済","✕",IF(N26="","？",IF(AND(N26&gt;=TGT_MIN,N26&lt;=TGT_MAX),IF(P26="着手済","△","◎"),"✕"))))</f>
        <v/>
      </c>
      <c r="F26" s="11" t="inlineStr">
        <is>
          <t>山形県地域公共交通計画（県・市町村共同、次期計画R8.3.27策定）</t>
        </is>
      </c>
      <c r="G26" s="11" t="inlineStr">
        <is>
          <t>R8〜不明</t>
        </is>
      </c>
      <c r="H26" s="16" t="n"/>
      <c r="I26" s="13" t="inlineStr">
        <is>
          <t>推定</t>
        </is>
      </c>
      <c r="J26" s="13" t="inlineStr">
        <is>
          <t>策定済</t>
        </is>
      </c>
      <c r="K26" s="14" t="inlineStr">
        <is>
          <t>https://www.pref.yamagata.jp/020057/kurashi/kendo/kotsuseisaku/ykotsu_kasseikakyougikai.html</t>
        </is>
      </c>
      <c r="L26" s="11" t="n"/>
      <c r="M26" s="11" t="inlineStr">
        <is>
          <t>不明</t>
        </is>
      </c>
      <c r="N26" s="13" t="n"/>
      <c r="O26" s="13" t="inlineStr">
        <is>
          <t>不明</t>
        </is>
      </c>
      <c r="P26" s="13" t="inlineStr">
        <is>
          <t>計画なし</t>
        </is>
      </c>
      <c r="Q26" s="11" t="n"/>
      <c r="R26" s="11" t="inlineStr">
        <is>
          <t>交通：町単独計画は見当たらず。山形県地域公共交通計画（前計画R3〜R7）は市町村の利便増進実施計画等を内包する県全域計画。次期計画はR8.2パブコメ（https://www200.pref.yamagata.jp/020057/keikakupabukomepress2.html ）を経てR8.3.27策定（期間は未確認、R8開始）。 最上地域8市町村は県計画の最上地域部会で広域的な公共交通再編を検討中（R7.11県協議会資料 https://www.pref.yamagata.jp/documents/47862/20251125shiryou2-2.pdf ）。 環境：環境基本計画は見当たらず。代替としてR7年度に地球温暖化対策実行計画（区域施策編）策定業務を発注（仕様書 https://www.town.funagata.yamagata.jp/s007/shigoto/050/sienn/kuikisesakusiyousyo.pdf ）。</t>
        </is>
      </c>
      <c r="S26" s="15" t="inlineStr">
        <is>
          <t>調査済</t>
        </is>
      </c>
      <c r="T26" s="17" t="inlineStr">
        <is>
          <t>未掲載【当方は計画あり】</t>
        </is>
      </c>
    </row>
    <row r="27">
      <c r="A27" s="11" t="n">
        <v>24</v>
      </c>
      <c r="B27" s="11" t="inlineStr">
        <is>
          <t>真室川町</t>
        </is>
      </c>
      <c r="C27" s="12">
        <f>IF(OR(D27="◎",E27="◎"),"◎ 営業",IF(OR(D27="△",E27="△"),"△ 着手済・要確認",IF(OR(D27="？",E27="？"),"？ 期間要確認","✕ 対象外")))</f>
        <v/>
      </c>
      <c r="D27" s="13">
        <f>IF(J27="計画なし","－",IF(J27="策定済","✕",IF(H27="","？",IF(AND(H27&gt;=TGT_MIN,H27&lt;=TGT_MAX),IF(J27="着手済","△","◎"),"✕"))))</f>
        <v/>
      </c>
      <c r="E27" s="13">
        <f>IF(P27="計画なし","－",IF(P27="策定済","✕",IF(N27="","？",IF(AND(N27&gt;=TGT_MIN,N27&lt;=TGT_MAX),IF(P27="着手済","△","◎"),"✕"))))</f>
        <v/>
      </c>
      <c r="F27" s="11" t="inlineStr">
        <is>
          <t>山形県地域公共交通計画（県・市町村共同、次期計画R8.3.27策定）</t>
        </is>
      </c>
      <c r="G27" s="11" t="inlineStr">
        <is>
          <t>R8〜不明</t>
        </is>
      </c>
      <c r="H27" s="16" t="n"/>
      <c r="I27" s="13" t="inlineStr">
        <is>
          <t>推定</t>
        </is>
      </c>
      <c r="J27" s="13" t="inlineStr">
        <is>
          <t>策定済</t>
        </is>
      </c>
      <c r="K27" s="14" t="inlineStr">
        <is>
          <t>https://www.pref.yamagata.jp/020057/kurashi/kendo/kotsuseisaku/ykotsu_kasseikakyougikai.html</t>
        </is>
      </c>
      <c r="L27" s="11" t="n"/>
      <c r="M27" s="11" t="inlineStr">
        <is>
          <t>不明</t>
        </is>
      </c>
      <c r="N27" s="13" t="n"/>
      <c r="O27" s="13" t="inlineStr">
        <is>
          <t>不明</t>
        </is>
      </c>
      <c r="P27" s="13" t="inlineStr">
        <is>
          <t>計画なし</t>
        </is>
      </c>
      <c r="Q27" s="11" t="n"/>
      <c r="R27" s="11" t="inlineStr">
        <is>
          <t>交通：町単独計画は見当たらず（町営バス・デマンドタクシー）。山形県地域公共交通計画（前計画R3〜R7）は市町村の利便増進実施計画等を内包する県全域計画。次期計画はR8.2パブコメ（https://www200.pref.yamagata.jp/020057/keikakupabukomepress2.html ）を経てR8.3.27策定（期間は未確認、R8開始）。 最上地域8市町村は県計画の最上地域部会で広域的な公共交通再編を検討中（R7.11県協議会資料 https://www.pref.yamagata.jp/documents/47862/20251125shiryou2-2.pdf ）。 環境：環境基本計画は検索で見当たらず。</t>
        </is>
      </c>
      <c r="S27" s="15" t="inlineStr">
        <is>
          <t>調査済</t>
        </is>
      </c>
      <c r="T27" s="17" t="inlineStr">
        <is>
          <t>未掲載【当方は計画あり】</t>
        </is>
      </c>
    </row>
    <row r="28">
      <c r="A28" s="11" t="n">
        <v>25</v>
      </c>
      <c r="B28" s="11" t="inlineStr">
        <is>
          <t>大蔵村</t>
        </is>
      </c>
      <c r="C28" s="12">
        <f>IF(OR(D28="◎",E28="◎"),"◎ 営業",IF(OR(D28="△",E28="△"),"△ 着手済・要確認",IF(OR(D28="？",E28="？"),"？ 期間要確認","✕ 対象外")))</f>
        <v/>
      </c>
      <c r="D28" s="13">
        <f>IF(J28="計画なし","－",IF(J28="策定済","✕",IF(H28="","？",IF(AND(H28&gt;=TGT_MIN,H28&lt;=TGT_MAX),IF(J28="着手済","△","◎"),"✕"))))</f>
        <v/>
      </c>
      <c r="E28" s="13">
        <f>IF(P28="計画なし","－",IF(P28="策定済","✕",IF(N28="","？",IF(AND(N28&gt;=TGT_MIN,N28&lt;=TGT_MAX),IF(P28="着手済","△","◎"),"✕"))))</f>
        <v/>
      </c>
      <c r="F28" s="11" t="inlineStr">
        <is>
          <t>山形県地域公共交通計画（県・市町村共同、次期計画R8.3.27策定）</t>
        </is>
      </c>
      <c r="G28" s="11" t="inlineStr">
        <is>
          <t>R8〜不明</t>
        </is>
      </c>
      <c r="H28" s="16" t="n"/>
      <c r="I28" s="13" t="inlineStr">
        <is>
          <t>推定</t>
        </is>
      </c>
      <c r="J28" s="13" t="inlineStr">
        <is>
          <t>策定済</t>
        </is>
      </c>
      <c r="K28" s="14" t="inlineStr">
        <is>
          <t>https://www.pref.yamagata.jp/020057/kurashi/kendo/kotsuseisaku/ykotsu_kasseikakyougikai.html</t>
        </is>
      </c>
      <c r="L28" s="11" t="n"/>
      <c r="M28" s="11" t="inlineStr">
        <is>
          <t>不明</t>
        </is>
      </c>
      <c r="N28" s="13" t="n"/>
      <c r="O28" s="13" t="inlineStr">
        <is>
          <t>不明</t>
        </is>
      </c>
      <c r="P28" s="13" t="inlineStr">
        <is>
          <t>計画なし</t>
        </is>
      </c>
      <c r="Q28" s="11" t="n"/>
      <c r="R28" s="11" t="inlineStr">
        <is>
          <t>交通：村単独計画は見当たらず（村営バス）。山形県地域公共交通計画（前計画R3〜R7）は市町村の利便増進実施計画等を内包する県全域計画。次期計画はR8.2パブコメ（https://www200.pref.yamagata.jp/020057/keikakupabukomepress2.html ）を経てR8.3.27策定（期間は未確認、R8開始）。 最上地域8市町村は県計画の最上地域部会で広域的な公共交通再編を検討中（R7.11県協議会資料 https://www.pref.yamagata.jp/documents/47862/20251125shiryou2-2.pdf ）。 環境：環境基本計画は検索で見当たらず（計画・公表 https://www.vill.ohkura.yamagata.jp/gyoseijoho/seisaku_keikaku/keikaku_kohyo/index.html ）。</t>
        </is>
      </c>
      <c r="S28" s="15" t="inlineStr">
        <is>
          <t>調査済</t>
        </is>
      </c>
      <c r="T28" s="17" t="inlineStr">
        <is>
          <t>未掲載【当方は計画あり】</t>
        </is>
      </c>
    </row>
    <row r="29">
      <c r="A29" s="11" t="n">
        <v>26</v>
      </c>
      <c r="B29" s="11" t="inlineStr">
        <is>
          <t>鮭川村</t>
        </is>
      </c>
      <c r="C29" s="12">
        <f>IF(OR(D29="◎",E29="◎"),"◎ 営業",IF(OR(D29="△",E29="△"),"△ 着手済・要確認",IF(OR(D29="？",E29="？"),"？ 期間要確認","✕ 対象外")))</f>
        <v/>
      </c>
      <c r="D29" s="13">
        <f>IF(J29="計画なし","－",IF(J29="策定済","✕",IF(H29="","？",IF(AND(H29&gt;=TGT_MIN,H29&lt;=TGT_MAX),IF(J29="着手済","△","◎"),"✕"))))</f>
        <v/>
      </c>
      <c r="E29" s="13">
        <f>IF(P29="計画なし","－",IF(P29="策定済","✕",IF(N29="","？",IF(AND(N29&gt;=TGT_MIN,N29&lt;=TGT_MAX),IF(P29="着手済","△","◎"),"✕"))))</f>
        <v/>
      </c>
      <c r="F29" s="11" t="inlineStr">
        <is>
          <t>山形県地域公共交通計画（県・市町村共同、次期計画R8.3.27策定）</t>
        </is>
      </c>
      <c r="G29" s="11" t="inlineStr">
        <is>
          <t>R8〜不明</t>
        </is>
      </c>
      <c r="H29" s="16" t="n"/>
      <c r="I29" s="13" t="inlineStr">
        <is>
          <t>推定</t>
        </is>
      </c>
      <c r="J29" s="13" t="inlineStr">
        <is>
          <t>策定済</t>
        </is>
      </c>
      <c r="K29" s="14" t="inlineStr">
        <is>
          <t>https://www.pref.yamagata.jp/020057/kurashi/kendo/kotsuseisaku/ykotsu_kasseikakyougikai.html</t>
        </is>
      </c>
      <c r="L29" s="11" t="n"/>
      <c r="M29" s="11" t="inlineStr">
        <is>
          <t>不明</t>
        </is>
      </c>
      <c r="N29" s="13" t="n"/>
      <c r="O29" s="13" t="inlineStr">
        <is>
          <t>不明</t>
        </is>
      </c>
      <c r="P29" s="13" t="inlineStr">
        <is>
          <t>計画なし</t>
        </is>
      </c>
      <c r="Q29" s="11" t="n"/>
      <c r="R29" s="11" t="inlineStr">
        <is>
          <t>交通：村単独計画は見当たらず。山形県地域公共交通計画（前計画R3〜R7）は市町村の利便増進実施計画等を内包する県全域計画。次期計画はR8.2パブコメ（https://www200.pref.yamagata.jp/020057/keikakupabukomepress2.html ）を経てR8.3.27策定（期間は未確認、R8開始）。 最上地域8市町村は県計画の最上地域部会で広域的な公共交通再編を検討中（R7.11県協議会資料 https://www.pref.yamagata.jp/documents/47862/20251125shiryou2-2.pdf ）。 環境：環境基本計画は検索で見当たらず（政策・各種計画 https://www.vill.sakegawa.yamagata.jp/government/jigyo-keikaku/seisaku/ ）。</t>
        </is>
      </c>
      <c r="S29" s="15" t="inlineStr">
        <is>
          <t>調査済</t>
        </is>
      </c>
      <c r="T29" s="17" t="inlineStr">
        <is>
          <t>未掲載【当方は計画あり】</t>
        </is>
      </c>
    </row>
    <row r="30">
      <c r="A30" s="11" t="n">
        <v>27</v>
      </c>
      <c r="B30" s="11" t="inlineStr">
        <is>
          <t>戸沢村</t>
        </is>
      </c>
      <c r="C30" s="12">
        <f>IF(OR(D30="◎",E30="◎"),"◎ 営業",IF(OR(D30="△",E30="△"),"△ 着手済・要確認",IF(OR(D30="？",E30="？"),"？ 期間要確認","✕ 対象外")))</f>
        <v/>
      </c>
      <c r="D30" s="13">
        <f>IF(J30="計画なし","－",IF(J30="策定済","✕",IF(H30="","？",IF(AND(H30&gt;=TGT_MIN,H30&lt;=TGT_MAX),IF(J30="着手済","△","◎"),"✕"))))</f>
        <v/>
      </c>
      <c r="E30" s="13">
        <f>IF(P30="計画なし","－",IF(P30="策定済","✕",IF(N30="","？",IF(AND(N30&gt;=TGT_MIN,N30&lt;=TGT_MAX),IF(P30="着手済","△","◎"),"✕"))))</f>
        <v/>
      </c>
      <c r="F30" s="11" t="inlineStr">
        <is>
          <t>山形県地域公共交通計画（県・市町村共同、次期計画R8.3.27策定）</t>
        </is>
      </c>
      <c r="G30" s="11" t="inlineStr">
        <is>
          <t>R8〜不明</t>
        </is>
      </c>
      <c r="H30" s="16" t="n"/>
      <c r="I30" s="13" t="inlineStr">
        <is>
          <t>推定</t>
        </is>
      </c>
      <c r="J30" s="13" t="inlineStr">
        <is>
          <t>策定済</t>
        </is>
      </c>
      <c r="K30" s="14" t="inlineStr">
        <is>
          <t>https://www.pref.yamagata.jp/020057/kurashi/kendo/kotsuseisaku/ykotsu_kasseikakyougikai.html</t>
        </is>
      </c>
      <c r="L30" s="11" t="n"/>
      <c r="M30" s="11" t="inlineStr">
        <is>
          <t>不明</t>
        </is>
      </c>
      <c r="N30" s="13" t="n"/>
      <c r="O30" s="13" t="inlineStr">
        <is>
          <t>不明</t>
        </is>
      </c>
      <c r="P30" s="13" t="inlineStr">
        <is>
          <t>計画なし</t>
        </is>
      </c>
      <c r="Q30" s="11" t="n"/>
      <c r="R30" s="11" t="inlineStr">
        <is>
          <t>交通：村単独計画は見当たらず（村営バス）。山形県地域公共交通計画（前計画R3〜R7）は市町村の利便増進実施計画等を内包する県全域計画。次期計画はR8.2パブコメ（https://www200.pref.yamagata.jp/020057/keikakupabukomepress2.html ）を経てR8.3.27策定（期間は未確認、R8開始）。 最上地域8市町村は県計画の最上地域部会で広域的な公共交通再編を検討中（R7.11県協議会資料 https://www.pref.yamagata.jp/documents/47862/20251125shiryou2-2.pdf ）。 環境：環境基本計画は検索で見当たらず（計画・施策 https://www.vill.tozawa.yamagata.jp/gyoseijoho/keikaku_sesaku/ ）。</t>
        </is>
      </c>
      <c r="S30" s="15" t="inlineStr">
        <is>
          <t>調査済</t>
        </is>
      </c>
      <c r="T30" s="17" t="inlineStr">
        <is>
          <t>未掲載【当方は計画あり】</t>
        </is>
      </c>
    </row>
    <row r="31">
      <c r="A31" s="11" t="n">
        <v>28</v>
      </c>
      <c r="B31" s="11" t="inlineStr">
        <is>
          <t>高畠町</t>
        </is>
      </c>
      <c r="C31" s="12">
        <f>IF(OR(D31="◎",E31="◎"),"◎ 営業",IF(OR(D31="△",E31="△"),"△ 着手済・要確認",IF(OR(D31="？",E31="？"),"？ 期間要確認","✕ 対象外")))</f>
        <v/>
      </c>
      <c r="D31" s="13">
        <f>IF(J31="計画なし","－",IF(J31="策定済","✕",IF(H31="","？",IF(AND(H31&gt;=TGT_MIN,H31&lt;=TGT_MAX),IF(J31="着手済","△","◎"),"✕"))))</f>
        <v/>
      </c>
      <c r="E31" s="13">
        <f>IF(P31="計画なし","－",IF(P31="策定済","✕",IF(N31="","？",IF(AND(N31&gt;=TGT_MIN,N31&lt;=TGT_MAX),IF(P31="着手済","△","◎"),"✕"))))</f>
        <v/>
      </c>
      <c r="F31" s="11" t="inlineStr">
        <is>
          <t>高畠町地域公共交通計画</t>
        </is>
      </c>
      <c r="G31" s="11" t="inlineStr">
        <is>
          <t>R8〜不明</t>
        </is>
      </c>
      <c r="H31" s="16" t="n"/>
      <c r="I31" s="13" t="inlineStr">
        <is>
          <t>推定</t>
        </is>
      </c>
      <c r="J31" s="13" t="inlineStr">
        <is>
          <t>策定済</t>
        </is>
      </c>
      <c r="K31" s="14" t="inlineStr">
        <is>
          <t>https://www.town.takahata.yamagata.jp/soshikiichiran/kikaku/3/kokyokotsu/4511.html</t>
        </is>
      </c>
      <c r="L31" s="11" t="inlineStr">
        <is>
          <t>第3次高畠町環境基本計画</t>
        </is>
      </c>
      <c r="M31" s="11" t="inlineStr">
        <is>
          <t>R5〜（10年ならR14）</t>
        </is>
      </c>
      <c r="N31" s="16" t="n">
        <v>14</v>
      </c>
      <c r="O31" s="13" t="inlineStr">
        <is>
          <t>推定</t>
        </is>
      </c>
      <c r="P31" s="13" t="inlineStr">
        <is>
          <t>未確認</t>
        </is>
      </c>
      <c r="Q31" s="14" t="inlineStr">
        <is>
          <t>https://www.town.takahata.yamagata.jp/kurashi/gyoseijoho/kakushukeikaku/1/2728.html</t>
        </is>
      </c>
      <c r="R31" s="11" t="inlineStr">
        <is>
          <t>交通：町単独の地域公共交通計画は見当たらず（デマンド交通運行）。山形県地域公共交通計画（前計画R3〜R7）は市町村の利便増進実施計画等を内包する県全域計画。次期計画はR8.2パブコメ（https://www200.pref.yamagata.jp/020057/keikakupabukomepress2.html ）を経てR8.3.27策定（期間は未確認、R8開始）。 環境：第2次がR4年度で終了→第3次策定（R5開始と推定、終期未確認）。 【追加調査 2026-10】交通(2026-10調査)：町単独の「高畠町地域公共交通計画」を新規策定。計画案のパブリックコメントを令和7年12月17日〜令和8年1月7日に実施（https://www.town.takahata.yamagata.jp/soshikiichiran/kikaku/3/kokyokotsu/4511.html ）、協議の場は高畠町公共交通会議（H22設置 https://www.town.takahata.yamagata.jp/soshikiichiran/kikaku/3/machizukuri/4298.html ）。国交省一覧(R8.5末)に単独計画あり（期間満了でない）ことから、R7年度末頃策定・R8開始と推定。計画期間は検索結果本文で確認できず（計画案PDF・町サイトはWebFetch不可）。参考：山形県地域公共交通計画（次期）はR8〜R12（https://www.pref.yamagata.jp/documents/50579/keikaku_honpen.pdf ）。 根拠: 高畠町地域公共交通計画…意見募集期間は令和7年12月17日（水曜日）～令和8年1月7日（水曜日） 【追加調査 2026-10】環境：第2次（H25.3策定）がR4年度で期間終了→第3次高畠町環境基本計画をR5年度から実施（計画ページ https://www.town.takahata.yamagata.jp/kurashi/gyoseijoho/kakushukeikaku/1/2728.html ）。終期は検索3回で本文に出ず、10年間と仮定しR14と推定。 根拠: 第2次計画の計画期間が令和4年度で終了…令和5年度から第3次計画</t>
        </is>
      </c>
      <c r="S31" s="15" t="inlineStr">
        <is>
          <t>調査済</t>
        </is>
      </c>
      <c r="T31" s="11" t="inlineStr">
        <is>
          <t>掲載</t>
        </is>
      </c>
    </row>
    <row r="32">
      <c r="A32" s="11" t="n">
        <v>29</v>
      </c>
      <c r="B32" s="11" t="inlineStr">
        <is>
          <t>川西町</t>
        </is>
      </c>
      <c r="C32" s="12">
        <f>IF(OR(D32="◎",E32="◎"),"◎ 営業",IF(OR(D32="△",E32="△"),"△ 着手済・要確認",IF(OR(D32="？",E32="？"),"？ 期間要確認","✕ 対象外")))</f>
        <v/>
      </c>
      <c r="D32" s="13">
        <f>IF(J32="計画なし","－",IF(J32="策定済","✕",IF(H32="","？",IF(AND(H32&gt;=TGT_MIN,H32&lt;=TGT_MAX),IF(J32="着手済","△","◎"),"✕"))))</f>
        <v/>
      </c>
      <c r="E32" s="13">
        <f>IF(P32="計画なし","－",IF(P32="策定済","✕",IF(N32="","？",IF(AND(N32&gt;=TGT_MIN,N32&lt;=TGT_MAX),IF(P32="着手済","△","◎"),"✕"))))</f>
        <v/>
      </c>
      <c r="F32" s="11" t="inlineStr">
        <is>
          <t>川西町地域公共交通計画</t>
        </is>
      </c>
      <c r="G32" s="11" t="inlineStr">
        <is>
          <t>R8〜R12</t>
        </is>
      </c>
      <c r="H32" s="13" t="n">
        <v>12</v>
      </c>
      <c r="I32" s="13" t="inlineStr">
        <is>
          <t>確認済</t>
        </is>
      </c>
      <c r="J32" s="13" t="inlineStr">
        <is>
          <t>策定済</t>
        </is>
      </c>
      <c r="K32" s="14" t="inlineStr">
        <is>
          <t>https://www.town.kawanishi.yamagata.jp/kurashi/doro/02keikaku.pdf</t>
        </is>
      </c>
      <c r="L32" s="11" t="n"/>
      <c r="M32" s="11" t="inlineStr">
        <is>
          <t>不明</t>
        </is>
      </c>
      <c r="N32" s="13" t="n"/>
      <c r="O32" s="13" t="inlineStr">
        <is>
          <t>不明</t>
        </is>
      </c>
      <c r="P32" s="13" t="inlineStr">
        <is>
          <t>計画なし</t>
        </is>
      </c>
      <c r="Q32" s="11" t="n"/>
      <c r="R32" s="11" t="inlineStr">
        <is>
          <t>交通：町単独計画は見当たらず。山形県地域公共交通計画（前計画R3〜R7）は市町村の利便増進実施計画等を内包する県全域計画。次期計画はR8.2パブコメ（https://www200.pref.yamagata.jp/020057/keikakupabukomepress2.html ）を経てR8.3.27策定（期間は未確認、R8開始）。 環境：環境基本計画は検索で見当たらず（政策・計画 https://www.town.kawanishi.yamagata.jp/machinojoho/seisaku/ ）。 【追加調査 2026-10】町単独の『川西町地域公共交通計画』を確認（区域：町全域、計画期間R8〜R12の5年間、デマンド型乗合交通等）。町サイト掲載 本編 https://www.town.kawanishi.yamagata.jp/kurashi/doro/02keikaku.pdf 、概要 https://www.town.kawanishi.yamagata.jp/kurashi/doro/01keikakugaiyou.pdf （2026-10-02検索。WebFetchはブロックのため本文直接閲覧不可、検索結果本文で期間確認）。R8開始の新計画のため策定済。広域：フラワー長井線（2市2町）は鉄道事業再構築実施計画R6.4.1〜R16.3.31（https://www.mlit.go.jp/report/press/tetsudo05_hh_000146.html ）。県計画の記載は参考に格下げ。 根拠: 計画期間は令和８年度（2026年度）から令和１２年度（2030年度）までの５年間</t>
        </is>
      </c>
      <c r="S32" s="15" t="inlineStr">
        <is>
          <t>調査済</t>
        </is>
      </c>
      <c r="T32" s="11" t="inlineStr">
        <is>
          <t>掲載（広域：フラワー長井線沿線）</t>
        </is>
      </c>
    </row>
    <row r="33">
      <c r="A33" s="11" t="n">
        <v>30</v>
      </c>
      <c r="B33" s="11" t="inlineStr">
        <is>
          <t>小国町</t>
        </is>
      </c>
      <c r="C33" s="12">
        <f>IF(OR(D33="◎",E33="◎"),"◎ 営業",IF(OR(D33="△",E33="△"),"△ 着手済・要確認",IF(OR(D33="？",E33="？"),"？ 期間要確認","✕ 対象外")))</f>
        <v/>
      </c>
      <c r="D33" s="13">
        <f>IF(J33="計画なし","－",IF(J33="策定済","✕",IF(H33="","？",IF(AND(H33&gt;=TGT_MIN,H33&lt;=TGT_MAX),IF(J33="着手済","△","◎"),"✕"))))</f>
        <v/>
      </c>
      <c r="E33" s="13">
        <f>IF(P33="計画なし","－",IF(P33="策定済","✕",IF(N33="","？",IF(AND(N33&gt;=TGT_MIN,N33&lt;=TGT_MAX),IF(P33="着手済","△","◎"),"✕"))))</f>
        <v/>
      </c>
      <c r="F33" s="11" t="inlineStr">
        <is>
          <t>小国町地域公共交通網形成計画</t>
        </is>
      </c>
      <c r="G33" s="11" t="inlineStr">
        <is>
          <t>不明</t>
        </is>
      </c>
      <c r="H33" s="13" t="n"/>
      <c r="I33" s="13" t="inlineStr">
        <is>
          <t>不明</t>
        </is>
      </c>
      <c r="J33" s="13" t="inlineStr">
        <is>
          <t>未確認</t>
        </is>
      </c>
      <c r="K33" s="14" t="inlineStr">
        <is>
          <t>https://www.town.oguni.yamagata.jp/soshiki/choumin/1214.html</t>
        </is>
      </c>
      <c r="L33" s="11" t="n"/>
      <c r="M33" s="11" t="inlineStr">
        <is>
          <t>不明</t>
        </is>
      </c>
      <c r="N33" s="13" t="n"/>
      <c r="O33" s="13" t="inlineStr">
        <is>
          <t>不明</t>
        </is>
      </c>
      <c r="P33" s="13" t="inlineStr">
        <is>
          <t>計画なし</t>
        </is>
      </c>
      <c r="Q33" s="11" t="n"/>
      <c r="R33" s="11" t="inlineStr">
        <is>
          <t>交通：活性化再生法に基づく網形成計画を策定済（期間は検索で未確認、旧計画の可能性）。地域公共交通計画への移行は未確認。県計画（山形県地域公共交通計画（県・市町村共同、次期計画R8.3.27策定））も対象。環境：環境基本計画は検索で見当たらず。</t>
        </is>
      </c>
      <c r="S33" s="15" t="inlineStr">
        <is>
          <t>調査済</t>
        </is>
      </c>
      <c r="T33" s="17" t="inlineStr">
        <is>
          <t>掲載／期間満了</t>
        </is>
      </c>
    </row>
    <row r="34">
      <c r="A34" s="11" t="n">
        <v>31</v>
      </c>
      <c r="B34" s="11" t="inlineStr">
        <is>
          <t>白鷹町</t>
        </is>
      </c>
      <c r="C34" s="12">
        <f>IF(OR(D34="◎",E34="◎"),"◎ 営業",IF(OR(D34="△",E34="△"),"△ 着手済・要確認",IF(OR(D34="？",E34="？"),"？ 期間要確認","✕ 対象外")))</f>
        <v/>
      </c>
      <c r="D34" s="13">
        <f>IF(J34="計画なし","－",IF(J34="策定済","✕",IF(H34="","？",IF(AND(H34&gt;=TGT_MIN,H34&lt;=TGT_MAX),IF(J34="着手済","△","◎"),"✕"))))</f>
        <v/>
      </c>
      <c r="E34" s="13">
        <f>IF(P34="計画なし","－",IF(P34="策定済","✕",IF(N34="","？",IF(AND(N34&gt;=TGT_MIN,N34&lt;=TGT_MAX),IF(P34="着手済","△","◎"),"✕"))))</f>
        <v/>
      </c>
      <c r="F34" s="11" t="inlineStr">
        <is>
          <t>山形県地域公共交通計画（県・市町村共同、次期計画R8.3.27策定）</t>
        </is>
      </c>
      <c r="G34" s="11" t="inlineStr">
        <is>
          <t>R8〜不明</t>
        </is>
      </c>
      <c r="H34" s="16" t="n"/>
      <c r="I34" s="13" t="inlineStr">
        <is>
          <t>推定</t>
        </is>
      </c>
      <c r="J34" s="13" t="inlineStr">
        <is>
          <t>策定済</t>
        </is>
      </c>
      <c r="K34" s="14" t="inlineStr">
        <is>
          <t>https://www.pref.yamagata.jp/020057/kurashi/kendo/kotsuseisaku/ykotsu_kasseikakyougikai.html</t>
        </is>
      </c>
      <c r="L34" s="11" t="n"/>
      <c r="M34" s="11" t="inlineStr">
        <is>
          <t>不明</t>
        </is>
      </c>
      <c r="N34" s="13" t="n"/>
      <c r="O34" s="13" t="inlineStr">
        <is>
          <t>不明</t>
        </is>
      </c>
      <c r="P34" s="13" t="inlineStr">
        <is>
          <t>計画なし</t>
        </is>
      </c>
      <c r="Q34" s="11" t="n"/>
      <c r="R34" s="11" t="inlineStr">
        <is>
          <t>交通：町単独計画は見当たらず。山形県地域公共交通計画（前計画R3〜R7）は市町村の利便増進実施計画等を内包する県全域計画。次期計画はR8.2パブコメ（https://www200.pref.yamagata.jp/020057/keikakupabukomepress2.html ）を経てR8.3.27策定（期間は未確認、R8開始）。 環境：環境基本計画は検索で見当たらず。 【追加調査 2026-10】国交省一覧の広域計画『フラワー長井線沿線』は、長井市・南陽市・川西町・白鷹町が平成28年2月に作成した『フラワー長井線沿線地域公共交通網形成計画』（H28.4〜R3.3＝H28〜R2、期間満了）と判断（本文PDF：https://www.town.kawanishi.yamagata.jp/machinojoho/seisaku/2017-1017-1735.pdf ）。後継の沿線広域交通計画は検索で確認できず。鉄道部分は鉄道事業再構築実施計画（R6.4.1〜R16.3.31、https://www.mlit.go.jp/report/press/tetsudo05_hh_000146.html ）が継続。町単独の地域公共交通計画は確認できず、白鷹町地域公共交通会議は山形県地域公共交通計画の町部分（デマンドタクシー全町線等、https://www.pref.yamagata.jp/documents/34797/20230628_6-10_31.pdf ）を協議。現行データ（県計画）を維持。2026-10-02検索。 根拠: フラワー長井線沿線地域公共交通網形成計画（平成28年2月、長井市・南陽市・川西町・白鷹町）／計画期間 平成28年4月〜平成33年3月</t>
        </is>
      </c>
      <c r="S34" s="15" t="inlineStr">
        <is>
          <t>調査済</t>
        </is>
      </c>
      <c r="T34" s="17" t="inlineStr">
        <is>
          <t>掲載（広域：フラワー長井線沿線）／期間満了</t>
        </is>
      </c>
    </row>
    <row r="35">
      <c r="A35" s="11" t="n">
        <v>32</v>
      </c>
      <c r="B35" s="11" t="inlineStr">
        <is>
          <t>飯豊町</t>
        </is>
      </c>
      <c r="C35" s="12">
        <f>IF(OR(D35="◎",E35="◎"),"◎ 営業",IF(OR(D35="△",E35="△"),"△ 着手済・要確認",IF(OR(D35="？",E35="？"),"？ 期間要確認","✕ 対象外")))</f>
        <v/>
      </c>
      <c r="D35" s="13">
        <f>IF(J35="計画なし","－",IF(J35="策定済","✕",IF(H35="","？",IF(AND(H35&gt;=TGT_MIN,H35&lt;=TGT_MAX),IF(J35="着手済","△","◎"),"✕"))))</f>
        <v/>
      </c>
      <c r="E35" s="13">
        <f>IF(P35="計画なし","－",IF(P35="策定済","✕",IF(N35="","？",IF(AND(N35&gt;=TGT_MIN,N35&lt;=TGT_MAX),IF(P35="着手済","△","◎"),"✕"))))</f>
        <v/>
      </c>
      <c r="F35" s="11" t="inlineStr">
        <is>
          <t>山形県地域公共交通計画（県・市町村共同、次期計画R8.3.27策定）</t>
        </is>
      </c>
      <c r="G35" s="11" t="inlineStr">
        <is>
          <t>R8〜不明</t>
        </is>
      </c>
      <c r="H35" s="16" t="n"/>
      <c r="I35" s="13" t="inlineStr">
        <is>
          <t>推定</t>
        </is>
      </c>
      <c r="J35" s="13" t="inlineStr">
        <is>
          <t>策定済</t>
        </is>
      </c>
      <c r="K35" s="14" t="inlineStr">
        <is>
          <t>https://www.pref.yamagata.jp/020057/kurashi/kendo/kotsuseisaku/ykotsu_kasseikakyougikai.html</t>
        </is>
      </c>
      <c r="L35" s="11" t="n"/>
      <c r="M35" s="11" t="inlineStr">
        <is>
          <t>不明</t>
        </is>
      </c>
      <c r="N35" s="13" t="n"/>
      <c r="O35" s="13" t="inlineStr">
        <is>
          <t>不明</t>
        </is>
      </c>
      <c r="P35" s="13" t="inlineStr">
        <is>
          <t>計画なし</t>
        </is>
      </c>
      <c r="Q35" s="11" t="n"/>
      <c r="R35" s="11" t="inlineStr">
        <is>
          <t>交通：町単独計画は見当たらず（活性化再生法6条に基づく地域公共交通会議あり、R8.2デマンド交通『ほほえみカー』変更協議 https://www.town.iide.yamagata.jp/005/detr_mtng_r6.html ）。山形県地域公共交通計画（前計画R3〜R7）は市町村の利便増進実施計画等を内包する県全域計画。次期計画はR8.2パブコメ（https://www200.pref.yamagata.jp/020057/keikakupabukomepress2.html ）を経てR8.3.27策定（期間は未確認、R8開始）。 環境：環境基本計画は検索で見当たらず。</t>
        </is>
      </c>
      <c r="S35" s="15" t="inlineStr">
        <is>
          <t>調査済</t>
        </is>
      </c>
      <c r="T35" s="17" t="inlineStr">
        <is>
          <t>未掲載【当方は計画あり】</t>
        </is>
      </c>
    </row>
    <row r="36">
      <c r="A36" s="11" t="n">
        <v>33</v>
      </c>
      <c r="B36" s="11" t="inlineStr">
        <is>
          <t>三川町</t>
        </is>
      </c>
      <c r="C36" s="12">
        <f>IF(OR(D36="◎",E36="◎"),"◎ 営業",IF(OR(D36="△",E36="△"),"△ 着手済・要確認",IF(OR(D36="？",E36="？"),"？ 期間要確認","✕ 対象外")))</f>
        <v/>
      </c>
      <c r="D36" s="13">
        <f>IF(J36="計画なし","－",IF(J36="策定済","✕",IF(H36="","？",IF(AND(H36&gt;=TGT_MIN,H36&lt;=TGT_MAX),IF(J36="着手済","△","◎"),"✕"))))</f>
        <v/>
      </c>
      <c r="E36" s="13">
        <f>IF(P36="計画なし","－",IF(P36="策定済","✕",IF(N36="","？",IF(AND(N36&gt;=TGT_MIN,N36&lt;=TGT_MAX),IF(P36="着手済","△","◎"),"✕"))))</f>
        <v/>
      </c>
      <c r="F36" s="11" t="inlineStr">
        <is>
          <t>山形県地域公共交通計画（県・市町村共同、次期計画R8.3.27策定）</t>
        </is>
      </c>
      <c r="G36" s="11" t="inlineStr">
        <is>
          <t>R8〜不明</t>
        </is>
      </c>
      <c r="H36" s="16" t="n"/>
      <c r="I36" s="13" t="inlineStr">
        <is>
          <t>推定</t>
        </is>
      </c>
      <c r="J36" s="13" t="inlineStr">
        <is>
          <t>策定済</t>
        </is>
      </c>
      <c r="K36" s="14" t="inlineStr">
        <is>
          <t>https://www.pref.yamagata.jp/020057/kurashi/kendo/kotsuseisaku/ykotsu_kasseikakyougikai.html</t>
        </is>
      </c>
      <c r="L36" s="11" t="n"/>
      <c r="M36" s="11" t="inlineStr">
        <is>
          <t>不明</t>
        </is>
      </c>
      <c r="N36" s="13" t="n"/>
      <c r="O36" s="13" t="inlineStr">
        <is>
          <t>不明</t>
        </is>
      </c>
      <c r="P36" s="13" t="inlineStr">
        <is>
          <t>計画なし</t>
        </is>
      </c>
      <c r="Q36" s="11" t="n"/>
      <c r="R36" s="11" t="inlineStr">
        <is>
          <t>交通：町単独計画は見当たらず。県協議会でR8.3に地域旅客運送サービス継続実施計画（鶴岡三川線・三川酒田線）策定。山形県地域公共交通計画（前計画R3〜R7）は市町村の利便増進実施計画等を内包する県全域計画。次期計画はR8.2パブコメ（https://www200.pref.yamagata.jp/020057/keikakupabukomepress2.html ）を経てR8.3.27策定（期間は未確認、R8開始）。 環境：環境基本計画は検索で見当たらず。</t>
        </is>
      </c>
      <c r="S36" s="15" t="inlineStr">
        <is>
          <t>調査済</t>
        </is>
      </c>
      <c r="T36" s="17" t="inlineStr">
        <is>
          <t>未掲載【当方は計画あり】</t>
        </is>
      </c>
    </row>
    <row r="37">
      <c r="A37" s="11" t="n">
        <v>34</v>
      </c>
      <c r="B37" s="11" t="inlineStr">
        <is>
          <t>庄内町</t>
        </is>
      </c>
      <c r="C37" s="12">
        <f>IF(OR(D37="◎",E37="◎"),"◎ 営業",IF(OR(D37="△",E37="△"),"△ 着手済・要確認",IF(OR(D37="？",E37="？"),"？ 期間要確認","✕ 対象外")))</f>
        <v/>
      </c>
      <c r="D37" s="13">
        <f>IF(J37="計画なし","－",IF(J37="策定済","✕",IF(H37="","？",IF(AND(H37&gt;=TGT_MIN,H37&lt;=TGT_MAX),IF(J37="着手済","△","◎"),"✕"))))</f>
        <v/>
      </c>
      <c r="E37" s="13">
        <f>IF(P37="計画なし","－",IF(P37="策定済","✕",IF(N37="","？",IF(AND(N37&gt;=TGT_MIN,N37&lt;=TGT_MAX),IF(P37="着手済","△","◎"),"✕"))))</f>
        <v/>
      </c>
      <c r="F37" s="11" t="inlineStr">
        <is>
          <t>庄内町地域公共交通計画</t>
        </is>
      </c>
      <c r="G37" s="11" t="inlineStr">
        <is>
          <t>R8〜不明</t>
        </is>
      </c>
      <c r="H37" s="16" t="n"/>
      <c r="I37" s="13" t="inlineStr">
        <is>
          <t>推定</t>
        </is>
      </c>
      <c r="J37" s="13" t="inlineStr">
        <is>
          <t>策定済</t>
        </is>
      </c>
      <c r="K37" s="14" t="inlineStr">
        <is>
          <t>https://www.town.shonai.lg.jp/kurashi/koutsu/chiikikoukyou/tiikikoukyokotsukaigi.html</t>
        </is>
      </c>
      <c r="L37" s="11" t="inlineStr">
        <is>
          <t>第3次庄内町環境基本計画</t>
        </is>
      </c>
      <c r="M37" s="11" t="inlineStr">
        <is>
          <t>R8〜不明</t>
        </is>
      </c>
      <c r="N37" s="16" t="n"/>
      <c r="O37" s="13" t="inlineStr">
        <is>
          <t>推定</t>
        </is>
      </c>
      <c r="P37" s="13" t="inlineStr">
        <is>
          <t>策定済</t>
        </is>
      </c>
      <c r="Q37" s="14" t="inlineStr">
        <is>
          <t>https://www.town.shonai.lg.jp/gyousei/shisaku/seisaku/index.html</t>
        </is>
      </c>
      <c r="R37" s="11" t="inlineStr">
        <is>
          <t>交通：町単独の地域公共交通計画は検索で確認できず。山形県地域公共交通計画（前計画R3〜R7）は市町村の利便増進実施計画等を内包する県全域計画。次期計画はR8.2パブコメ（https://www200.pref.yamagata.jp/020057/keikakupabukomepress2.html ）を経てR8.3.27策定（期間は未確認、R8開始）。 環境：第2次（H29.3策定）の後継として第3次案のパブコメを経てR8.3策定とみられる（期間未確認）。計画一覧 https://www.town.shonai.lg.jp/gyousei/shisaku/index.files/R6_keikaku.pdf 。 【追加調査 2026-10】町単独の『庄内町地域公共交通計画』をR8.3策定（基本方針「住み続けたいまちの基盤となる交通体系の構築」）。計画（案）のパブコメ R8.2.2〜R8.2.24（https://www.town.shonai.lg.jp/gyousei/public/iken/koutuukeikaku.html ）。計画に基づき既存循環線4路線・デマンド2路線を区域運行型デマンドタクシー「しょうないデマンド」へ転換、AI予約配車システム導入委託をプロポで実施（https://www.town.shonai.lg.jp/kurashi/koutsu/choueibasu/demandtaxi_reservation_system.html ）。計画期間の終期は検索結果本文で確認できず（R8開始、5年ならR8〜R12）。町サイトはWebFetchブロック。2026-10-02検索。 根拠: 令和8年度からの「庄内町地域公共交通計画（案）」…令和8年2月2日から令和8年2月24日までパブリックコメント募集</t>
        </is>
      </c>
      <c r="S37" s="15" t="inlineStr">
        <is>
          <t>調査済</t>
        </is>
      </c>
      <c r="T37" s="11" t="inlineStr">
        <is>
          <t>掲載</t>
        </is>
      </c>
    </row>
    <row r="38">
      <c r="A38" s="11" t="n">
        <v>35</v>
      </c>
      <c r="B38" s="11" t="inlineStr">
        <is>
          <t>遊佐町</t>
        </is>
      </c>
      <c r="C38" s="12">
        <f>IF(OR(D38="◎",E38="◎"),"◎ 営業",IF(OR(D38="△",E38="△"),"△ 着手済・要確認",IF(OR(D38="？",E38="？"),"？ 期間要確認","✕ 対象外")))</f>
        <v/>
      </c>
      <c r="D38" s="13">
        <f>IF(J38="計画なし","－",IF(J38="策定済","✕",IF(H38="","？",IF(AND(H38&gt;=TGT_MIN,H38&lt;=TGT_MAX),IF(J38="着手済","△","◎"),"✕"))))</f>
        <v/>
      </c>
      <c r="E38" s="13">
        <f>IF(P38="計画なし","－",IF(P38="策定済","✕",IF(N38="","？",IF(AND(N38&gt;=TGT_MIN,N38&lt;=TGT_MAX),IF(P38="着手済","△","◎"),"✕"))))</f>
        <v/>
      </c>
      <c r="F38" s="11" t="inlineStr">
        <is>
          <t>山形県地域公共交通計画（県・市町村共同、次期計画R8.3.27策定）</t>
        </is>
      </c>
      <c r="G38" s="11" t="inlineStr">
        <is>
          <t>R8〜不明</t>
        </is>
      </c>
      <c r="H38" s="16" t="n"/>
      <c r="I38" s="13" t="inlineStr">
        <is>
          <t>推定</t>
        </is>
      </c>
      <c r="J38" s="13" t="inlineStr">
        <is>
          <t>策定済</t>
        </is>
      </c>
      <c r="K38" s="14" t="inlineStr">
        <is>
          <t>https://www.pref.yamagata.jp/020057/kurashi/kendo/kotsuseisaku/ykotsu_kasseikakyougikai.html</t>
        </is>
      </c>
      <c r="L38" s="11" t="inlineStr">
        <is>
          <t>第3次遊佐町環境基本計画</t>
        </is>
      </c>
      <c r="M38" s="11" t="inlineStr">
        <is>
          <t>R4〜R13</t>
        </is>
      </c>
      <c r="N38" s="16" t="n">
        <v>13</v>
      </c>
      <c r="O38" s="13" t="inlineStr">
        <is>
          <t>推定</t>
        </is>
      </c>
      <c r="P38" s="13" t="inlineStr">
        <is>
          <t>未確認</t>
        </is>
      </c>
      <c r="Q38" s="14" t="inlineStr">
        <is>
          <t>https://www.town.yuza.yamagata.jp/genre/living/environment</t>
        </is>
      </c>
      <c r="R38" s="11" t="inlineStr">
        <is>
          <t>交通：町単独計画は見当たらず。山形県地域公共交通計画（前計画R3〜R7）は市町村の利便増進実施計画等を内包する県全域計画。次期計画はR8.2パブコメ（https://www200.pref.yamagata.jp/020057/keikakupabukomepress2.html ）を経てR8.3.27策定（期間は未確認、R8開始）。 環境：第3次遊佐町環境基本計画の存在を確認（期間未確認）。R8.1策定の第9次振興計画で環境基本計画に言及。 【追加調査 2026-10】環境：町ドメイン検索の要約で第3次遊佐町環境基本計画の計画期間は令和4（2022）〜令和13（2031）年度。裏付け検索1回では再現せず、計画PDFのURLも未特定のため推定。 根拠: 第３次遊佐町環境基本計画 計画期間 令和4年度〜令和13年度（検索要約）</t>
        </is>
      </c>
      <c r="S38" s="15" t="inlineStr">
        <is>
          <t>調査済</t>
        </is>
      </c>
      <c r="T38" s="17" t="inlineStr">
        <is>
          <t>未掲載【当方は計画あり】</t>
        </is>
      </c>
    </row>
  </sheetData>
  <autoFilter ref="A3:T38"/>
  <conditionalFormatting sqref="A4:T38">
    <cfRule type="expression" priority="5" dxfId="0">
      <formula>LEFT($C4,1)="◎"</formula>
    </cfRule>
    <cfRule type="expression" priority="6" dxfId="1">
      <formula>LEFT($C4,1)="△"</formula>
    </cfRule>
    <cfRule type="expression" priority="7" dxfId="2">
      <formula>LEFT($C4,1)="？"</formula>
    </cfRule>
    <cfRule type="expression" priority="8" dxfId="3">
      <formula>LEFT($C4,1)="✕"</formula>
    </cfRule>
  </conditionalFormatting>
  <conditionalFormatting sqref="H4:H38">
    <cfRule type="expression" priority="1" dxfId="4" stopIfTrue="1">
      <formula>AND(ISNUMBER(H4),H4&gt;=TGT_MIN,H4&lt;=TGT_MAX)</formula>
    </cfRule>
    <cfRule type="expression" priority="2" dxfId="5">
      <formula>AND(ISNUMBER(H4),H4=TGT_MAX+1)</formula>
    </cfRule>
  </conditionalFormatting>
  <conditionalFormatting sqref="N4:N38">
    <cfRule type="expression" priority="3" dxfId="4" stopIfTrue="1">
      <formula>AND(ISNUMBER(N4),N4&gt;=TGT_MIN,N4&lt;=TGT_MAX)</formula>
    </cfRule>
    <cfRule type="expression" priority="4" dxfId="5">
      <formula>AND(ISNUMBER(N4),N4=TGT_MAX+1)</formula>
    </cfRule>
  </conditionalFormatting>
  <dataValidations count="1">
    <dataValidation sqref="J4:J38 P4:P38" showDropDown="0" showInputMessage="0" showErrorMessage="0" allowBlank="1" type="list">
      <formula1>"未確認,着手済,策定済,計画なし"</formula1>
    </dataValidation>
  </dataValidations>
  <hyperlinks>
    <hyperlink xmlns:r="http://schemas.openxmlformats.org/officeDocument/2006/relationships" ref="K4" r:id="rId1"/>
    <hyperlink xmlns:r="http://schemas.openxmlformats.org/officeDocument/2006/relationships" ref="Q4" r:id="rId2"/>
    <hyperlink xmlns:r="http://schemas.openxmlformats.org/officeDocument/2006/relationships" ref="K5" r:id="rId3"/>
    <hyperlink xmlns:r="http://schemas.openxmlformats.org/officeDocument/2006/relationships" ref="Q5" r:id="rId4"/>
    <hyperlink xmlns:r="http://schemas.openxmlformats.org/officeDocument/2006/relationships" ref="K6" r:id="rId5"/>
    <hyperlink xmlns:r="http://schemas.openxmlformats.org/officeDocument/2006/relationships" ref="Q6" r:id="rId6"/>
    <hyperlink xmlns:r="http://schemas.openxmlformats.org/officeDocument/2006/relationships" ref="K7" r:id="rId7"/>
    <hyperlink xmlns:r="http://schemas.openxmlformats.org/officeDocument/2006/relationships" ref="Q7" r:id="rId8"/>
    <hyperlink xmlns:r="http://schemas.openxmlformats.org/officeDocument/2006/relationships" ref="K8" r:id="rId9"/>
    <hyperlink xmlns:r="http://schemas.openxmlformats.org/officeDocument/2006/relationships" ref="Q8" r:id="rId10"/>
    <hyperlink xmlns:r="http://schemas.openxmlformats.org/officeDocument/2006/relationships" ref="K9" r:id="rId11"/>
    <hyperlink xmlns:r="http://schemas.openxmlformats.org/officeDocument/2006/relationships" ref="Q9" r:id="rId12"/>
    <hyperlink xmlns:r="http://schemas.openxmlformats.org/officeDocument/2006/relationships" ref="K10" r:id="rId13"/>
    <hyperlink xmlns:r="http://schemas.openxmlformats.org/officeDocument/2006/relationships" ref="Q10" r:id="rId14"/>
    <hyperlink xmlns:r="http://schemas.openxmlformats.org/officeDocument/2006/relationships" ref="K11" r:id="rId15"/>
    <hyperlink xmlns:r="http://schemas.openxmlformats.org/officeDocument/2006/relationships" ref="Q11" r:id="rId16"/>
    <hyperlink xmlns:r="http://schemas.openxmlformats.org/officeDocument/2006/relationships" ref="K12" r:id="rId17"/>
    <hyperlink xmlns:r="http://schemas.openxmlformats.org/officeDocument/2006/relationships" ref="Q12" r:id="rId18"/>
    <hyperlink xmlns:r="http://schemas.openxmlformats.org/officeDocument/2006/relationships" ref="K13" r:id="rId19"/>
    <hyperlink xmlns:r="http://schemas.openxmlformats.org/officeDocument/2006/relationships" ref="Q13" r:id="rId20"/>
    <hyperlink xmlns:r="http://schemas.openxmlformats.org/officeDocument/2006/relationships" ref="K14" r:id="rId21"/>
    <hyperlink xmlns:r="http://schemas.openxmlformats.org/officeDocument/2006/relationships" ref="Q14" r:id="rId22"/>
    <hyperlink xmlns:r="http://schemas.openxmlformats.org/officeDocument/2006/relationships" ref="K15" r:id="rId23"/>
    <hyperlink xmlns:r="http://schemas.openxmlformats.org/officeDocument/2006/relationships" ref="Q15" r:id="rId24"/>
    <hyperlink xmlns:r="http://schemas.openxmlformats.org/officeDocument/2006/relationships" ref="K16" r:id="rId25"/>
    <hyperlink xmlns:r="http://schemas.openxmlformats.org/officeDocument/2006/relationships" ref="K17" r:id="rId26"/>
    <hyperlink xmlns:r="http://schemas.openxmlformats.org/officeDocument/2006/relationships" ref="K18" r:id="rId27"/>
    <hyperlink xmlns:r="http://schemas.openxmlformats.org/officeDocument/2006/relationships" ref="Q19" r:id="rId28"/>
    <hyperlink xmlns:r="http://schemas.openxmlformats.org/officeDocument/2006/relationships" ref="K20" r:id="rId29"/>
    <hyperlink xmlns:r="http://schemas.openxmlformats.org/officeDocument/2006/relationships" ref="K21" r:id="rId30"/>
    <hyperlink xmlns:r="http://schemas.openxmlformats.org/officeDocument/2006/relationships" ref="Q21" r:id="rId31"/>
    <hyperlink xmlns:r="http://schemas.openxmlformats.org/officeDocument/2006/relationships" ref="K22" r:id="rId32"/>
    <hyperlink xmlns:r="http://schemas.openxmlformats.org/officeDocument/2006/relationships" ref="Q22" r:id="rId33"/>
    <hyperlink xmlns:r="http://schemas.openxmlformats.org/officeDocument/2006/relationships" ref="K23" r:id="rId34"/>
    <hyperlink xmlns:r="http://schemas.openxmlformats.org/officeDocument/2006/relationships" ref="K24" r:id="rId35"/>
    <hyperlink xmlns:r="http://schemas.openxmlformats.org/officeDocument/2006/relationships" ref="K25" r:id="rId36"/>
    <hyperlink xmlns:r="http://schemas.openxmlformats.org/officeDocument/2006/relationships" ref="K26" r:id="rId37"/>
    <hyperlink xmlns:r="http://schemas.openxmlformats.org/officeDocument/2006/relationships" ref="K27" r:id="rId38"/>
    <hyperlink xmlns:r="http://schemas.openxmlformats.org/officeDocument/2006/relationships" ref="K28" r:id="rId39"/>
    <hyperlink xmlns:r="http://schemas.openxmlformats.org/officeDocument/2006/relationships" ref="K29" r:id="rId40"/>
    <hyperlink xmlns:r="http://schemas.openxmlformats.org/officeDocument/2006/relationships" ref="K30" r:id="rId41"/>
    <hyperlink xmlns:r="http://schemas.openxmlformats.org/officeDocument/2006/relationships" ref="K31" r:id="rId42"/>
    <hyperlink xmlns:r="http://schemas.openxmlformats.org/officeDocument/2006/relationships" ref="Q31" r:id="rId43"/>
    <hyperlink xmlns:r="http://schemas.openxmlformats.org/officeDocument/2006/relationships" ref="K32" r:id="rId44"/>
    <hyperlink xmlns:r="http://schemas.openxmlformats.org/officeDocument/2006/relationships" ref="K33" r:id="rId45"/>
    <hyperlink xmlns:r="http://schemas.openxmlformats.org/officeDocument/2006/relationships" ref="K34" r:id="rId46"/>
    <hyperlink xmlns:r="http://schemas.openxmlformats.org/officeDocument/2006/relationships" ref="K35" r:id="rId47"/>
    <hyperlink xmlns:r="http://schemas.openxmlformats.org/officeDocument/2006/relationships" ref="K36" r:id="rId48"/>
    <hyperlink xmlns:r="http://schemas.openxmlformats.org/officeDocument/2006/relationships" ref="K37" r:id="rId49"/>
    <hyperlink xmlns:r="http://schemas.openxmlformats.org/officeDocument/2006/relationships" ref="Q37" r:id="rId50"/>
    <hyperlink xmlns:r="http://schemas.openxmlformats.org/officeDocument/2006/relationships" ref="K38" r:id="rId51"/>
    <hyperlink xmlns:r="http://schemas.openxmlformats.org/officeDocument/2006/relationships" ref="Q38" r:id="rId5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6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6" customWidth="1" min="3" max="3"/>
    <col width="7" customWidth="1" min="4" max="4"/>
    <col width="7" customWidth="1" min="5" max="5"/>
    <col width="30" customWidth="1" min="6" max="6"/>
    <col width="15" customWidth="1" min="7" max="7"/>
    <col width="9" customWidth="1" min="8" max="8"/>
    <col width="8" customWidth="1" min="9" max="9"/>
    <col width="9" customWidth="1" min="10" max="10"/>
    <col width="34" customWidth="1" min="11" max="11"/>
    <col width="30" customWidth="1" min="12" max="12"/>
    <col width="15" customWidth="1" min="13" max="13"/>
    <col width="9" customWidth="1" min="14" max="14"/>
    <col width="8" customWidth="1" min="15" max="15"/>
    <col width="9" customWidth="1" min="16" max="16"/>
    <col width="34" customWidth="1" min="17" max="17"/>
    <col width="55" customWidth="1" min="18" max="18"/>
    <col width="14" customWidth="1" min="19" max="19"/>
    <col width="24" customWidth="1" min="20" max="20"/>
  </cols>
  <sheetData>
    <row r="1">
      <c r="A1" s="1" t="inlineStr">
        <is>
          <t>福島県　地域公共交通計画・環境基本計画の終期一覧（2026年9月30日時点の調査）</t>
        </is>
      </c>
    </row>
    <row r="2">
      <c r="A2" s="9">
        <f>"営業判定の対象：終期 R"&amp;TGT_MIN&amp;"〜R"&amp;TGT_MAX&amp;"年度 →◎（着手済は△、期間不明は？）。終期セルの色：緑＝対象年度／橙＝その翌年度（次の候補）。対象年度は「集計・設定」シートのC4・C5のプルダウンで切替。"</f>
        <v/>
      </c>
    </row>
    <row r="3" ht="32" customHeight="1">
      <c r="A3" s="10" t="inlineStr">
        <is>
          <t>No</t>
        </is>
      </c>
      <c r="B3" s="10" t="inlineStr">
        <is>
          <t>市町村</t>
        </is>
      </c>
      <c r="C3" s="10" t="inlineStr">
        <is>
          <t>営業判定</t>
        </is>
      </c>
      <c r="D3" s="10" t="inlineStr">
        <is>
          <t>交通判定</t>
        </is>
      </c>
      <c r="E3" s="10" t="inlineStr">
        <is>
          <t>環境判定</t>
        </is>
      </c>
      <c r="F3" s="10" t="inlineStr">
        <is>
          <t>地域公共交通計画</t>
        </is>
      </c>
      <c r="G3" s="10" t="inlineStr">
        <is>
          <t>交通 計画期間</t>
        </is>
      </c>
      <c r="H3" s="10" t="inlineStr">
        <is>
          <t>交通 終期(令和年度)</t>
        </is>
      </c>
      <c r="I3" s="10" t="inlineStr">
        <is>
          <t>交通 確度</t>
        </is>
      </c>
      <c r="J3" s="10" t="inlineStr">
        <is>
          <t>交通 改定状況</t>
        </is>
      </c>
      <c r="K3" s="10" t="inlineStr">
        <is>
          <t>交通 計画リンク（エビデンス）</t>
        </is>
      </c>
      <c r="L3" s="10" t="inlineStr">
        <is>
          <t>環境基本計画</t>
        </is>
      </c>
      <c r="M3" s="10" t="inlineStr">
        <is>
          <t>環境 計画期間</t>
        </is>
      </c>
      <c r="N3" s="10" t="inlineStr">
        <is>
          <t>環境 終期(令和年度)</t>
        </is>
      </c>
      <c r="O3" s="10" t="inlineStr">
        <is>
          <t>環境 確度</t>
        </is>
      </c>
      <c r="P3" s="10" t="inlineStr">
        <is>
          <t>環境 改定状況</t>
        </is>
      </c>
      <c r="Q3" s="10" t="inlineStr">
        <is>
          <t>環境 計画リンク（エビデンス）</t>
        </is>
      </c>
      <c r="R3" s="10" t="inlineStr">
        <is>
          <t>注釈（改定作業の状況など）</t>
        </is>
      </c>
      <c r="S3" s="10" t="inlineStr">
        <is>
          <t>調査状況</t>
        </is>
      </c>
      <c r="T3" s="10" t="inlineStr">
        <is>
          <t>国交省一覧(R8.5末)</t>
        </is>
      </c>
    </row>
    <row r="4">
      <c r="A4" s="11" t="n">
        <v>1</v>
      </c>
      <c r="B4" s="11" t="inlineStr">
        <is>
          <t>福島市</t>
        </is>
      </c>
      <c r="C4" s="12">
        <f>IF(OR(D4="◎",E4="◎"),"◎ 営業",IF(OR(D4="△",E4="△"),"△ 着手済・要確認",IF(OR(D4="？",E4="？"),"？ 期間要確認","✕ 対象外")))</f>
        <v/>
      </c>
      <c r="D4" s="13">
        <f>IF(J4="計画なし","－",IF(J4="策定済","✕",IF(H4="","？",IF(AND(H4&gt;=TGT_MIN,H4&lt;=TGT_MAX),IF(J4="着手済","△","◎"),"✕"))))</f>
        <v/>
      </c>
      <c r="E4" s="13">
        <f>IF(P4="計画なし","－",IF(P4="策定済","✕",IF(N4="","？",IF(AND(N4&gt;=TGT_MIN,N4&lt;=TGT_MAX),IF(P4="着手済","△","◎"),"✕"))))</f>
        <v/>
      </c>
      <c r="F4" s="11" t="inlineStr">
        <is>
          <t>福島市地域公共交通計画</t>
        </is>
      </c>
      <c r="G4" s="11" t="inlineStr">
        <is>
          <t>R5〜R12（県計画に準拠）</t>
        </is>
      </c>
      <c r="H4" s="13" t="n">
        <v>12</v>
      </c>
      <c r="I4" s="13" t="inlineStr">
        <is>
          <t>確認済</t>
        </is>
      </c>
      <c r="J4" s="13" t="inlineStr">
        <is>
          <t>未確認</t>
        </is>
      </c>
      <c r="K4" s="14" t="inlineStr">
        <is>
          <t>https://www.city.fukushima.fukushima.jp/material/files/group/62/40koutuukeikaku-honnpenn1.pdf</t>
        </is>
      </c>
      <c r="L4" s="11" t="inlineStr">
        <is>
          <t>福島市環境基本計画（第3次）</t>
        </is>
      </c>
      <c r="M4" s="11" t="inlineStr">
        <is>
          <t>R3〜R7</t>
        </is>
      </c>
      <c r="N4" s="13" t="n">
        <v>7</v>
      </c>
      <c r="O4" s="13" t="inlineStr">
        <is>
          <t>確認済</t>
        </is>
      </c>
      <c r="P4" s="13" t="inlineStr">
        <is>
          <t>着手済</t>
        </is>
      </c>
      <c r="Q4" s="14" t="inlineStr">
        <is>
          <t>https://www.city.fukushima.fukushima.jp/material/files/group/36/02_r6_kannkyoukihonnkeikaku.pdf</t>
        </is>
      </c>
      <c r="R4" s="11" t="inlineStr">
        <is>
          <t>交通：R5.3策定、最終年度2027(R9)。R7.2.26に計画改定資料あり（一部改定）https://www.city.fukushima.fukushima.jp/material/files/group/62/20250226koutuukeikakukaitei1-3.pdf 。R7.10.3協議会で県北圏域地域公共交通利便増進実施計画の変更協議。R9終期のため次期計画策定はR8〜R9に着手見込み。環境：R7(2025)終期、2026年度からの第4次計画策定を環境審議会で審議開始（R7.6.23報道資料 https://www.city.fukushima.fukushima.jp/material/files/group/3/press2025-06-23-3.pdf）。第4次の策定完了は未確認。 【ファクトチェック 2026-10-01: 誤り】確認期間: R5〜R12（2023〜2030年度、8年間）／次期: 該当なし（終期R12のため次期計画は当面なし）／根拠: https://www.city.fukushima.fukushima.jp/material/files/group/62/40koutuukeikaku-honnpenn1.pdf</t>
        </is>
      </c>
      <c r="S4" s="15" t="inlineStr">
        <is>
          <t>調査済</t>
        </is>
      </c>
      <c r="T4" s="11" t="inlineStr">
        <is>
          <t>掲載（広域：福島県避難地域・阿武隈急行線地域）</t>
        </is>
      </c>
    </row>
    <row r="5">
      <c r="A5" s="11" t="n">
        <v>2</v>
      </c>
      <c r="B5" s="11" t="inlineStr">
        <is>
          <t>会津若松市</t>
        </is>
      </c>
      <c r="C5" s="12">
        <f>IF(OR(D5="◎",E5="◎"),"◎ 営業",IF(OR(D5="△",E5="△"),"△ 着手済・要確認",IF(OR(D5="？",E5="？"),"？ 期間要確認","✕ 対象外")))</f>
        <v/>
      </c>
      <c r="D5" s="13">
        <f>IF(J5="計画なし","－",IF(J5="策定済","✕",IF(H5="","？",IF(AND(H5&gt;=TGT_MIN,H5&lt;=TGT_MAX),IF(J5="着手済","△","◎"),"✕"))))</f>
        <v/>
      </c>
      <c r="E5" s="13">
        <f>IF(P5="計画なし","－",IF(P5="策定済","✕",IF(N5="","？",IF(AND(N5&gt;=TGT_MIN,N5&lt;=TGT_MAX),IF(P5="着手済","△","◎"),"✕"))))</f>
        <v/>
      </c>
      <c r="F5" s="11" t="inlineStr">
        <is>
          <t>会津圏域地域公共交通計画（会津若松市・喜多方市ほか6市町村共同）</t>
        </is>
      </c>
      <c r="G5" s="11" t="inlineStr">
        <is>
          <t>R8〜R13</t>
        </is>
      </c>
      <c r="H5" s="13" t="n">
        <v>13</v>
      </c>
      <c r="I5" s="13" t="inlineStr">
        <is>
          <t>確認済</t>
        </is>
      </c>
      <c r="J5" s="13" t="inlineStr">
        <is>
          <t>策定済</t>
        </is>
      </c>
      <c r="K5" s="14" t="inlineStr">
        <is>
          <t>https://www.pref.fukushima.lg.jp/sec/16005d/aizukenikimoukeikaku.html</t>
        </is>
      </c>
      <c r="L5" s="11" t="inlineStr">
        <is>
          <t>会津若松市第3期環境基本計画</t>
        </is>
      </c>
      <c r="M5" s="11" t="inlineStr">
        <is>
          <t>R6〜R12</t>
        </is>
      </c>
      <c r="N5" s="13" t="n">
        <v>12</v>
      </c>
      <c r="O5" s="13" t="inlineStr">
        <is>
          <t>確認済</t>
        </is>
      </c>
      <c r="P5" s="13" t="inlineStr">
        <is>
          <t>未確認</t>
        </is>
      </c>
      <c r="Q5" s="14" t="inlineStr">
        <is>
          <t>https://www.city.aizuwakamatsu.fukushima.jp/docs/2024050800012/</t>
        </is>
      </c>
      <c r="R5" s="11" t="inlineStr">
        <is>
          <t>交通：前計画（会津圏域地域公共交通網形成計画/再編実施計画 R2〜R7）の後継として新計画を策定、パブコメR7.12.15〜R8.1.5。環境：R6.3策定。</t>
        </is>
      </c>
      <c r="S5" s="15" t="inlineStr">
        <is>
          <t>調査済</t>
        </is>
      </c>
      <c r="T5" s="11" t="inlineStr">
        <is>
          <t>掲載（広域：会津圏域）</t>
        </is>
      </c>
    </row>
    <row r="6">
      <c r="A6" s="11" t="n">
        <v>3</v>
      </c>
      <c r="B6" s="11" t="inlineStr">
        <is>
          <t>郡山市</t>
        </is>
      </c>
      <c r="C6" s="12">
        <f>IF(OR(D6="◎",E6="◎"),"◎ 営業",IF(OR(D6="△",E6="△"),"△ 着手済・要確認",IF(OR(D6="？",E6="？"),"？ 期間要確認","✕ 対象外")))</f>
        <v/>
      </c>
      <c r="D6" s="13">
        <f>IF(J6="計画なし","－",IF(J6="策定済","✕",IF(H6="","？",IF(AND(H6&gt;=TGT_MIN,H6&lt;=TGT_MAX),IF(J6="着手済","△","◎"),"✕"))))</f>
        <v/>
      </c>
      <c r="E6" s="13">
        <f>IF(P6="計画なし","－",IF(P6="策定済","✕",IF(N6="","？",IF(AND(N6&gt;=TGT_MIN,N6&lt;=TGT_MAX),IF(P6="着手済","△","◎"),"✕"))))</f>
        <v/>
      </c>
      <c r="F6" s="11" t="inlineStr">
        <is>
          <t>郡山市総合交通計画マスタープラン（地域公共交通計画を包含）</t>
        </is>
      </c>
      <c r="G6" s="11" t="inlineStr">
        <is>
          <t>R5〜R12</t>
        </is>
      </c>
      <c r="H6" s="13" t="n">
        <v>12</v>
      </c>
      <c r="I6" s="13" t="inlineStr">
        <is>
          <t>確認済</t>
        </is>
      </c>
      <c r="J6" s="13" t="inlineStr">
        <is>
          <t>未確認</t>
        </is>
      </c>
      <c r="K6" s="14" t="inlineStr">
        <is>
          <t>https://www.city.koriyama.lg.jp/soshiki/125/68026.html</t>
        </is>
      </c>
      <c r="L6" s="11" t="inlineStr">
        <is>
          <t>郡山市第五次環境基本計画</t>
        </is>
      </c>
      <c r="M6" s="11" t="inlineStr">
        <is>
          <t>R8〜R11</t>
        </is>
      </c>
      <c r="N6" s="13" t="n">
        <v>11</v>
      </c>
      <c r="O6" s="13" t="inlineStr">
        <is>
          <t>確認済</t>
        </is>
      </c>
      <c r="P6" s="13" t="inlineStr">
        <is>
          <t>着手済</t>
        </is>
      </c>
      <c r="Q6" s="14" t="inlineStr">
        <is>
          <t>https://www.city.koriyama.lg.jp/uploaded/attachment/109925.pdf</t>
        </is>
      </c>
      <c r="R6" s="11" t="inlineStr">
        <is>
          <t>交通：活性化再生法第5条の地域公共交通計画・バリアフリー方針を統合した総合計画。環境：第四次R4〜R7満了、第五次（R8〜R11）案のパブコメR8.2.17〜3.18実施、策定完了は未確認（R8.3策定の可能性大）。e_urlは第五次関連の検索上位PDF。旧e_url（第四次掲載の年次報告書）https://www.city.koriyama.lg.jp/uploaded/attachment/76651.pdf</t>
        </is>
      </c>
      <c r="S6" s="15" t="inlineStr">
        <is>
          <t>調査済</t>
        </is>
      </c>
      <c r="T6" s="11" t="inlineStr">
        <is>
          <t>掲載</t>
        </is>
      </c>
    </row>
    <row r="7">
      <c r="A7" s="11" t="n">
        <v>4</v>
      </c>
      <c r="B7" s="11" t="inlineStr">
        <is>
          <t>いわき市</t>
        </is>
      </c>
      <c r="C7" s="12">
        <f>IF(OR(D7="◎",E7="◎"),"◎ 営業",IF(OR(D7="△",E7="△"),"△ 着手済・要確認",IF(OR(D7="？",E7="？"),"？ 期間要確認","✕ 対象外")))</f>
        <v/>
      </c>
      <c r="D7" s="13">
        <f>IF(J7="計画なし","－",IF(J7="策定済","✕",IF(H7="","？",IF(AND(H7&gt;=TGT_MIN,H7&lt;=TGT_MAX),IF(J7="着手済","△","◎"),"✕"))))</f>
        <v/>
      </c>
      <c r="E7" s="13">
        <f>IF(P7="計画なし","－",IF(P7="策定済","✕",IF(N7="","？",IF(AND(N7&gt;=TGT_MIN,N7&lt;=TGT_MAX),IF(P7="着手済","△","◎"),"✕"))))</f>
        <v/>
      </c>
      <c r="F7" s="11" t="inlineStr">
        <is>
          <t>いわき市地域公共交通計画</t>
        </is>
      </c>
      <c r="G7" s="11" t="inlineStr">
        <is>
          <t>R5〜R9</t>
        </is>
      </c>
      <c r="H7" s="13" t="n">
        <v>9</v>
      </c>
      <c r="I7" s="13" t="inlineStr">
        <is>
          <t>確認済</t>
        </is>
      </c>
      <c r="J7" s="13" t="inlineStr">
        <is>
          <t>未確認</t>
        </is>
      </c>
      <c r="K7" s="14" t="inlineStr">
        <is>
          <t>https://www.city.iwaki.lg.jp/www/contents/1679296597893/simple/koukyoukoutuukeikaku1.pdf</t>
        </is>
      </c>
      <c r="L7" s="11" t="inlineStr">
        <is>
          <t>いわき市環境基本計画（第三次）（中間改定版）</t>
        </is>
      </c>
      <c r="M7" s="11" t="inlineStr">
        <is>
          <t>R3〜R12</t>
        </is>
      </c>
      <c r="N7" s="13" t="n">
        <v>12</v>
      </c>
      <c r="O7" s="13" t="inlineStr">
        <is>
          <t>確認済</t>
        </is>
      </c>
      <c r="P7" s="13" t="inlineStr">
        <is>
          <t>策定済</t>
        </is>
      </c>
      <c r="Q7" s="14" t="inlineStr">
        <is>
          <t>https://www.city.iwaki.lg.jp/www/contents/1774836268840/simple/gaiyo.pdf</t>
        </is>
      </c>
      <c r="R7" s="11" t="inlineStr">
        <is>
          <t>交通：R5.3策定、計画期間「概ね5年間」（R9終期は推定）。R7.1.20第15回いわき都市圏総合都市交通推進協議会で計画改定を協議（一部改定）。次期計画策定の着手は検索で確認できず（R9終期のため要注視）。概要版 https://www.city.iwaki.lg.jp/www/contents/1679296597893/simple/gaiyouban.pdf 。環境：第三次R3〜R12（R3.3策定）、R6〜R7で中間の一部改定を実施、改定版の期間R8〜R12（概要gaiyo.pdf）。 【ファクトチェック 2026-10-01: 正しい】確認期間: R5〜R9（令和5年3月〜令和10年3月、概ね5年間）／次期: 確認できず（次期計画策定業務・協議会での審議情報は見当たらず）／根拠: https://www.city.iwaki.lg.jp/www/contents/1679296597893/index.html</t>
        </is>
      </c>
      <c r="S7" s="15" t="inlineStr">
        <is>
          <t>調査済</t>
        </is>
      </c>
      <c r="T7" s="11" t="inlineStr">
        <is>
          <t>掲載（広域：福島県避難地域）</t>
        </is>
      </c>
    </row>
    <row r="8">
      <c r="A8" s="11" t="n">
        <v>5</v>
      </c>
      <c r="B8" s="11" t="inlineStr">
        <is>
          <t>白河市</t>
        </is>
      </c>
      <c r="C8" s="12">
        <f>IF(OR(D8="◎",E8="◎"),"◎ 営業",IF(OR(D8="△",E8="△"),"△ 着手済・要確認",IF(OR(D8="？",E8="？"),"？ 期間要確認","✕ 対象外")))</f>
        <v/>
      </c>
      <c r="D8" s="13">
        <f>IF(J8="計画なし","－",IF(J8="策定済","✕",IF(H8="","？",IF(AND(H8&gt;=TGT_MIN,H8&lt;=TGT_MAX),IF(J8="着手済","△","◎"),"✕"))))</f>
        <v/>
      </c>
      <c r="E8" s="13">
        <f>IF(P8="計画なし","－",IF(P8="策定済","✕",IF(N8="","？",IF(AND(N8&gt;=TGT_MIN,N8&lt;=TGT_MAX),IF(P8="着手済","△","◎"),"✕"))))</f>
        <v/>
      </c>
      <c r="F8" s="11" t="inlineStr">
        <is>
          <t>白河市地域公共交通計画</t>
        </is>
      </c>
      <c r="G8" s="11" t="inlineStr">
        <is>
          <t>R6〜R10</t>
        </is>
      </c>
      <c r="H8" s="13" t="n">
        <v>10</v>
      </c>
      <c r="I8" s="13" t="inlineStr">
        <is>
          <t>確認済</t>
        </is>
      </c>
      <c r="J8" s="13" t="inlineStr">
        <is>
          <t>未確認</t>
        </is>
      </c>
      <c r="K8" s="14" t="inlineStr">
        <is>
          <t>https://www.city.shirakawa.fukushima.jp/data/doc/1712536078_doc_45_0.pdf</t>
        </is>
      </c>
      <c r="L8" s="11" t="inlineStr">
        <is>
          <t>第3次白河市環境基本計画</t>
        </is>
      </c>
      <c r="M8" s="11" t="inlineStr">
        <is>
          <t>R3〜R12</t>
        </is>
      </c>
      <c r="N8" s="13" t="n">
        <v>12</v>
      </c>
      <c r="O8" s="13" t="inlineStr">
        <is>
          <t>確認済</t>
        </is>
      </c>
      <c r="P8" s="13" t="inlineStr">
        <is>
          <t>未確認</t>
        </is>
      </c>
      <c r="Q8" s="14" t="inlineStr">
        <is>
          <t>https://www.city.shirakawa.fukushima.jp/data/doc/1634185398_doc_49_0.pdf</t>
        </is>
      </c>
      <c r="R8" s="11" t="inlineStr">
        <is>
          <t>交通：R6.3策定、R6〜R10の5年間。環境：第3次2021〜2030年度（第2次はH28策定）。e_urlは検索上位のPDF（計画本体か要確認）。次期計画作業は確認できず。</t>
        </is>
      </c>
      <c r="S8" s="15" t="inlineStr">
        <is>
          <t>調査済</t>
        </is>
      </c>
      <c r="T8" s="11" t="inlineStr">
        <is>
          <t>掲載</t>
        </is>
      </c>
    </row>
    <row r="9">
      <c r="A9" s="11" t="n">
        <v>6</v>
      </c>
      <c r="B9" s="11" t="inlineStr">
        <is>
          <t>須賀川市</t>
        </is>
      </c>
      <c r="C9" s="12">
        <f>IF(OR(D9="◎",E9="◎"),"◎ 営業",IF(OR(D9="△",E9="△"),"△ 着手済・要確認",IF(OR(D9="？",E9="？"),"？ 期間要確認","✕ 対象外")))</f>
        <v/>
      </c>
      <c r="D9" s="13">
        <f>IF(J9="計画なし","－",IF(J9="策定済","✕",IF(H9="","？",IF(AND(H9&gt;=TGT_MIN,H9&lt;=TGT_MAX),IF(J9="着手済","△","◎"),"✕"))))</f>
        <v/>
      </c>
      <c r="E9" s="13">
        <f>IF(P9="計画なし","－",IF(P9="策定済","✕",IF(N9="","？",IF(AND(N9&gt;=TGT_MIN,N9&lt;=TGT_MAX),IF(P9="着手済","△","◎"),"✕"))))</f>
        <v/>
      </c>
      <c r="F9" s="11" t="inlineStr">
        <is>
          <t>須賀川市地域公共交通計画</t>
        </is>
      </c>
      <c r="G9" s="11" t="inlineStr">
        <is>
          <t>不明</t>
        </is>
      </c>
      <c r="H9" s="13" t="n"/>
      <c r="I9" s="13" t="inlineStr">
        <is>
          <t>不明</t>
        </is>
      </c>
      <c r="J9" s="13" t="inlineStr">
        <is>
          <t>未確認</t>
        </is>
      </c>
      <c r="K9" s="14" t="inlineStr">
        <is>
          <t>https://www.city.sukagawa.fukushima.jp/kurashi/koutsu/koutsu_keikaku/1015962.html</t>
        </is>
      </c>
      <c r="L9" s="11" t="inlineStr">
        <is>
          <t>第3次須賀川市環境基本計画（中間改定版）</t>
        </is>
      </c>
      <c r="M9" s="11" t="inlineStr">
        <is>
          <t>H30〜R9</t>
        </is>
      </c>
      <c r="N9" s="16" t="n">
        <v>9</v>
      </c>
      <c r="O9" s="13" t="inlineStr">
        <is>
          <t>推定</t>
        </is>
      </c>
      <c r="P9" s="13" t="inlineStr">
        <is>
          <t>未確認</t>
        </is>
      </c>
      <c r="Q9" s="14" t="inlineStr">
        <is>
          <t>https://www.city.sukagawa.fukushima.jp/kurashi/gomi_recycle/kankyo_hozen/1002334/index.html</t>
        </is>
      </c>
      <c r="R9" s="11" t="inlineStr">
        <is>
          <t>交通：計画ページあり、R7.1.29一部改定。計画期間は検索で確認できず。環境：第3次計画（中間改定版）を公表（計画・条例ページ）、期間は検索で確認できず。区域施策編はR4〜R12。参考：須賀川市の環境（R7.5）https://www.city.sukagawa.fukushima.jp/material/files/group/47/r05shinokankyo.pdf 【追加調査 2026-10】市サイト内検索の要約で第3次計画はH30(2018)〜R9(2027)、R4.3中間見直し（出典は『須賀川市の環境』R7.5 https://www.city.sukagawa.fukushima.jp/material/files/group/47/r05shinokankyo.pdf と思われるが本文未確認）。R9終期だが次期（第4次）計画の策定業務・審議会等は市サイト検索で見当たらず。 根拠: Third Environmental Basic Plan covers the period from fiscal year 2018 (Heisei 30) to fiscal year 2027 (Reiwa 9)（検索要約）</t>
        </is>
      </c>
      <c r="S9" s="15" t="inlineStr">
        <is>
          <t>調査済</t>
        </is>
      </c>
      <c r="T9" s="11" t="inlineStr">
        <is>
          <t>掲載</t>
        </is>
      </c>
    </row>
    <row r="10">
      <c r="A10" s="11" t="n">
        <v>7</v>
      </c>
      <c r="B10" s="11" t="inlineStr">
        <is>
          <t>喜多方市</t>
        </is>
      </c>
      <c r="C10" s="12">
        <f>IF(OR(D10="◎",E10="◎"),"◎ 営業",IF(OR(D10="△",E10="△"),"△ 着手済・要確認",IF(OR(D10="？",E10="？"),"？ 期間要確認","✕ 対象外")))</f>
        <v/>
      </c>
      <c r="D10" s="13">
        <f>IF(J10="計画なし","－",IF(J10="策定済","✕",IF(H10="","？",IF(AND(H10&gt;=TGT_MIN,H10&lt;=TGT_MAX),IF(J10="着手済","△","◎"),"✕"))))</f>
        <v/>
      </c>
      <c r="E10" s="13">
        <f>IF(P10="計画なし","－",IF(P10="策定済","✕",IF(N10="","？",IF(AND(N10&gt;=TGT_MIN,N10&lt;=TGT_MAX),IF(P10="着手済","△","◎"),"✕"))))</f>
        <v/>
      </c>
      <c r="F10" s="11" t="inlineStr">
        <is>
          <t>会津圏域地域公共交通計画（会津若松市・喜多方市ほか共同）</t>
        </is>
      </c>
      <c r="G10" s="11" t="inlineStr">
        <is>
          <t>R8〜R13</t>
        </is>
      </c>
      <c r="H10" s="13" t="n">
        <v>13</v>
      </c>
      <c r="I10" s="13" t="inlineStr">
        <is>
          <t>確認済</t>
        </is>
      </c>
      <c r="J10" s="13" t="inlineStr">
        <is>
          <t>策定済</t>
        </is>
      </c>
      <c r="K10" s="14" t="inlineStr">
        <is>
          <t>https://www.pref.fukushima.lg.jp/sec/16005d/aizukenikimoukeikaku.html</t>
        </is>
      </c>
      <c r="L10" s="11" t="inlineStr">
        <is>
          <t>喜多方市環境基本計画（R4.3中間見直し）</t>
        </is>
      </c>
      <c r="M10" s="11" t="inlineStr">
        <is>
          <t>H28〜R8</t>
        </is>
      </c>
      <c r="N10" s="16" t="n">
        <v>8</v>
      </c>
      <c r="O10" s="13" t="inlineStr">
        <is>
          <t>推定</t>
        </is>
      </c>
      <c r="P10" s="13" t="inlineStr">
        <is>
          <t>未確認</t>
        </is>
      </c>
      <c r="Q10" s="14" t="inlineStr">
        <is>
          <t>https://www.city.kitakata.fukushima.jp/life/4/25/125/</t>
        </is>
      </c>
      <c r="R10" s="11" t="inlineStr">
        <is>
          <t>交通：会津圏域6市町村共同計画、パブコメR7.12.15〜R8.1.5、R8〜R13。環境：環境基本計画ありR4.3.29中間見直し（地球温暖化対策総合ビジョン2023-2050を個別方針に位置付け https://www.city.kitakata.fukushima.jp/soshiki/kankyo/49610.html ）、計画期間は検索で確認できず（中間見直しR4から逆算するとR8前後終期の可能性、要確認）。 【追加調査 2026-10】市サイト内検索の要約2件でH28(2016)〜R8(2026)、R4.3中間見直し（パブコメ結果R4.3.2公表）。本文未確認のため推定（e_urlは市の計画一覧ページ）。R8終期だが次期計画の策定業務・審議会・パブコメ等は市サイト検索（R7〜R8）で見当たらず＝未確認。 根拠: planning period spanning fiscal year 2016 (平成28年度) through fiscal year 2026 (令和8年度)（検索要約）</t>
        </is>
      </c>
      <c r="S10" s="15" t="inlineStr">
        <is>
          <t>調査済</t>
        </is>
      </c>
      <c r="T10" s="11" t="inlineStr">
        <is>
          <t>掲載（広域：会津圏域）</t>
        </is>
      </c>
    </row>
    <row r="11">
      <c r="A11" s="11" t="n">
        <v>8</v>
      </c>
      <c r="B11" s="11" t="inlineStr">
        <is>
          <t>相馬市</t>
        </is>
      </c>
      <c r="C11" s="12">
        <f>IF(OR(D11="◎",E11="◎"),"◎ 営業",IF(OR(D11="△",E11="△"),"△ 着手済・要確認",IF(OR(D11="？",E11="？"),"？ 期間要確認","✕ 対象外")))</f>
        <v/>
      </c>
      <c r="D11" s="13">
        <f>IF(J11="計画なし","－",IF(J11="策定済","✕",IF(H11="","？",IF(AND(H11&gt;=TGT_MIN,H11&lt;=TGT_MAX),IF(J11="着手済","△","◎"),"✕"))))</f>
        <v/>
      </c>
      <c r="E11" s="13">
        <f>IF(P11="計画なし","－",IF(P11="策定済","✕",IF(N11="","？",IF(AND(N11&gt;=TGT_MIN,N11&lt;=TGT_MAX),IF(P11="着手済","△","◎"),"✕"))))</f>
        <v/>
      </c>
      <c r="F11" s="11" t="n"/>
      <c r="G11" s="11" t="inlineStr">
        <is>
          <t>不明</t>
        </is>
      </c>
      <c r="H11" s="13" t="n"/>
      <c r="I11" s="13" t="inlineStr">
        <is>
          <t>不明</t>
        </is>
      </c>
      <c r="J11" s="13" t="inlineStr">
        <is>
          <t>未確認</t>
        </is>
      </c>
      <c r="K11" s="11" t="n"/>
      <c r="L11" s="11" t="inlineStr">
        <is>
          <t>第2次相馬市環境基本計画</t>
        </is>
      </c>
      <c r="M11" s="11" t="inlineStr">
        <is>
          <t>H30〜R9</t>
        </is>
      </c>
      <c r="N11" s="16" t="n">
        <v>9</v>
      </c>
      <c r="O11" s="13" t="inlineStr">
        <is>
          <t>推定</t>
        </is>
      </c>
      <c r="P11" s="13" t="inlineStr">
        <is>
          <t>未確認</t>
        </is>
      </c>
      <c r="Q11" s="14" t="inlineStr">
        <is>
          <t>https://www.city.soma.fukushima.jp/shinososhiki/seikatsukankyoka/keikaku_shisaku/1622.html</t>
        </is>
      </c>
      <c r="R11" s="11" t="inlineStr">
        <is>
          <t>交通・環境とも検索で確認できず（市サイト内検索でも該当ページ出ず、南相馬市の結果に埋もれる）。公共交通情報 https://www.city.soma.fukushima.jp/shinososhiki/kikakuseisakuka/seikatsu/1/1679.html 。参考：福島県地域公共交通計画（R6.3策定）https://www.pref.fukushima.lg.jp/uploaded/attachment/622613.pdf 【追加調査 2026-10】市HP「環境・廃棄物」計画ページ（1622.html）に相馬市環境基本条例に基づく相馬市環境基本計画を掲載。検索要約で第2次計画はH30.3策定・10年間（H30〜R9）、策定5年経過で見直し実施。R9終期だが第3次計画の策定作業は市サイト検索で見当たらず（R8.8に長期総合計画の審議会・市民アンケートは開始）。 根拠: 第2次相馬市環境基本計画は平成30年3月に策定され、10年間を計画期間（検索要約）</t>
        </is>
      </c>
      <c r="S11" s="18" t="inlineStr">
        <is>
          <t>環境のみ調査</t>
        </is>
      </c>
      <c r="T11" s="11" t="inlineStr">
        <is>
          <t>未掲載</t>
        </is>
      </c>
    </row>
    <row r="12">
      <c r="A12" s="11" t="n">
        <v>9</v>
      </c>
      <c r="B12" s="11" t="inlineStr">
        <is>
          <t>二本松市</t>
        </is>
      </c>
      <c r="C12" s="12">
        <f>IF(OR(D12="◎",E12="◎"),"◎ 営業",IF(OR(D12="△",E12="△"),"△ 着手済・要確認",IF(OR(D12="？",E12="？"),"？ 期間要確認","✕ 対象外")))</f>
        <v/>
      </c>
      <c r="D12" s="13">
        <f>IF(J12="計画なし","－",IF(J12="策定済","✕",IF(H12="","？",IF(AND(H12&gt;=TGT_MIN,H12&lt;=TGT_MAX),IF(J12="着手済","△","◎"),"✕"))))</f>
        <v/>
      </c>
      <c r="E12" s="13">
        <f>IF(P12="計画なし","－",IF(P12="策定済","✕",IF(N12="","？",IF(AND(N12&gt;=TGT_MIN,N12&lt;=TGT_MAX),IF(P12="着手済","△","◎"),"✕"))))</f>
        <v/>
      </c>
      <c r="F12" s="11" t="inlineStr">
        <is>
          <t>二本松市地域公共交通計画</t>
        </is>
      </c>
      <c r="G12" s="11" t="inlineStr">
        <is>
          <t>R6〜不明</t>
        </is>
      </c>
      <c r="H12" s="13" t="n"/>
      <c r="I12" s="13" t="inlineStr">
        <is>
          <t>不明</t>
        </is>
      </c>
      <c r="J12" s="13" t="inlineStr">
        <is>
          <t>未確認</t>
        </is>
      </c>
      <c r="K12" s="14" t="inlineStr">
        <is>
          <t>https://www.city.nihonmatsu.lg.jp/kurashi_tetsuduki/koutsu/page011927.html</t>
        </is>
      </c>
      <c r="L12" s="11" t="inlineStr">
        <is>
          <t>第2次二本松市環境基本計画（改定版）</t>
        </is>
      </c>
      <c r="M12" s="11" t="inlineStr">
        <is>
          <t>R1〜R10</t>
        </is>
      </c>
      <c r="N12" s="13" t="n">
        <v>10</v>
      </c>
      <c r="O12" s="13" t="inlineStr">
        <is>
          <t>確認済</t>
        </is>
      </c>
      <c r="P12" s="13" t="inlineStr">
        <is>
          <t>未確認</t>
        </is>
      </c>
      <c r="Q12" s="14" t="inlineStr">
        <is>
          <t>https://www.city.nihonmatsu.lg.jp/data/doc/1716164612_doc_33_0.pdf</t>
        </is>
      </c>
      <c r="R12" s="11" t="inlineStr">
        <is>
          <t>交通：R6.3策定（網形成計画R1〜R5の後継）、終期は検索で確認できず（5年ならR10）。環境：第2次2019〜2028年度、R6.5改定（区域施策編を包含）。次期計画作業は確認できず。</t>
        </is>
      </c>
      <c r="S12" s="15" t="inlineStr">
        <is>
          <t>調査済</t>
        </is>
      </c>
      <c r="T12" s="11" t="inlineStr">
        <is>
          <t>掲載</t>
        </is>
      </c>
    </row>
    <row r="13">
      <c r="A13" s="11" t="n">
        <v>10</v>
      </c>
      <c r="B13" s="11" t="inlineStr">
        <is>
          <t>田村市</t>
        </is>
      </c>
      <c r="C13" s="12">
        <f>IF(OR(D13="◎",E13="◎"),"◎ 営業",IF(OR(D13="△",E13="△"),"△ 着手済・要確認",IF(OR(D13="？",E13="？"),"？ 期間要確認","✕ 対象外")))</f>
        <v/>
      </c>
      <c r="D13" s="13">
        <f>IF(J13="計画なし","－",IF(J13="策定済","✕",IF(H13="","？",IF(AND(H13&gt;=TGT_MIN,H13&lt;=TGT_MAX),IF(J13="着手済","△","◎"),"✕"))))</f>
        <v/>
      </c>
      <c r="E13" s="13">
        <f>IF(P13="計画なし","－",IF(P13="策定済","✕",IF(N13="","？",IF(AND(N13&gt;=TGT_MIN,N13&lt;=TGT_MAX),IF(P13="着手済","△","◎"),"✕"))))</f>
        <v/>
      </c>
      <c r="F13" s="11" t="inlineStr">
        <is>
          <t>田村市地域公共交通計画</t>
        </is>
      </c>
      <c r="G13" s="11" t="inlineStr">
        <is>
          <t>R4〜R8</t>
        </is>
      </c>
      <c r="H13" s="13" t="n">
        <v>8</v>
      </c>
      <c r="I13" s="13" t="inlineStr">
        <is>
          <t>確認済</t>
        </is>
      </c>
      <c r="J13" s="13" t="inlineStr">
        <is>
          <t>着手済</t>
        </is>
      </c>
      <c r="K13" s="14" t="inlineStr">
        <is>
          <t>https://www.city.tamura.lg.jp/soshiki/1/assets/【set】田村市地域公共交通計画概要版2406改訂.pdf</t>
        </is>
      </c>
      <c r="L13" s="11" t="n"/>
      <c r="M13" s="11" t="inlineStr">
        <is>
          <t>不明</t>
        </is>
      </c>
      <c r="N13" s="13" t="n"/>
      <c r="O13" s="13" t="inlineStr">
        <is>
          <t>不明</t>
        </is>
      </c>
      <c r="P13" s="13" t="inlineStr">
        <is>
          <t>計画なし</t>
        </is>
      </c>
      <c r="Q13" s="11" t="n"/>
      <c r="R13" s="11" t="inlineStr">
        <is>
          <t>交通：R4〜R8、R6.6一部改訂。R8.3協議会で「第2次田村市地域公共交通計画策定業務」の審査委員会設置を協議→次期計画策定着手（資料 https://www.city.tamura.lg.jp/soshiki/1/assets/%E8%B3%87%E6%96%99%E4%B8%80%E5%BC%8F%EF%BC%88R7%E7%AC%AC1%E5%9B%9E%EF%BC%89.pdf ほか）。環境：環境基本計画は検索で確認できず（一般廃棄物処理計画等のみヒット）。 【追加調査 2026-10】市サイト内検索で環境基本計画は見当たらず、環境分野は第4期田村市地球温暖化対策実行計画【区域施策編・事務事業編】(R4〜R12, https://www.city.tamura.lg.jp/soshiki/8/entry_5.html)・地域新エネルギービジョン・一般廃棄物処理基本計画のみ。第2次総合計画が上位計画。根拠は検索ベースで中程度。 根拠: 第４期田村市地球温暖化対策実行計画【区域施策編・事務事業編】</t>
        </is>
      </c>
      <c r="S13" s="15" t="inlineStr">
        <is>
          <t>調査済</t>
        </is>
      </c>
      <c r="T13" s="11" t="inlineStr">
        <is>
          <t>掲載（広域：福島県避難地域）</t>
        </is>
      </c>
    </row>
    <row r="14">
      <c r="A14" s="11" t="n">
        <v>11</v>
      </c>
      <c r="B14" s="11" t="inlineStr">
        <is>
          <t>南相馬市</t>
        </is>
      </c>
      <c r="C14" s="12">
        <f>IF(OR(D14="◎",E14="◎"),"◎ 営業",IF(OR(D14="△",E14="△"),"△ 着手済・要確認",IF(OR(D14="？",E14="？"),"？ 期間要確認","✕ 対象外")))</f>
        <v/>
      </c>
      <c r="D14" s="13">
        <f>IF(J14="計画なし","－",IF(J14="策定済","✕",IF(H14="","？",IF(AND(H14&gt;=TGT_MIN,H14&lt;=TGT_MAX),IF(J14="着手済","△","◎"),"✕"))))</f>
        <v/>
      </c>
      <c r="E14" s="13">
        <f>IF(P14="計画なし","－",IF(P14="策定済","✕",IF(N14="","？",IF(AND(N14&gt;=TGT_MIN,N14&lt;=TGT_MAX),IF(P14="着手済","△","◎"),"✕"))))</f>
        <v/>
      </c>
      <c r="F14" s="11" t="inlineStr">
        <is>
          <t>南相馬市地域公共交通計画</t>
        </is>
      </c>
      <c r="G14" s="11" t="inlineStr">
        <is>
          <t>R8〜R12</t>
        </is>
      </c>
      <c r="H14" s="13" t="n">
        <v>12</v>
      </c>
      <c r="I14" s="13" t="inlineStr">
        <is>
          <t>確認済</t>
        </is>
      </c>
      <c r="J14" s="13" t="inlineStr">
        <is>
          <t>策定済</t>
        </is>
      </c>
      <c r="K14" s="14" t="inlineStr">
        <is>
          <t>https://www.city.minamisoma.lg.jp/material/files/group/3/202601281245.pdf</t>
        </is>
      </c>
      <c r="L14" s="11" t="inlineStr">
        <is>
          <t>第三次南相馬市環境基本計画</t>
        </is>
      </c>
      <c r="M14" s="11" t="inlineStr">
        <is>
          <t>R5〜R12（推定）</t>
        </is>
      </c>
      <c r="N14" s="16" t="n">
        <v>12</v>
      </c>
      <c r="O14" s="13" t="inlineStr">
        <is>
          <t>推定</t>
        </is>
      </c>
      <c r="P14" s="13" t="inlineStr">
        <is>
          <t>未確認</t>
        </is>
      </c>
      <c r="Q14" s="14" t="inlineStr">
        <is>
          <t>https://www.city.minamisoma.lg.jp/material/files/group/3/20231024_co148.pdf</t>
        </is>
      </c>
      <c r="R14" s="11" t="inlineStr">
        <is>
          <t>交通：新計画R8〜R12（R8.1資料）。旧計画概要 https://www.city.minamisoma.lg.jp/material/files/group/13/koutuukeikakugaiyou.pdf 。環境：第三次計画R5.10策定（第二次はH36=R6まで）、期間は検索で確認できず（R6開始と推定）。ゼロカーボン推進計画2023〜2030。 【追加調査 2026-10】市サイト内検索の要約で第三次計画は2023〜2030年度（8年間）・4年後中間評価とされる（R5.10策定、第三次総合計画R5〜R12と整合）。ただし別の要約ではR6〜R13とも出ており本文未確認のため推定。終期R12で次期作業は対象外。 根拠: The plan period spans from fiscal year 2023 to fiscal year 2030 (8 years)（検索要約）</t>
        </is>
      </c>
      <c r="S14" s="15" t="inlineStr">
        <is>
          <t>調査済</t>
        </is>
      </c>
      <c r="T14" s="17" t="inlineStr">
        <is>
          <t>掲載（広域：福島県避難地域）／期間満了</t>
        </is>
      </c>
    </row>
    <row r="15">
      <c r="A15" s="11" t="n">
        <v>12</v>
      </c>
      <c r="B15" s="11" t="inlineStr">
        <is>
          <t>伊達市</t>
        </is>
      </c>
      <c r="C15" s="12">
        <f>IF(OR(D15="◎",E15="◎"),"◎ 営業",IF(OR(D15="△",E15="△"),"△ 着手済・要確認",IF(OR(D15="？",E15="？"),"？ 期間要確認","✕ 対象外")))</f>
        <v/>
      </c>
      <c r="D15" s="13">
        <f>IF(J15="計画なし","－",IF(J15="策定済","✕",IF(H15="","？",IF(AND(H15&gt;=TGT_MIN,H15&lt;=TGT_MAX),IF(J15="着手済","△","◎"),"✕"))))</f>
        <v/>
      </c>
      <c r="E15" s="13">
        <f>IF(P15="計画なし","－",IF(P15="策定済","✕",IF(N15="","？",IF(AND(N15&gt;=TGT_MIN,N15&lt;=TGT_MAX),IF(P15="着手済","△","◎"),"✕"))))</f>
        <v/>
      </c>
      <c r="F15" s="11" t="inlineStr">
        <is>
          <t>伊達市地域公共交通計画</t>
        </is>
      </c>
      <c r="G15" s="11" t="inlineStr">
        <is>
          <t>不明</t>
        </is>
      </c>
      <c r="H15" s="13" t="n"/>
      <c r="I15" s="13" t="inlineStr">
        <is>
          <t>不明</t>
        </is>
      </c>
      <c r="J15" s="13" t="inlineStr">
        <is>
          <t>未確認</t>
        </is>
      </c>
      <c r="K15" s="14" t="inlineStr">
        <is>
          <t>https://www.city.fukushima-date.lg.jp/soshiki/86/47231.html</t>
        </is>
      </c>
      <c r="L15" s="11" t="inlineStr">
        <is>
          <t>第2次伊達市環境基本計画</t>
        </is>
      </c>
      <c r="M15" s="11" t="inlineStr">
        <is>
          <t>R3〜R12</t>
        </is>
      </c>
      <c r="N15" s="13" t="n">
        <v>12</v>
      </c>
      <c r="O15" s="13" t="inlineStr">
        <is>
          <t>確認済</t>
        </is>
      </c>
      <c r="P15" s="13" t="inlineStr">
        <is>
          <t>策定済</t>
        </is>
      </c>
      <c r="Q15" s="14" t="inlineStr">
        <is>
          <t>https://www.city.fukushima-date.lg.jp/soshiki/86/47604.html</t>
        </is>
      </c>
      <c r="R15" s="11" t="inlineStr">
        <is>
          <t>交通：R2年度策定（網形成計画H27.8〜R2の後継）、期間は検索で確認できず。利便増進実施計画 https://www.city.fukushima-date.lg.jp/soshiki/86/49036.html 、県北圏域利便増進実施計画R7.10〜R13.3にも参加。環境：R3.3策定、2021〜2030年度、R8.3中間見直し実施（策定済は中間見直し版の意）。</t>
        </is>
      </c>
      <c r="S15" s="15" t="inlineStr">
        <is>
          <t>調査済</t>
        </is>
      </c>
      <c r="T15" s="11" t="inlineStr">
        <is>
          <t>掲載（広域：阿武隈急行線地域）</t>
        </is>
      </c>
    </row>
    <row r="16">
      <c r="A16" s="11" t="n">
        <v>13</v>
      </c>
      <c r="B16" s="11" t="inlineStr">
        <is>
          <t>本宮市</t>
        </is>
      </c>
      <c r="C16" s="12">
        <f>IF(OR(D16="◎",E16="◎"),"◎ 営業",IF(OR(D16="△",E16="△"),"△ 着手済・要確認",IF(OR(D16="？",E16="？"),"？ 期間要確認","✕ 対象外")))</f>
        <v/>
      </c>
      <c r="D16" s="13">
        <f>IF(J16="計画なし","－",IF(J16="策定済","✕",IF(H16="","？",IF(AND(H16&gt;=TGT_MIN,H16&lt;=TGT_MAX),IF(J16="着手済","△","◎"),"✕"))))</f>
        <v/>
      </c>
      <c r="E16" s="13">
        <f>IF(P16="計画なし","－",IF(P16="策定済","✕",IF(N16="","？",IF(AND(N16&gt;=TGT_MIN,N16&lt;=TGT_MAX),IF(P16="着手済","△","◎"),"✕"))))</f>
        <v/>
      </c>
      <c r="F16" s="11" t="inlineStr">
        <is>
          <t>本宮市地域公共交通計画</t>
        </is>
      </c>
      <c r="G16" s="11" t="inlineStr">
        <is>
          <t>不明（R8度末終了と推定）</t>
        </is>
      </c>
      <c r="H16" s="16" t="n">
        <v>8</v>
      </c>
      <c r="I16" s="13" t="inlineStr">
        <is>
          <t>推定</t>
        </is>
      </c>
      <c r="J16" s="13" t="inlineStr">
        <is>
          <t>着手済</t>
        </is>
      </c>
      <c r="K16" s="14" t="inlineStr">
        <is>
          <t>https://www.city.motomiya.lg.jp/soshiki/10/tiikikoukyoukoutsuukeikaku.html</t>
        </is>
      </c>
      <c r="L16" s="11" t="inlineStr">
        <is>
          <t>本宮市第2次環境基本計画</t>
        </is>
      </c>
      <c r="M16" s="11" t="inlineStr">
        <is>
          <t>不明（R1〜R10と推定）</t>
        </is>
      </c>
      <c r="N16" s="13" t="n"/>
      <c r="O16" s="13" t="inlineStr">
        <is>
          <t>不明</t>
        </is>
      </c>
      <c r="P16" s="13" t="inlineStr">
        <is>
          <t>未確認</t>
        </is>
      </c>
      <c r="Q16" s="11" t="n"/>
      <c r="R16" s="11" t="inlineStr">
        <is>
          <t>2026-07-06 「本宮市第2期地域公共交通計画策定支援業務委託」公募型プロポーザル実施を市が公表（生活環境課、https://www.city.motomiya.lg.jp/soshiki/10/tiikikoukyoukoutsuukeikaku.html）。現行計画期間は未確認（第2期がR9開始と推定）。環境基本計画は「本宮市第2次環境基本計画」（市HP掲載、2019-05-13更新と検索結果に表示、計画・事業ページ https://www.city.motomiya.lg.jp/life/6/25/ ）だが計画期間は再検索でも確認できず。ゼロカーボンシティ宣言2021年3月（https://www.city.motomiya.lg.jp/soshiki/10/2050zerocarboncity.html）。 【追加調査 2026-10】市サイト内検索の要約で第1次本宮市環境基本計画はH21〜H30の10年間→第2次（2019.5掲載）はR1〜R10の可能性が高いが本文で確認できず。計画・事業ページ https://www.city.motomiya.lg.jp/life/6/25/ 。 根拠: 本宮市環境基本計画の計画期間は平成21年度から平成30年度までの10年間（検索要約、第1次）</t>
        </is>
      </c>
      <c r="S16" s="15" t="inlineStr">
        <is>
          <t>調査済</t>
        </is>
      </c>
      <c r="T16" s="11" t="inlineStr">
        <is>
          <t>掲載</t>
        </is>
      </c>
    </row>
    <row r="17">
      <c r="A17" s="11" t="n">
        <v>14</v>
      </c>
      <c r="B17" s="11" t="inlineStr">
        <is>
          <t>桑折町</t>
        </is>
      </c>
      <c r="C17" s="12">
        <f>IF(OR(D17="◎",E17="◎"),"◎ 営業",IF(OR(D17="△",E17="△"),"△ 着手済・要確認",IF(OR(D17="？",E17="？"),"？ 期間要確認","✕ 対象外")))</f>
        <v/>
      </c>
      <c r="D17" s="13">
        <f>IF(J17="計画なし","－",IF(J17="策定済","✕",IF(H17="","？",IF(AND(H17&gt;=TGT_MIN,H17&lt;=TGT_MAX),IF(J17="着手済","△","◎"),"✕"))))</f>
        <v/>
      </c>
      <c r="E17" s="13">
        <f>IF(P17="計画なし","－",IF(P17="策定済","✕",IF(N17="","？",IF(AND(N17&gt;=TGT_MIN,N17&lt;=TGT_MAX),IF(P17="着手済","△","◎"),"✕"))))</f>
        <v/>
      </c>
      <c r="F17" s="11" t="n"/>
      <c r="G17" s="11" t="inlineStr">
        <is>
          <t>不明</t>
        </is>
      </c>
      <c r="H17" s="13" t="n"/>
      <c r="I17" s="13" t="inlineStr">
        <is>
          <t>不明</t>
        </is>
      </c>
      <c r="J17" s="13" t="inlineStr">
        <is>
          <t>未確認</t>
        </is>
      </c>
      <c r="K17" s="11" t="n"/>
      <c r="L17" s="11" t="n"/>
      <c r="M17" s="11" t="inlineStr">
        <is>
          <t>不明</t>
        </is>
      </c>
      <c r="N17" s="13" t="n"/>
      <c r="O17" s="13" t="inlineStr">
        <is>
          <t>不明</t>
        </is>
      </c>
      <c r="P17" s="13" t="inlineStr">
        <is>
          <t>計画なし</t>
        </is>
      </c>
      <c r="Q17" s="11" t="n"/>
      <c r="R17" s="11" t="inlineStr">
        <is>
          <t>地域公共交通計画は町HP内検索・一般検索とも確認できず（都市計画マスタープランR6年度策定、公共交通は環境係所管）。環境基本計画も見当たらず、代替として地球温暖化対策実行計画 区域施策編（地域まるごと省エネ計画、R6.2改正）・事務事業編（第4期、R4.3策定）あり: https://www.town.koori.fukushima.jp/soshiki/kankyo/1/3/9286.html 。都市計画マスタープランはR6年度策定。環境基本計画の「計画なし」は検索未ヒットに基づく推定。</t>
        </is>
      </c>
      <c r="S17" s="18" t="inlineStr">
        <is>
          <t>環境のみ調査</t>
        </is>
      </c>
      <c r="T17" s="11" t="inlineStr">
        <is>
          <t>未掲載</t>
        </is>
      </c>
    </row>
    <row r="18">
      <c r="A18" s="11" t="n">
        <v>15</v>
      </c>
      <c r="B18" s="11" t="inlineStr">
        <is>
          <t>国見町</t>
        </is>
      </c>
      <c r="C18" s="12">
        <f>IF(OR(D18="◎",E18="◎"),"◎ 営業",IF(OR(D18="△",E18="△"),"△ 着手済・要確認",IF(OR(D18="？",E18="？"),"？ 期間要確認","✕ 対象外")))</f>
        <v/>
      </c>
      <c r="D18" s="13">
        <f>IF(J18="計画なし","－",IF(J18="策定済","✕",IF(H18="","？",IF(AND(H18&gt;=TGT_MIN,H18&lt;=TGT_MAX),IF(J18="着手済","△","◎"),"✕"))))</f>
        <v/>
      </c>
      <c r="E18" s="13">
        <f>IF(P18="計画なし","－",IF(P18="策定済","✕",IF(N18="","？",IF(AND(N18&gt;=TGT_MIN,N18&lt;=TGT_MAX),IF(P18="着手済","△","◎"),"✕"))))</f>
        <v/>
      </c>
      <c r="F18" s="11" t="n"/>
      <c r="G18" s="11" t="inlineStr">
        <is>
          <t>不明</t>
        </is>
      </c>
      <c r="H18" s="13" t="n"/>
      <c r="I18" s="13" t="inlineStr">
        <is>
          <t>不明</t>
        </is>
      </c>
      <c r="J18" s="13" t="inlineStr">
        <is>
          <t>未確認</t>
        </is>
      </c>
      <c r="K18" s="11" t="n"/>
      <c r="L18" s="11" t="n"/>
      <c r="M18" s="11" t="inlineStr">
        <is>
          <t>不明</t>
        </is>
      </c>
      <c r="N18" s="13" t="n"/>
      <c r="O18" s="13" t="inlineStr">
        <is>
          <t>不明</t>
        </is>
      </c>
      <c r="P18" s="13" t="inlineStr">
        <is>
          <t>計画なし</t>
        </is>
      </c>
      <c r="Q18" s="11" t="n"/>
      <c r="R18" s="11" t="inlineStr">
        <is>
          <t>地域公共交通計画は町HP内検索でも確認できず。「地域公共交通あり方協議会」設置、国見まちなかタクシー・ももたんパス（タクシー助成実証、https://www.town.kunimi.fukushima.jp/soshiki/4/16576.html）等を実施。広報くにみR3.4号特集、町資料「これからの公共交通のカタチ」（https://www.town.kunimi.fukushima.jp/uploaded/attachment/6659.pdf）。環境基本計画は検索で確認できず。代替として地球温暖化対策実行計画をR6.1.9公表（住民防災課所管）。第6次総合計画（KuniMirai2030）あり。 【追加調査 2026-10】町サイト内検索で環境基本計画は見当たらず。環境分野は地球温暖化対策実行計画（R6.1公表）、自然環境等と再エネ発電事業との調和条例（https://www.town.kunimi.fukushima.jp/soshiki/4/18511.html）、第6次総合計画（R3〜R12）のみ。根拠は検索ベース。</t>
        </is>
      </c>
      <c r="S18" s="18" t="inlineStr">
        <is>
          <t>環境のみ調査</t>
        </is>
      </c>
      <c r="T18" s="11" t="inlineStr">
        <is>
          <t>未掲載</t>
        </is>
      </c>
    </row>
    <row r="19">
      <c r="A19" s="11" t="n">
        <v>16</v>
      </c>
      <c r="B19" s="11" t="inlineStr">
        <is>
          <t>川俣町</t>
        </is>
      </c>
      <c r="C19" s="12">
        <f>IF(OR(D19="◎",E19="◎"),"◎ 営業",IF(OR(D19="△",E19="△"),"△ 着手済・要確認",IF(OR(D19="？",E19="？"),"？ 期間要確認","✕ 対象外")))</f>
        <v/>
      </c>
      <c r="D19" s="13">
        <f>IF(J19="計画なし","－",IF(J19="策定済","✕",IF(H19="","？",IF(AND(H19&gt;=TGT_MIN,H19&lt;=TGT_MAX),IF(J19="着手済","△","◎"),"✕"))))</f>
        <v/>
      </c>
      <c r="E19" s="13">
        <f>IF(P19="計画なし","－",IF(P19="策定済","✕",IF(N19="","？",IF(AND(N19&gt;=TGT_MIN,N19&lt;=TGT_MAX),IF(P19="着手済","△","◎"),"✕"))))</f>
        <v/>
      </c>
      <c r="F19" s="11" t="inlineStr">
        <is>
          <t>福島県避難地域広域公共交通計画（県・避難12市町村の広域計画）</t>
        </is>
      </c>
      <c r="G19" s="11" t="inlineStr">
        <is>
          <t>R5〜R9</t>
        </is>
      </c>
      <c r="H19" s="13" t="n">
        <v>9</v>
      </c>
      <c r="I19" s="13" t="inlineStr">
        <is>
          <t>確認済</t>
        </is>
      </c>
      <c r="J19" s="13" t="inlineStr">
        <is>
          <t>未確認</t>
        </is>
      </c>
      <c r="K19" s="14" t="inlineStr">
        <is>
          <t>https://www.pref.fukushima.lg.jp/sec/16005d/hinankeikaku.html</t>
        </is>
      </c>
      <c r="L19" s="11" t="n"/>
      <c r="M19" s="11" t="inlineStr">
        <is>
          <t>不明</t>
        </is>
      </c>
      <c r="N19" s="13" t="n"/>
      <c r="O19" s="13" t="inlineStr">
        <is>
          <t>不明</t>
        </is>
      </c>
      <c r="P19" s="13" t="inlineStr">
        <is>
          <t>計画なし</t>
        </is>
      </c>
      <c r="Q19" s="11" t="n"/>
      <c r="R19" s="11" t="inlineStr">
        <is>
          <t>地域公共交通計画は検索で確認できず。川俣町地域公共交通会議（H20.3設置、https://www.town.kawamata.lg.jp/site/kurashi-tetsuzuki/kawamatakoukyokotsu.html）がH21.3に地域公共交通総合連携計画を策定（デマンド型乗合タクシー導入、国交省資料）—旧法計画で現行計画は未確認。環境基本計画も検索で確認できず（各種計画一覧 https://www.town.kawamata.lg.jp/site/chosei-shisetsu/list74.html 要確認）。循環型社会形成推進地域計画（R3〜R7）あり。 【追加調査 2026-10】国交省一覧の広域計画『福島県避難地域』＝福島県避難地域広域公共交通計画（前身はH30.3.28策定の避難地域広域公共交通網形成計画）。対象は田村市・南相馬市・川俣町・広野町・楢葉町・富岡町・川内村・大熊町・双葉町・浪江町・葛尾村・飯舘村の12市町村。計画期間R5.4〜R10.3。次期計画：R8年度に最終評価・次期計画の方向性決定、R9年度に次期計画策定（R10.4開始）予定。R8.6.25福島県地域公共交通活性化協議会で避難地域広域公共交通検討協議会の今年度スケジュールを報告（資料 https://www.pref.fukushima.lg.jp/uploaded/attachment/756354.pdf 、協議会 https://www.pref.fukushima.lg.jp/sec/16005d/chiikikoukyoukasseikakyougikai.html ）。策定委託・パブコメは未確認のため着手済とはせず。町単独計画は確認できず（H21.3旧法連携計画のみ）。2026-10-02検索。 根拠: 避難地域広域公共交通計画は令和5年4月から令和10年3月までの計画期間…令和８年度に最終評価 【追加調査 2026-10】町サイト内検索で環境基本計画は見当たらず、環境分野は「川俣町地域まるごと脱炭素計画（地球温暖化対策実行計画 区域施策編）」（https://www.town.kawamata.lg.jp/site/chosei-shisetsu/chiikimarugotodathutansokeikaku.html）と循環型社会形成推進地域計画のみ。 根拠: 川俣町地域まるごと脱炭素計画～川俣町地球温暖化対策実行計画（区域施策編）</t>
        </is>
      </c>
      <c r="S19" s="15" t="inlineStr">
        <is>
          <t>調査済</t>
        </is>
      </c>
      <c r="T19" s="11" t="inlineStr">
        <is>
          <t>掲載（広域：福島県避難地域）</t>
        </is>
      </c>
    </row>
    <row r="20">
      <c r="A20" s="11" t="n">
        <v>17</v>
      </c>
      <c r="B20" s="11" t="inlineStr">
        <is>
          <t>大玉村</t>
        </is>
      </c>
      <c r="C20" s="12">
        <f>IF(OR(D20="◎",E20="◎"),"◎ 営業",IF(OR(D20="△",E20="△"),"△ 着手済・要確認",IF(OR(D20="？",E20="？"),"？ 期間要確認","✕ 対象外")))</f>
        <v/>
      </c>
      <c r="D20" s="13">
        <f>IF(J20="計画なし","－",IF(J20="策定済","✕",IF(H20="","？",IF(AND(H20&gt;=TGT_MIN,H20&lt;=TGT_MAX),IF(J20="着手済","△","◎"),"✕"))))</f>
        <v/>
      </c>
      <c r="E20" s="13">
        <f>IF(P20="計画なし","－",IF(P20="策定済","✕",IF(N20="","？",IF(AND(N20&gt;=TGT_MIN,N20&lt;=TGT_MAX),IF(P20="着手済","△","◎"),"✕"))))</f>
        <v/>
      </c>
      <c r="F20" s="11" t="inlineStr">
        <is>
          <t>大玉村地域公共交通計画</t>
        </is>
      </c>
      <c r="G20" s="11" t="inlineStr">
        <is>
          <t>R4〜R8（推定）</t>
        </is>
      </c>
      <c r="H20" s="16" t="n">
        <v>8</v>
      </c>
      <c r="I20" s="13" t="inlineStr">
        <is>
          <t>推定</t>
        </is>
      </c>
      <c r="J20" s="13" t="inlineStr">
        <is>
          <t>未確認</t>
        </is>
      </c>
      <c r="K20" s="14" t="inlineStr">
        <is>
          <t>https://www.vill.otama.fukushima.jp/gyousei_jouhou/keikaku/</t>
        </is>
      </c>
      <c r="L20" s="11" t="n"/>
      <c r="M20" s="11" t="inlineStr">
        <is>
          <t>不明</t>
        </is>
      </c>
      <c r="N20" s="13" t="n"/>
      <c r="O20" s="13" t="inlineStr">
        <is>
          <t>不明</t>
        </is>
      </c>
      <c r="P20" s="13" t="inlineStr">
        <is>
          <t>未確認</t>
        </is>
      </c>
      <c r="Q20" s="11" t="n"/>
      <c r="R20" s="11" t="inlineStr">
        <is>
          <t>地域公共交通計画は素案パブコメR4.1.28〜2.25実施（結果 https://www.vill.otama.fukushima.jp/file/contents/527/25641/koukyoukoutuu_kekka.pdf）→R3年度末策定、期間は5年と推定（R8度末終了なら次期計画作業の可能性、ただし検索で確認できず）。デマンド型乗合タクシー（AI配車）・通勤通学バス運行。環境基本計画は検索で確認できず（各種計画一覧に見当たらず、第5次総合振興計画・立地適正化計画R6.8等のみ）。 【追加調査 2026-10】大玉村環境基本条例（https://www.vill.otama.fukushima.jp/reiki_int/reiki_honbun/c522RG00000647.html）で村長に環境基本計画策定を規定しているが、計画本体は村サイト検索・一般検索とも見当たらず（総合振興計画・都市マス等のみ）。条例があるため計画なしとは断定せず未確認のまま。</t>
        </is>
      </c>
      <c r="S20" s="18" t="inlineStr">
        <is>
          <t>交通のみ調査</t>
        </is>
      </c>
      <c r="T20" s="11" t="inlineStr">
        <is>
          <t>掲載</t>
        </is>
      </c>
    </row>
    <row r="21">
      <c r="A21" s="11" t="n">
        <v>18</v>
      </c>
      <c r="B21" s="11" t="inlineStr">
        <is>
          <t>鏡石町</t>
        </is>
      </c>
      <c r="C21" s="12">
        <f>IF(OR(D21="◎",E21="◎"),"◎ 営業",IF(OR(D21="△",E21="△"),"△ 着手済・要確認",IF(OR(D21="？",E21="？"),"？ 期間要確認","✕ 対象外")))</f>
        <v/>
      </c>
      <c r="D21" s="13">
        <f>IF(J21="計画なし","－",IF(J21="策定済","✕",IF(H21="","？",IF(AND(H21&gt;=TGT_MIN,H21&lt;=TGT_MAX),IF(J21="着手済","△","◎"),"✕"))))</f>
        <v/>
      </c>
      <c r="E21" s="13">
        <f>IF(P21="計画なし","－",IF(P21="策定済","✕",IF(N21="","？",IF(AND(N21&gt;=TGT_MIN,N21&lt;=TGT_MAX),IF(P21="着手済","△","◎"),"✕"))))</f>
        <v/>
      </c>
      <c r="F21" s="11" t="n"/>
      <c r="G21" s="11" t="inlineStr">
        <is>
          <t>不明</t>
        </is>
      </c>
      <c r="H21" s="13" t="n"/>
      <c r="I21" s="13" t="inlineStr">
        <is>
          <t>不明</t>
        </is>
      </c>
      <c r="J21" s="13" t="inlineStr">
        <is>
          <t>未確認</t>
        </is>
      </c>
      <c r="K21" s="11" t="n"/>
      <c r="L21" s="11" t="n"/>
      <c r="M21" s="11" t="inlineStr">
        <is>
          <t>不明</t>
        </is>
      </c>
      <c r="N21" s="13" t="n"/>
      <c r="O21" s="13" t="inlineStr">
        <is>
          <t>不明</t>
        </is>
      </c>
      <c r="P21" s="13" t="inlineStr">
        <is>
          <t>計画なし</t>
        </is>
      </c>
      <c r="Q21" s="11" t="n"/>
      <c r="R21" s="11" t="inlineStr">
        <is>
          <t>地域公共交通計画は町HP内検索でも確認できず（都市計画マスタープラン、鏡石駅周辺将来まちづくりビジョンR7.3のみ）。環境基本計画も検索で確認できず。各種まちづくり計画一覧: https://www.town.kagamiishi.fukushima.jp/kurashi/chousei/008285.html 【追加調査 2026-10】町サイト内検索で環境基本計画は見当たらず、環境分野は第3次鏡石町地球温暖化対策実行計画（区域施策編・事務事業編）（https://www.town.kagamiishi.fukushima.jp/kurashi/kurashi_tetuzuki/kankyo/011647.html）のみ。 根拠: 第３次鏡石町地球温暖化対策実行計画（区域施策編、事務事業編）</t>
        </is>
      </c>
      <c r="S21" s="18" t="inlineStr">
        <is>
          <t>環境のみ調査</t>
        </is>
      </c>
      <c r="T21" s="11" t="inlineStr">
        <is>
          <t>未掲載</t>
        </is>
      </c>
    </row>
    <row r="22">
      <c r="A22" s="11" t="n">
        <v>19</v>
      </c>
      <c r="B22" s="11" t="inlineStr">
        <is>
          <t>天栄村</t>
        </is>
      </c>
      <c r="C22" s="12">
        <f>IF(OR(D22="◎",E22="◎"),"◎ 営業",IF(OR(D22="△",E22="△"),"△ 着手済・要確認",IF(OR(D22="？",E22="？"),"？ 期間要確認","✕ 対象外")))</f>
        <v/>
      </c>
      <c r="D22" s="13">
        <f>IF(J22="計画なし","－",IF(J22="策定済","✕",IF(H22="","？",IF(AND(H22&gt;=TGT_MIN,H22&lt;=TGT_MAX),IF(J22="着手済","△","◎"),"✕"))))</f>
        <v/>
      </c>
      <c r="E22" s="13">
        <f>IF(P22="計画なし","－",IF(P22="策定済","✕",IF(N22="","？",IF(AND(N22&gt;=TGT_MIN,N22&lt;=TGT_MAX),IF(P22="着手済","△","◎"),"✕"))))</f>
        <v/>
      </c>
      <c r="F22" s="11" t="n"/>
      <c r="G22" s="11" t="inlineStr">
        <is>
          <t>不明</t>
        </is>
      </c>
      <c r="H22" s="13" t="n"/>
      <c r="I22" s="13" t="inlineStr">
        <is>
          <t>不明</t>
        </is>
      </c>
      <c r="J22" s="13" t="inlineStr">
        <is>
          <t>未確認</t>
        </is>
      </c>
      <c r="K22" s="11" t="n"/>
      <c r="L22" s="11" t="n"/>
      <c r="M22" s="11" t="inlineStr">
        <is>
          <t>不明</t>
        </is>
      </c>
      <c r="N22" s="13" t="n"/>
      <c r="O22" s="13" t="inlineStr">
        <is>
          <t>不明</t>
        </is>
      </c>
      <c r="P22" s="13" t="inlineStr">
        <is>
          <t>計画なし</t>
        </is>
      </c>
      <c r="Q22" s="11" t="n"/>
      <c r="R22" s="11" t="inlineStr">
        <is>
          <t>地域公共交通計画・環境基本計画とも検索で確認できず（村HPはほぼ検索インデックスなし）。小規模村で計画なしの可能性。 【追加調査 2026-10】村HP計画一覧（https://www.vill.tenei.fukushima.jp/life/4/16/120/）・サイト内検索で環境基本計画は見当たらず、第1次天栄村地球温暖化対策実行計画（区域施策編）・ゼロカーボンシティ宣言（https://www.vill.tenei.fukushima.jp/soshiki/3/zero-co2.html）・第五次総合計画のみ。</t>
        </is>
      </c>
      <c r="S22" s="18" t="inlineStr">
        <is>
          <t>環境のみ調査</t>
        </is>
      </c>
      <c r="T22" s="11" t="inlineStr">
        <is>
          <t>未掲載</t>
        </is>
      </c>
    </row>
    <row r="23">
      <c r="A23" s="11" t="n">
        <v>20</v>
      </c>
      <c r="B23" s="11" t="inlineStr">
        <is>
          <t>下郷町</t>
        </is>
      </c>
      <c r="C23" s="12">
        <f>IF(OR(D23="◎",E23="◎"),"◎ 営業",IF(OR(D23="△",E23="△"),"△ 着手済・要確認",IF(OR(D23="？",E23="？"),"？ 期間要確認","✕ 対象外")))</f>
        <v/>
      </c>
      <c r="D23" s="13">
        <f>IF(J23="計画なし","－",IF(J23="策定済","✕",IF(H23="","？",IF(AND(H23&gt;=TGT_MIN,H23&lt;=TGT_MAX),IF(J23="着手済","△","◎"),"✕"))))</f>
        <v/>
      </c>
      <c r="E23" s="13">
        <f>IF(P23="計画なし","－",IF(P23="策定済","✕",IF(N23="","？",IF(AND(N23&gt;=TGT_MIN,N23&lt;=TGT_MAX),IF(P23="着手済","△","◎"),"✕"))))</f>
        <v/>
      </c>
      <c r="F23" s="11" t="n"/>
      <c r="G23" s="11" t="inlineStr">
        <is>
          <t>不明</t>
        </is>
      </c>
      <c r="H23" s="13" t="n"/>
      <c r="I23" s="13" t="inlineStr">
        <is>
          <t>不明</t>
        </is>
      </c>
      <c r="J23" s="13" t="inlineStr">
        <is>
          <t>未確認</t>
        </is>
      </c>
      <c r="K23" s="11" t="n"/>
      <c r="L23" s="11" t="n"/>
      <c r="M23" s="11" t="inlineStr">
        <is>
          <t>不明</t>
        </is>
      </c>
      <c r="N23" s="13" t="n"/>
      <c r="O23" s="13" t="inlineStr">
        <is>
          <t>不明</t>
        </is>
      </c>
      <c r="P23" s="13" t="inlineStr">
        <is>
          <t>計画なし</t>
        </is>
      </c>
      <c r="Q23" s="11" t="n"/>
      <c r="R23" s="11" t="inlineStr">
        <is>
          <t>町単独の地域公共交通計画・環境基本計画は検索で確認できず。会津線沿線（会津若松市・下郷町・南会津町）で会津線活性化連携協議会が地域公共交通総合連携計画を策定（旧法）、会津鉄道の鉄道事業再構築実施計画はR7.4〜R17.3。会津地域の広域公共交通計画（2026〜2031、6市町村）の記載が検索要約にあるが対象市町村・名称は要確認。過疎地域持続的発展計画（R3〜R7）あり。 【追加調査 2026-10】町サイト内検索で環境基本計画・温暖化対策実行計画とも見当たらず。総合計画等ページ（https://www.town.shimogo.fukushima.jp/organization/sougouseisaku/kikakuseisaku/1/820.html）は第7次総合計画中心で、環境は総合計画の基本目標「住み続けたいまち（生活環境）」で扱う。根拠は検索ベースで弱め。</t>
        </is>
      </c>
      <c r="S23" s="18" t="inlineStr">
        <is>
          <t>環境のみ調査</t>
        </is>
      </c>
      <c r="T23" s="11" t="inlineStr">
        <is>
          <t>未掲載</t>
        </is>
      </c>
    </row>
    <row r="24">
      <c r="A24" s="11" t="n">
        <v>21</v>
      </c>
      <c r="B24" s="11" t="inlineStr">
        <is>
          <t>檜枝岐村</t>
        </is>
      </c>
      <c r="C24" s="12">
        <f>IF(OR(D24="◎",E24="◎"),"◎ 営業",IF(OR(D24="△",E24="△"),"△ 着手済・要確認",IF(OR(D24="？",E24="？"),"？ 期間要確認","✕ 対象外")))</f>
        <v/>
      </c>
      <c r="D24" s="13">
        <f>IF(J24="計画なし","－",IF(J24="策定済","✕",IF(H24="","？",IF(AND(H24&gt;=TGT_MIN,H24&lt;=TGT_MAX),IF(J24="着手済","△","◎"),"✕"))))</f>
        <v/>
      </c>
      <c r="E24" s="13">
        <f>IF(P24="計画なし","－",IF(P24="策定済","✕",IF(N24="","？",IF(AND(N24&gt;=TGT_MIN,N24&lt;=TGT_MAX),IF(P24="着手済","△","◎"),"✕"))))</f>
        <v/>
      </c>
      <c r="F24" s="11" t="n"/>
      <c r="G24" s="11" t="inlineStr">
        <is>
          <t>不明</t>
        </is>
      </c>
      <c r="H24" s="13" t="n"/>
      <c r="I24" s="13" t="inlineStr">
        <is>
          <t>不明</t>
        </is>
      </c>
      <c r="J24" s="13" t="inlineStr">
        <is>
          <t>未確認</t>
        </is>
      </c>
      <c r="K24" s="11" t="n"/>
      <c r="L24" s="11" t="n"/>
      <c r="M24" s="11" t="inlineStr">
        <is>
          <t>不明</t>
        </is>
      </c>
      <c r="N24" s="13" t="n"/>
      <c r="O24" s="13" t="inlineStr">
        <is>
          <t>不明</t>
        </is>
      </c>
      <c r="P24" s="13" t="inlineStr">
        <is>
          <t>未確認</t>
        </is>
      </c>
      <c r="Q24" s="11" t="n"/>
      <c r="R24" s="11" t="inlineStr">
        <is>
          <t>地域公共交通計画・環境基本計画とも検索で確認できず。小規模村で計画なしの可能性（南会津地域4町村の共同交通計画も確認できず）。 【追加調査 2026-10】環境基本計画・地球温暖化対策実行計画とも検索で確認できず（ヒットは循環型社会形成推進地域計画 H29〜R3 https://www.env.go.jp/recycle/waste/3r_network/5_region/project_list/07_fukushima/06_hinoemata_h29.pdf のみ）。人口約500人の小規模村で計画なしの可能性高いが、村HPの計画一覧で否定確認できず未確認のまま。</t>
        </is>
      </c>
      <c r="S24" s="18" t="inlineStr">
        <is>
          <t>未調査</t>
        </is>
      </c>
      <c r="T24" s="11" t="inlineStr">
        <is>
          <t>未掲載</t>
        </is>
      </c>
    </row>
    <row r="25">
      <c r="A25" s="11" t="n">
        <v>22</v>
      </c>
      <c r="B25" s="11" t="inlineStr">
        <is>
          <t>只見町</t>
        </is>
      </c>
      <c r="C25" s="12">
        <f>IF(OR(D25="◎",E25="◎"),"◎ 営業",IF(OR(D25="△",E25="△"),"△ 着手済・要確認",IF(OR(D25="？",E25="？"),"？ 期間要確認","✕ 対象外")))</f>
        <v/>
      </c>
      <c r="D25" s="13">
        <f>IF(J25="計画なし","－",IF(J25="策定済","✕",IF(H25="","？",IF(AND(H25&gt;=TGT_MIN,H25&lt;=TGT_MAX),IF(J25="着手済","△","◎"),"✕"))))</f>
        <v/>
      </c>
      <c r="E25" s="13">
        <f>IF(P25="計画なし","－",IF(P25="策定済","✕",IF(N25="","？",IF(AND(N25&gt;=TGT_MIN,N25&lt;=TGT_MAX),IF(P25="着手済","△","◎"),"✕"))))</f>
        <v/>
      </c>
      <c r="F25" s="11" t="n"/>
      <c r="G25" s="11" t="inlineStr">
        <is>
          <t>不明</t>
        </is>
      </c>
      <c r="H25" s="13" t="n"/>
      <c r="I25" s="13" t="inlineStr">
        <is>
          <t>不明</t>
        </is>
      </c>
      <c r="J25" s="13" t="inlineStr">
        <is>
          <t>未確認</t>
        </is>
      </c>
      <c r="K25" s="11" t="n"/>
      <c r="L25" s="11" t="n"/>
      <c r="M25" s="11" t="inlineStr">
        <is>
          <t>不明</t>
        </is>
      </c>
      <c r="N25" s="13" t="n"/>
      <c r="O25" s="13" t="inlineStr">
        <is>
          <t>不明</t>
        </is>
      </c>
      <c r="P25" s="13" t="inlineStr">
        <is>
          <t>計画なし</t>
        </is>
      </c>
      <c r="Q25" s="11" t="n"/>
      <c r="R25" s="11" t="inlineStr">
        <is>
          <t>地域公共交通計画は町HP内検索でも確認できず（只見駅周回バス、雪んこタクシー等運行）。環境基本計画も検索で確認できず（ユネスコエコパーク関連の取組はあり）。 【追加調査 2026-10】町HP「環境関連の計画」ページ https://www.town.tadami.lg.jp/lifeguide/cat01/cat5/000082.html に掲載されるのは生活排水処理基本計画・一般廃棄物処理実施計画・地球温暖化対策実行計画等で、環境基本計画は無し（検索結果要約ベース）。環境施策は第七次只見町振興計画・野生動植物を保護する条例(H28.6)・ユネスコエコパークで対応。 根拠: 只見町は生活排水処理基本計画、一般廃棄物処理実施計画、地球温暖化対策実行計画などを策定（『環境関連の計画』ページ）</t>
        </is>
      </c>
      <c r="S25" s="18" t="inlineStr">
        <is>
          <t>環境のみ調査</t>
        </is>
      </c>
      <c r="T25" s="11" t="inlineStr">
        <is>
          <t>未掲載</t>
        </is>
      </c>
    </row>
    <row r="26">
      <c r="A26" s="11" t="n">
        <v>23</v>
      </c>
      <c r="B26" s="11" t="inlineStr">
        <is>
          <t>南会津町</t>
        </is>
      </c>
      <c r="C26" s="12">
        <f>IF(OR(D26="◎",E26="◎"),"◎ 営業",IF(OR(D26="△",E26="△"),"△ 着手済・要確認",IF(OR(D26="？",E26="？"),"？ 期間要確認","✕ 対象外")))</f>
        <v/>
      </c>
      <c r="D26" s="13">
        <f>IF(J26="計画なし","－",IF(J26="策定済","✕",IF(H26="","？",IF(AND(H26&gt;=TGT_MIN,H26&lt;=TGT_MAX),IF(J26="着手済","△","◎"),"✕"))))</f>
        <v/>
      </c>
      <c r="E26" s="13">
        <f>IF(P26="計画なし","－",IF(P26="策定済","✕",IF(N26="","？",IF(AND(N26&gt;=TGT_MIN,N26&lt;=TGT_MAX),IF(P26="着手済","△","◎"),"✕"))))</f>
        <v/>
      </c>
      <c r="F26" s="11" t="inlineStr">
        <is>
          <t>南会津町地域公共交通計画</t>
        </is>
      </c>
      <c r="G26" s="11" t="inlineStr">
        <is>
          <t>R6〜R10</t>
        </is>
      </c>
      <c r="H26" s="13" t="n">
        <v>10</v>
      </c>
      <c r="I26" s="13" t="inlineStr">
        <is>
          <t>確認済</t>
        </is>
      </c>
      <c r="J26" s="13" t="inlineStr">
        <is>
          <t>未確認</t>
        </is>
      </c>
      <c r="K26" s="14" t="inlineStr">
        <is>
          <t>https://www.town.minamiaizu.lg.jp/official/soshikikarasagasu/sogoseisakuka/kakushukeikaku/1/3114.html</t>
        </is>
      </c>
      <c r="L26" s="11" t="inlineStr">
        <is>
          <t>第2次南会津町環境基本計画</t>
        </is>
      </c>
      <c r="M26" s="11" t="inlineStr">
        <is>
          <t>不明</t>
        </is>
      </c>
      <c r="N26" s="13" t="n"/>
      <c r="O26" s="13" t="inlineStr">
        <is>
          <t>不明</t>
        </is>
      </c>
      <c r="P26" s="13" t="inlineStr">
        <is>
          <t>未確認</t>
        </is>
      </c>
      <c r="Q26" s="14" t="inlineStr">
        <is>
          <t>https://www.town.minamiaizu.lg.jp/official/soshikikarasagasu/kankyosuidoka/kakushukeikaku/1/450.html</t>
        </is>
      </c>
      <c r="R26" s="11" t="inlineStr">
        <is>
          <t>交通計画はR6.3策定（R6.6改訂、本編 https://www.town.minamiaizu.lg.jp/material/files/group/3/6gatukaiteibann.pdf ）。会津線沿線3市町の連携計画・会津鉄道再構築（R7.4〜R17.3）にも関係。環境基本条例H19.12、第1次計画H21.3、第2次計画の期間は確認できず。地球温暖化対策実行計画（区域施策編）をR7.3策定（https://www.town.minamiaizu.lg.jp/official/soshikikarasagasu/kankyosuidoka/kakushukeikaku/1/3540.html）、ゼロカーボン宣言済、エスプールとゼロカーボンタウン連携協定。 【追加調査 2026-10】第2次計画の期間は検索で確認できず（町HP 450.htmlの要約：『2009年3月に南会津町環境基本計画を策定…前計画の策定から10年が経過したため第2次を策定』）。H31(2019)頃策定・10年計画ならR1〜R10頃と推測されるが未確認のため不明のまま。町は令和元〜6年度の環境年次報告書を公表。WebFetchは町HPブロック。 根拠: 前計画の策定から10年が経過したため、「第2次南会津町環境基本計画」を策定</t>
        </is>
      </c>
      <c r="S26" s="15" t="inlineStr">
        <is>
          <t>調査済</t>
        </is>
      </c>
      <c r="T26" s="11" t="inlineStr">
        <is>
          <t>掲載</t>
        </is>
      </c>
    </row>
    <row r="27">
      <c r="A27" s="11" t="n">
        <v>24</v>
      </c>
      <c r="B27" s="11" t="inlineStr">
        <is>
          <t>北塩原村</t>
        </is>
      </c>
      <c r="C27" s="12">
        <f>IF(OR(D27="◎",E27="◎"),"◎ 営業",IF(OR(D27="△",E27="△"),"△ 着手済・要確認",IF(OR(D27="？",E27="？"),"？ 期間要確認","✕ 対象外")))</f>
        <v/>
      </c>
      <c r="D27" s="13">
        <f>IF(J27="計画なし","－",IF(J27="策定済","✕",IF(H27="","？",IF(AND(H27&gt;=TGT_MIN,H27&lt;=TGT_MAX),IF(J27="着手済","△","◎"),"✕"))))</f>
        <v/>
      </c>
      <c r="E27" s="13">
        <f>IF(P27="計画なし","－",IF(P27="策定済","✕",IF(N27="","？",IF(AND(N27&gt;=TGT_MIN,N27&lt;=TGT_MAX),IF(P27="着手済","△","◎"),"✕"))))</f>
        <v/>
      </c>
      <c r="F27" s="11" t="inlineStr">
        <is>
          <t>北塩原村地域公共交通計画</t>
        </is>
      </c>
      <c r="G27" s="11" t="inlineStr">
        <is>
          <t>R7〜R11</t>
        </is>
      </c>
      <c r="H27" s="13" t="n">
        <v>11</v>
      </c>
      <c r="I27" s="13" t="inlineStr">
        <is>
          <t>確認済</t>
        </is>
      </c>
      <c r="J27" s="13" t="inlineStr">
        <is>
          <t>策定済</t>
        </is>
      </c>
      <c r="K27" s="14" t="inlineStr">
        <is>
          <t>https://www.vill.kitashiobara.fukushima.jp/soshiki/somukikaku/6805.html</t>
        </is>
      </c>
      <c r="L27" s="11" t="n"/>
      <c r="M27" s="11" t="inlineStr">
        <is>
          <t>不明</t>
        </is>
      </c>
      <c r="N27" s="13" t="n"/>
      <c r="O27" s="13" t="inlineStr">
        <is>
          <t>不明</t>
        </is>
      </c>
      <c r="P27" s="13" t="inlineStr">
        <is>
          <t>計画なし</t>
        </is>
      </c>
      <c r="Q27" s="11" t="n"/>
      <c r="R27" s="11" t="inlineStr">
        <is>
          <t>村単独の地域公共交通計画は検索で確認できず（会津圏域計画の対象外）。再検索でも確認できず（国交省事例:喜多方～裏磐梯バス・桧原湖周遊バス https://www.mlit.go.jp/sogoseisaku/transport/pdf/021_kitashiobara.pdf ）。 【環境】環境基本計画は検索で確認できず。代替として『北塩原村地域まるごと脱炭素計画』（区域施策編＋地域気候変動適応計画を兼ねる） https://www.vill.kitashiobara.fukushima.jp/uploaded/attachment/3387.pdf 、事務事業編あり。ゼロカーボンシティ宣言済。 【追加調査 2026-10】村ページ『北塩原村地域公共交通計画を策定しました』（総務企画課、https://www.vill.kitashiobara.fukushima.jp/soshiki/somukikaku/6805.html ）で確認。従前の公共交通網形成計画を踏まえリ・デザインを目的に策定、計画期間R7〜R11の5年間。基本方針5本（村民の移動利便性向上、周辺都市へのアクセス性向上、安定的な提供体制、情報発信、利用機会創出）。R7開始の新計画のため策定済。前回の『会津圏域対象外・確認できず』の記載を訂正。2026-10-02検索。 根拠: 本計画の実施期間は令和７年度から令和１１年度までの５年間</t>
        </is>
      </c>
      <c r="S27" s="15" t="inlineStr">
        <is>
          <t>調査済</t>
        </is>
      </c>
      <c r="T27" s="11" t="inlineStr">
        <is>
          <t>掲載</t>
        </is>
      </c>
    </row>
    <row r="28">
      <c r="A28" s="11" t="n">
        <v>25</v>
      </c>
      <c r="B28" s="11" t="inlineStr">
        <is>
          <t>西会津町</t>
        </is>
      </c>
      <c r="C28" s="12">
        <f>IF(OR(D28="◎",E28="◎"),"◎ 営業",IF(OR(D28="△",E28="△"),"△ 着手済・要確認",IF(OR(D28="？",E28="？"),"？ 期間要確認","✕ 対象外")))</f>
        <v/>
      </c>
      <c r="D28" s="13">
        <f>IF(J28="計画なし","－",IF(J28="策定済","✕",IF(H28="","？",IF(AND(H28&gt;=TGT_MIN,H28&lt;=TGT_MAX),IF(J28="着手済","△","◎"),"✕"))))</f>
        <v/>
      </c>
      <c r="E28" s="13">
        <f>IF(P28="計画なし","－",IF(P28="策定済","✕",IF(N28="","？",IF(AND(N28&gt;=TGT_MIN,N28&lt;=TGT_MAX),IF(P28="着手済","△","◎"),"✕"))))</f>
        <v/>
      </c>
      <c r="F28" s="11" t="n"/>
      <c r="G28" s="11" t="inlineStr">
        <is>
          <t>不明</t>
        </is>
      </c>
      <c r="H28" s="13" t="n"/>
      <c r="I28" s="13" t="inlineStr">
        <is>
          <t>不明</t>
        </is>
      </c>
      <c r="J28" s="13" t="inlineStr">
        <is>
          <t>未確認</t>
        </is>
      </c>
      <c r="K28" s="11" t="n"/>
      <c r="L28" s="11" t="n"/>
      <c r="M28" s="11" t="inlineStr">
        <is>
          <t>不明</t>
        </is>
      </c>
      <c r="N28" s="13" t="n"/>
      <c r="O28" s="13" t="inlineStr">
        <is>
          <t>不明</t>
        </is>
      </c>
      <c r="P28" s="13" t="inlineStr">
        <is>
          <t>計画なし</t>
        </is>
      </c>
      <c r="Q28" s="11" t="n"/>
      <c r="R28" s="11" t="inlineStr">
        <is>
          <t>町単独の地域公共交通計画は町HPで確認できず（町民バス・デマンドバス運行、会津圏域計画の対象外）。 【環境】環境基本計画は検索で確認できず。代替として『西会津町地域まるごと省エネ計画（区域施策編）』R3.3策定、事務事業編H30.2策定 https://www.town.nishiaizu.fukushima.jp/soshiki/3/10204.html 。</t>
        </is>
      </c>
      <c r="S28" s="18" t="inlineStr">
        <is>
          <t>環境のみ調査</t>
        </is>
      </c>
      <c r="T28" s="11" t="inlineStr">
        <is>
          <t>未掲載</t>
        </is>
      </c>
    </row>
    <row r="29">
      <c r="A29" s="11" t="n">
        <v>26</v>
      </c>
      <c r="B29" s="11" t="inlineStr">
        <is>
          <t>磐梯町</t>
        </is>
      </c>
      <c r="C29" s="12">
        <f>IF(OR(D29="◎",E29="◎"),"◎ 営業",IF(OR(D29="△",E29="△"),"△ 着手済・要確認",IF(OR(D29="？",E29="？"),"？ 期間要確認","✕ 対象外")))</f>
        <v/>
      </c>
      <c r="D29" s="13">
        <f>IF(J29="計画なし","－",IF(J29="策定済","✕",IF(H29="","？",IF(AND(H29&gt;=TGT_MIN,H29&lt;=TGT_MAX),IF(J29="着手済","△","◎"),"✕"))))</f>
        <v/>
      </c>
      <c r="E29" s="13">
        <f>IF(P29="計画なし","－",IF(P29="策定済","✕",IF(N29="","？",IF(AND(N29&gt;=TGT_MIN,N29&lt;=TGT_MAX),IF(P29="着手済","△","◎"),"✕"))))</f>
        <v/>
      </c>
      <c r="F29" s="11" t="n"/>
      <c r="G29" s="11" t="inlineStr">
        <is>
          <t>不明</t>
        </is>
      </c>
      <c r="H29" s="13" t="n"/>
      <c r="I29" s="13" t="inlineStr">
        <is>
          <t>不明</t>
        </is>
      </c>
      <c r="J29" s="13" t="inlineStr">
        <is>
          <t>未確認</t>
        </is>
      </c>
      <c r="K29" s="11" t="n"/>
      <c r="L29" s="11" t="n"/>
      <c r="M29" s="11" t="inlineStr">
        <is>
          <t>不明</t>
        </is>
      </c>
      <c r="N29" s="13" t="n"/>
      <c r="O29" s="13" t="inlineStr">
        <is>
          <t>不明</t>
        </is>
      </c>
      <c r="P29" s="13" t="inlineStr">
        <is>
          <t>計画なし</t>
        </is>
      </c>
      <c r="Q29" s="11" t="n"/>
      <c r="R29" s="11" t="inlineStr">
        <is>
          <t>町単独の地域公共交通計画は確認できず（AIオンデマンド交通導入 https://www.town.bandai.fukushima.jp/site/kurashi-kankyo/bandai-koukyo-koutuuondemand.html ）。総合計画見直し中(R7審議会)。 【環境】環境基本計画は検索で確認できず。代替として『磐梯町地球温暖化対策実行計画（区域施策編・事務事業編）』令和7年9月策定 https://www.town.bandai.fukushima.jp/uploaded/attachment/7725.pdf 。ゼロカーボン宣言・ネイチャーポジティブ宣言済。</t>
        </is>
      </c>
      <c r="S29" s="18" t="inlineStr">
        <is>
          <t>環境のみ調査</t>
        </is>
      </c>
      <c r="T29" s="11" t="inlineStr">
        <is>
          <t>未掲載</t>
        </is>
      </c>
    </row>
    <row r="30">
      <c r="A30" s="11" t="n">
        <v>27</v>
      </c>
      <c r="B30" s="11" t="inlineStr">
        <is>
          <t>猪苗代町</t>
        </is>
      </c>
      <c r="C30" s="12">
        <f>IF(OR(D30="◎",E30="◎"),"◎ 営業",IF(OR(D30="△",E30="△"),"△ 着手済・要確認",IF(OR(D30="？",E30="？"),"？ 期間要確認","✕ 対象外")))</f>
        <v/>
      </c>
      <c r="D30" s="13">
        <f>IF(J30="計画なし","－",IF(J30="策定済","✕",IF(H30="","？",IF(AND(H30&gt;=TGT_MIN,H30&lt;=TGT_MAX),IF(J30="着手済","△","◎"),"✕"))))</f>
        <v/>
      </c>
      <c r="E30" s="13">
        <f>IF(P30="計画なし","－",IF(P30="策定済","✕",IF(N30="","？",IF(AND(N30&gt;=TGT_MIN,N30&lt;=TGT_MAX),IF(P30="着手済","△","◎"),"✕"))))</f>
        <v/>
      </c>
      <c r="F30" s="11" t="n"/>
      <c r="G30" s="11" t="inlineStr">
        <is>
          <t>不明</t>
        </is>
      </c>
      <c r="H30" s="13" t="n"/>
      <c r="I30" s="13" t="inlineStr">
        <is>
          <t>不明</t>
        </is>
      </c>
      <c r="J30" s="13" t="inlineStr">
        <is>
          <t>未確認</t>
        </is>
      </c>
      <c r="K30" s="11" t="n"/>
      <c r="L30" s="11" t="n"/>
      <c r="M30" s="11" t="inlineStr">
        <is>
          <t>不明</t>
        </is>
      </c>
      <c r="N30" s="13" t="n"/>
      <c r="O30" s="13" t="inlineStr">
        <is>
          <t>不明</t>
        </is>
      </c>
      <c r="P30" s="13" t="inlineStr">
        <is>
          <t>計画なし</t>
        </is>
      </c>
      <c r="Q30" s="11" t="n"/>
      <c r="R30" s="11" t="inlineStr">
        <is>
          <t>町単独の地域公共交通計画は町HP・再検索でも確認できず。立地適正化計画策定の動きあり https://www.town.inawashiro.fukushima.jp/cb/hpc/Article-199-15693.html 。 【環境】町HP『環境計画・構想』に環境基本計画は見当たらず。第3次地球温暖化対策実行計画(R3.3策定、最終R6年度) https://www.town.inawashiro.fukushima.jp/cb/hpc/Article-128-18213.html （次期未確認）、再エネ推進計画(2021〜2040) https://www.town.inawashiro.fukushima.jp/cb/hpc/Article-8-18273.html 。</t>
        </is>
      </c>
      <c r="S30" s="18" t="inlineStr">
        <is>
          <t>環境のみ調査</t>
        </is>
      </c>
      <c r="T30" s="11" t="inlineStr">
        <is>
          <t>未掲載</t>
        </is>
      </c>
    </row>
    <row r="31">
      <c r="A31" s="11" t="n">
        <v>28</v>
      </c>
      <c r="B31" s="11" t="inlineStr">
        <is>
          <t>会津坂下町</t>
        </is>
      </c>
      <c r="C31" s="12">
        <f>IF(OR(D31="◎",E31="◎"),"◎ 営業",IF(OR(D31="△",E31="△"),"△ 着手済・要確認",IF(OR(D31="？",E31="？"),"？ 期間要確認","✕ 対象外")))</f>
        <v/>
      </c>
      <c r="D31" s="13">
        <f>IF(J31="計画なし","－",IF(J31="策定済","✕",IF(H31="","？",IF(AND(H31&gt;=TGT_MIN,H31&lt;=TGT_MAX),IF(J31="着手済","△","◎"),"✕"))))</f>
        <v/>
      </c>
      <c r="E31" s="13">
        <f>IF(P31="計画なし","－",IF(P31="策定済","✕",IF(N31="","？",IF(AND(N31&gt;=TGT_MIN,N31&lt;=TGT_MAX),IF(P31="着手済","△","◎"),"✕"))))</f>
        <v/>
      </c>
      <c r="F31" s="11" t="inlineStr">
        <is>
          <t>会津圏域地域公共交通計画（福島県・会津圏域6市町村共同）</t>
        </is>
      </c>
      <c r="G31" s="11" t="inlineStr">
        <is>
          <t>R8〜R13</t>
        </is>
      </c>
      <c r="H31" s="13" t="n">
        <v>13</v>
      </c>
      <c r="I31" s="13" t="inlineStr">
        <is>
          <t>確認済</t>
        </is>
      </c>
      <c r="J31" s="13" t="inlineStr">
        <is>
          <t>策定済</t>
        </is>
      </c>
      <c r="K31" s="14" t="inlineStr">
        <is>
          <t>https://www.pref.fukushima.lg.jp/sec/16005d/aizukeniki-keikaku-ribenkeikaku.html</t>
        </is>
      </c>
      <c r="L31" s="11" t="n"/>
      <c r="M31" s="11" t="inlineStr">
        <is>
          <t>不明</t>
        </is>
      </c>
      <c r="N31" s="13" t="n"/>
      <c r="O31" s="13" t="inlineStr">
        <is>
          <t>不明</t>
        </is>
      </c>
      <c r="P31" s="13" t="inlineStr">
        <is>
          <t>計画なし</t>
        </is>
      </c>
      <c r="Q31" s="11" t="n"/>
      <c r="R31" s="11" t="inlineStr">
        <is>
          <t>前計画 会津圏域地域公共交通網形成計画(R2.3策定,R8.3終了)の後継として令和8年3月策定、R8〜R13の6年間（対象:会津若松市・喜多方市・会津坂下町・湯川村・柳津町・会津美里町）。パブコメ結果 https://www.pref.fukushima.lg.jp/sec/16005d/aizukenikimoukeikaku.html 。 【環境】環境基本計画は検索で確認できず。代替として地球温暖化防止対策実行計画（事務事業編・区域施策編）と農山漁村再生可能エネルギー導入促進基本計画をR8.3.17更新 https://www.town.aizubange.fukushima.jp/life/1/8/29/ 。</t>
        </is>
      </c>
      <c r="S31" s="15" t="inlineStr">
        <is>
          <t>調査済</t>
        </is>
      </c>
      <c r="T31" s="11" t="inlineStr">
        <is>
          <t>掲載（広域：会津圏域）</t>
        </is>
      </c>
    </row>
    <row r="32">
      <c r="A32" s="11" t="n">
        <v>29</v>
      </c>
      <c r="B32" s="11" t="inlineStr">
        <is>
          <t>湯川村</t>
        </is>
      </c>
      <c r="C32" s="12">
        <f>IF(OR(D32="◎",E32="◎"),"◎ 営業",IF(OR(D32="△",E32="△"),"△ 着手済・要確認",IF(OR(D32="？",E32="？"),"？ 期間要確認","✕ 対象外")))</f>
        <v/>
      </c>
      <c r="D32" s="13">
        <f>IF(J32="計画なし","－",IF(J32="策定済","✕",IF(H32="","？",IF(AND(H32&gt;=TGT_MIN,H32&lt;=TGT_MAX),IF(J32="着手済","△","◎"),"✕"))))</f>
        <v/>
      </c>
      <c r="E32" s="13">
        <f>IF(P32="計画なし","－",IF(P32="策定済","✕",IF(N32="","？",IF(AND(N32&gt;=TGT_MIN,N32&lt;=TGT_MAX),IF(P32="着手済","△","◎"),"✕"))))</f>
        <v/>
      </c>
      <c r="F32" s="11" t="inlineStr">
        <is>
          <t>会津圏域地域公共交通計画（福島県・会津圏域6市町村共同）</t>
        </is>
      </c>
      <c r="G32" s="11" t="inlineStr">
        <is>
          <t>R8〜R13</t>
        </is>
      </c>
      <c r="H32" s="13" t="n">
        <v>13</v>
      </c>
      <c r="I32" s="13" t="inlineStr">
        <is>
          <t>確認済</t>
        </is>
      </c>
      <c r="J32" s="13" t="inlineStr">
        <is>
          <t>策定済</t>
        </is>
      </c>
      <c r="K32" s="14" t="inlineStr">
        <is>
          <t>https://www.pref.fukushima.lg.jp/sec/16005d/aizukeniki-keikaku-ribenkeikaku.html</t>
        </is>
      </c>
      <c r="L32" s="11" t="n"/>
      <c r="M32" s="11" t="inlineStr">
        <is>
          <t>不明</t>
        </is>
      </c>
      <c r="N32" s="13" t="n"/>
      <c r="O32" s="13" t="inlineStr">
        <is>
          <t>不明</t>
        </is>
      </c>
      <c r="P32" s="13" t="inlineStr">
        <is>
          <t>未確認</t>
        </is>
      </c>
      <c r="Q32" s="11" t="n"/>
      <c r="R32" s="11" t="inlineStr">
        <is>
          <t>前計画 会津圏域地域公共交通網形成計画(R2.3策定,R8.3終了)の後継として令和8年3月策定、R8〜R13の6年間（対象:会津若松市・喜多方市・会津坂下町・湯川村・柳津町・会津美里町）。パブコメ結果 https://www.pref.fukushima.lg.jp/sec/16005d/aizukenikimoukeikaku.html 。 【環境】環境基本計画は検索で確認できず（村HP各種計画 https://www.vill.yugawa.fukushima.jp/site/gyousei-top/various-plans.html ）。 【追加調査 2026-10】村HPドメイン限定検索でも環境基本計画はヒットせず（国土利用計画・過疎計画・公共施設等総合管理計画のみ）。各種計画ページ https://www.vill.yugawa.fukushima.jp/site/gyousei-top/various-plans.html で否定確認できておらず未確認のまま（計画なしの可能性高）。</t>
        </is>
      </c>
      <c r="S32" s="18" t="inlineStr">
        <is>
          <t>交通のみ調査</t>
        </is>
      </c>
      <c r="T32" s="11" t="inlineStr">
        <is>
          <t>掲載（広域：会津圏域）</t>
        </is>
      </c>
    </row>
    <row r="33">
      <c r="A33" s="11" t="n">
        <v>30</v>
      </c>
      <c r="B33" s="11" t="inlineStr">
        <is>
          <t>柳津町</t>
        </is>
      </c>
      <c r="C33" s="12">
        <f>IF(OR(D33="◎",E33="◎"),"◎ 営業",IF(OR(D33="△",E33="△"),"△ 着手済・要確認",IF(OR(D33="？",E33="？"),"？ 期間要確認","✕ 対象外")))</f>
        <v/>
      </c>
      <c r="D33" s="13">
        <f>IF(J33="計画なし","－",IF(J33="策定済","✕",IF(H33="","？",IF(AND(H33&gt;=TGT_MIN,H33&lt;=TGT_MAX),IF(J33="着手済","△","◎"),"✕"))))</f>
        <v/>
      </c>
      <c r="E33" s="13">
        <f>IF(P33="計画なし","－",IF(P33="策定済","✕",IF(N33="","？",IF(AND(N33&gt;=TGT_MIN,N33&lt;=TGT_MAX),IF(P33="着手済","△","◎"),"✕"))))</f>
        <v/>
      </c>
      <c r="F33" s="11" t="inlineStr">
        <is>
          <t>会津圏域地域公共交通計画（福島県・会津圏域6市町村共同）</t>
        </is>
      </c>
      <c r="G33" s="11" t="inlineStr">
        <is>
          <t>R8〜R13</t>
        </is>
      </c>
      <c r="H33" s="13" t="n">
        <v>13</v>
      </c>
      <c r="I33" s="13" t="inlineStr">
        <is>
          <t>確認済</t>
        </is>
      </c>
      <c r="J33" s="13" t="inlineStr">
        <is>
          <t>策定済</t>
        </is>
      </c>
      <c r="K33" s="14" t="inlineStr">
        <is>
          <t>https://www.pref.fukushima.lg.jp/sec/16005d/aizukeniki-keikaku-ribenkeikaku.html</t>
        </is>
      </c>
      <c r="L33" s="11" t="n"/>
      <c r="M33" s="11" t="inlineStr">
        <is>
          <t>不明</t>
        </is>
      </c>
      <c r="N33" s="13" t="n"/>
      <c r="O33" s="13" t="inlineStr">
        <is>
          <t>不明</t>
        </is>
      </c>
      <c r="P33" s="13" t="inlineStr">
        <is>
          <t>計画なし</t>
        </is>
      </c>
      <c r="Q33" s="11" t="n"/>
      <c r="R33" s="11" t="inlineStr">
        <is>
          <t>前計画 会津圏域地域公共交通網形成計画(R2.3策定,R8.3終了)の後継として令和8年3月策定、R8〜R13の6年間（対象:会津若松市・喜多方市・会津坂下町・湯川村・柳津町・会津美里町）。パブコメ結果 https://www.pref.fukushima.lg.jp/sec/16005d/aizukenikimoukeikaku.html 。 【環境】環境基本計画は検索で確認できず。役場地球温暖化対策実行計画(R4.1改訂) https://www.town.yanaizu.fukushima.jp/docs/2022120500022/file_contents/ondankakeikaku.pdf 、R4.12ゼロカーボンシティ宣言。 【追加調査 2026-10】町HPドメイン限定検索で環境基本計画ヒットせず。各種計画ページ https://www.town.yanaizu.fukushima.jp/docs/2021080600018/ 、環境関連は役場地球温暖化対策実行計画(事務事業編,R4.1改訂)とゼロカーボンシティ宣言(R4.12) https://www.town.yanaizu.fukushima.jp/docs/2022120500022 のみ。総合計画（第6次柳津町振興計画）で環境を包含。 根拠: 検索結果では環境基本計画は見当たらず、ゼロカーボンシティ宣言・実行計画のみ</t>
        </is>
      </c>
      <c r="S33" s="15" t="inlineStr">
        <is>
          <t>調査済</t>
        </is>
      </c>
      <c r="T33" s="11" t="inlineStr">
        <is>
          <t>掲載（広域：会津圏域）</t>
        </is>
      </c>
    </row>
    <row r="34">
      <c r="A34" s="11" t="n">
        <v>31</v>
      </c>
      <c r="B34" s="11" t="inlineStr">
        <is>
          <t>三島町</t>
        </is>
      </c>
      <c r="C34" s="12">
        <f>IF(OR(D34="◎",E34="◎"),"◎ 営業",IF(OR(D34="△",E34="△"),"△ 着手済・要確認",IF(OR(D34="？",E34="？"),"？ 期間要確認","✕ 対象外")))</f>
        <v/>
      </c>
      <c r="D34" s="13">
        <f>IF(J34="計画なし","－",IF(J34="策定済","✕",IF(H34="","？",IF(AND(H34&gt;=TGT_MIN,H34&lt;=TGT_MAX),IF(J34="着手済","△","◎"),"✕"))))</f>
        <v/>
      </c>
      <c r="E34" s="13">
        <f>IF(P34="計画なし","－",IF(P34="策定済","✕",IF(N34="","？",IF(AND(N34&gt;=TGT_MIN,N34&lt;=TGT_MAX),IF(P34="着手済","△","◎"),"✕"))))</f>
        <v/>
      </c>
      <c r="F34" s="11" t="n"/>
      <c r="G34" s="11" t="inlineStr">
        <is>
          <t>不明</t>
        </is>
      </c>
      <c r="H34" s="13" t="n"/>
      <c r="I34" s="13" t="inlineStr">
        <is>
          <t>不明</t>
        </is>
      </c>
      <c r="J34" s="13" t="inlineStr">
        <is>
          <t>未確認</t>
        </is>
      </c>
      <c r="K34" s="11" t="n"/>
      <c r="L34" s="11" t="n"/>
      <c r="M34" s="11" t="inlineStr">
        <is>
          <t>不明</t>
        </is>
      </c>
      <c r="N34" s="13" t="n"/>
      <c r="O34" s="13" t="inlineStr">
        <is>
          <t>不明</t>
        </is>
      </c>
      <c r="P34" s="13" t="inlineStr">
        <is>
          <t>計画なし</t>
        </is>
      </c>
      <c r="Q34" s="11" t="n"/>
      <c r="R34" s="11" t="inlineStr">
        <is>
          <t>単独/奥会津広域の地域公共交通計画は再検索でも確認できず（只見線利活用計画のみ）（会津圏域計画の対象外）。 【環境】環境基本計画は検索で確認できず。三島町ゼロカーボンビジョン(2022.5) https://www.town.mishima.fukushima.jp/uploaded/attachment/1087.pdf 、第2次実行計画（事務事業編）R6.3策定・2024〜2030 http://www.town.mishima.fukushima.jp/soshiki/chiiki-seisaku/4267.html 。 【追加調査 2026-10】町HPドメイン限定検索で環境基本計画ヒットせず。環境関連は三島町ゼロカーボンビジョン(R4.5) https://www.town.mishima.fukushima.jp/soshiki/chiiki-seisaku/47.html と第2次地球温暖化対策実行計画(事務事業編,R6.3.1策定) http://www.town.mishima.fukushima.jp/soshiki/chiiki-seisaku/4267.html のみ。第5次三島町振興計画（後期基本計画案）が環境分野を包含。 根拠: 第２次三島町 地球温暖化対策実行計画(事務事業編） 令和6 年３月１日 策定</t>
        </is>
      </c>
      <c r="S34" s="18" t="inlineStr">
        <is>
          <t>環境のみ調査</t>
        </is>
      </c>
      <c r="T34" s="11" t="inlineStr">
        <is>
          <t>未掲載</t>
        </is>
      </c>
    </row>
    <row r="35">
      <c r="A35" s="11" t="n">
        <v>32</v>
      </c>
      <c r="B35" s="11" t="inlineStr">
        <is>
          <t>金山町</t>
        </is>
      </c>
      <c r="C35" s="12">
        <f>IF(OR(D35="◎",E35="◎"),"◎ 営業",IF(OR(D35="△",E35="△"),"△ 着手済・要確認",IF(OR(D35="？",E35="？"),"？ 期間要確認","✕ 対象外")))</f>
        <v/>
      </c>
      <c r="D35" s="13">
        <f>IF(J35="計画なし","－",IF(J35="策定済","✕",IF(H35="","？",IF(AND(H35&gt;=TGT_MIN,H35&lt;=TGT_MAX),IF(J35="着手済","△","◎"),"✕"))))</f>
        <v/>
      </c>
      <c r="E35" s="13">
        <f>IF(P35="計画なし","－",IF(P35="策定済","✕",IF(N35="","？",IF(AND(N35&gt;=TGT_MIN,N35&lt;=TGT_MAX),IF(P35="着手済","△","◎"),"✕"))))</f>
        <v/>
      </c>
      <c r="F35" s="11" t="n"/>
      <c r="G35" s="11" t="inlineStr">
        <is>
          <t>不明</t>
        </is>
      </c>
      <c r="H35" s="13" t="n"/>
      <c r="I35" s="13" t="inlineStr">
        <is>
          <t>不明</t>
        </is>
      </c>
      <c r="J35" s="13" t="inlineStr">
        <is>
          <t>未確認</t>
        </is>
      </c>
      <c r="K35" s="11" t="n"/>
      <c r="L35" s="11" t="n"/>
      <c r="M35" s="11" t="inlineStr">
        <is>
          <t>不明</t>
        </is>
      </c>
      <c r="N35" s="13" t="n"/>
      <c r="O35" s="13" t="inlineStr">
        <is>
          <t>不明</t>
        </is>
      </c>
      <c r="P35" s="13" t="inlineStr">
        <is>
          <t>計画なし</t>
        </is>
      </c>
      <c r="Q35" s="11" t="n"/>
      <c r="R35" s="11" t="inlineStr">
        <is>
          <t>単独/奥会津広域の地域公共交通計画は再検索でも確認できず（只見線利活用計画のみ）（会津圏域計画の対象外）。 【環境】環境基本計画は検索で確認できず。自然環境等と再エネ発電事業等との調和に関する条例制定(パブコメ) https://www.town.kaneyama.fukushima.jp/soshiki/54/pabukomesizennkannkyou.html 。R7.9議会でゼロカーボン表明検討の質疑。 【追加調査 2026-10】町HPドメイン限定検索で環境基本計画ヒットせず（第五次総合計画 https://www.town.kaneyama.fukushima.jp/soshiki/54/daigojisougoukeikaku.html 、国土強靱化計画等のみ）。環境施策は総合計画と自然環境・再エネ調和条例で対応。ゼロカーボン表明も検討段階。</t>
        </is>
      </c>
      <c r="S35" s="18" t="inlineStr">
        <is>
          <t>環境のみ調査</t>
        </is>
      </c>
      <c r="T35" s="11" t="inlineStr">
        <is>
          <t>未掲載</t>
        </is>
      </c>
    </row>
    <row r="36">
      <c r="A36" s="11" t="n">
        <v>33</v>
      </c>
      <c r="B36" s="11" t="inlineStr">
        <is>
          <t>昭和村</t>
        </is>
      </c>
      <c r="C36" s="12">
        <f>IF(OR(D36="◎",E36="◎"),"◎ 営業",IF(OR(D36="△",E36="△"),"△ 着手済・要確認",IF(OR(D36="？",E36="？"),"？ 期間要確認","✕ 対象外")))</f>
        <v/>
      </c>
      <c r="D36" s="13">
        <f>IF(J36="計画なし","－",IF(J36="策定済","✕",IF(H36="","？",IF(AND(H36&gt;=TGT_MIN,H36&lt;=TGT_MAX),IF(J36="着手済","△","◎"),"✕"))))</f>
        <v/>
      </c>
      <c r="E36" s="13">
        <f>IF(P36="計画なし","－",IF(P36="策定済","✕",IF(N36="","？",IF(AND(N36&gt;=TGT_MIN,N36&lt;=TGT_MAX),IF(P36="着手済","△","◎"),"✕"))))</f>
        <v/>
      </c>
      <c r="F36" s="11" t="n"/>
      <c r="G36" s="11" t="inlineStr">
        <is>
          <t>不明</t>
        </is>
      </c>
      <c r="H36" s="13" t="n"/>
      <c r="I36" s="13" t="inlineStr">
        <is>
          <t>不明</t>
        </is>
      </c>
      <c r="J36" s="13" t="inlineStr">
        <is>
          <t>未確認</t>
        </is>
      </c>
      <c r="K36" s="11" t="n"/>
      <c r="L36" s="11" t="n"/>
      <c r="M36" s="11" t="inlineStr">
        <is>
          <t>不明</t>
        </is>
      </c>
      <c r="N36" s="13" t="n"/>
      <c r="O36" s="13" t="inlineStr">
        <is>
          <t>不明</t>
        </is>
      </c>
      <c r="P36" s="13" t="inlineStr">
        <is>
          <t>未確認</t>
        </is>
      </c>
      <c r="Q36" s="11" t="n"/>
      <c r="R36" s="11" t="inlineStr">
        <is>
          <t>単独/奥会津広域の地域公共交通計画は再検索でも確認できず（只見線利活用計画のみ）（会津圏域計画の対象外）。 【環境】環境基本計画は検索で確認できず（村HP各種計画 https://www.vill.showa.fukushima.jp/procedure/1096/ ）。 【追加調査 2026-10】村HPドメイン限定検索で環境基本計画・温暖化対策実行計画ともヒットせず（各種計画 https://www.vill.showa.fukushima.jp/procedure/1096/ 、第6次昭和村振興計画のみ）。計画なしの可能性高いが一覧内容を直接確認できず未確認のまま。</t>
        </is>
      </c>
      <c r="S36" s="18" t="inlineStr">
        <is>
          <t>未調査</t>
        </is>
      </c>
      <c r="T36" s="11" t="inlineStr">
        <is>
          <t>未掲載</t>
        </is>
      </c>
    </row>
    <row r="37">
      <c r="A37" s="11" t="n">
        <v>34</v>
      </c>
      <c r="B37" s="11" t="inlineStr">
        <is>
          <t>会津美里町</t>
        </is>
      </c>
      <c r="C37" s="12">
        <f>IF(OR(D37="◎",E37="◎"),"◎ 営業",IF(OR(D37="△",E37="△"),"△ 着手済・要確認",IF(OR(D37="？",E37="？"),"？ 期間要確認","✕ 対象外")))</f>
        <v/>
      </c>
      <c r="D37" s="13">
        <f>IF(J37="計画なし","－",IF(J37="策定済","✕",IF(H37="","？",IF(AND(H37&gt;=TGT_MIN,H37&lt;=TGT_MAX),IF(J37="着手済","△","◎"),"✕"))))</f>
        <v/>
      </c>
      <c r="E37" s="13">
        <f>IF(P37="計画なし","－",IF(P37="策定済","✕",IF(N37="","？",IF(AND(N37&gt;=TGT_MIN,N37&lt;=TGT_MAX),IF(P37="着手済","△","◎"),"✕"))))</f>
        <v/>
      </c>
      <c r="F37" s="11" t="inlineStr">
        <is>
          <t>会津圏域地域公共交通計画（福島県・会津圏域6市町村共同）</t>
        </is>
      </c>
      <c r="G37" s="11" t="inlineStr">
        <is>
          <t>R8〜R13</t>
        </is>
      </c>
      <c r="H37" s="13" t="n">
        <v>13</v>
      </c>
      <c r="I37" s="13" t="inlineStr">
        <is>
          <t>確認済</t>
        </is>
      </c>
      <c r="J37" s="13" t="inlineStr">
        <is>
          <t>策定済</t>
        </is>
      </c>
      <c r="K37" s="14" t="inlineStr">
        <is>
          <t>https://www.pref.fukushima.lg.jp/sec/16005d/aizukeniki-keikaku-ribenkeikaku.html</t>
        </is>
      </c>
      <c r="L37" s="11" t="n"/>
      <c r="M37" s="11" t="inlineStr">
        <is>
          <t>不明</t>
        </is>
      </c>
      <c r="N37" s="13" t="n"/>
      <c r="O37" s="13" t="inlineStr">
        <is>
          <t>不明</t>
        </is>
      </c>
      <c r="P37" s="13" t="inlineStr">
        <is>
          <t>計画なし</t>
        </is>
      </c>
      <c r="Q37" s="11" t="n"/>
      <c r="R37" s="11" t="inlineStr">
        <is>
          <t>前計画 会津圏域地域公共交通網形成計画(R2.3策定,R8.3終了)の後継として令和8年3月策定、R8〜R13の6年間（対象:会津若松市・喜多方市・会津坂下町・湯川村・柳津町・会津美里町）。パブコメ結果 https://www.pref.fukushima.lg.jp/sec/16005d/aizukenikimoukeikaku.html 。 別途、町単独の『会津美里町地域公共交通計画（案）』(令和8年、町地域公共交通会議資料) https://www.town.aizumisato.fukushima.jp/material/files/group/3/keikakuann.pdf が作成中＝着手済（期間未確認）。 【環境】環境基本計画は検索で確認できず。地球温暖化対策実行計画（事務事業編R4〜R6） https://www.town.aizumisato.fukushima.jp/gyosei/gyoseijoho/8/7/2/3496.html 、再エネ導入目標等策定支援業務プロポーザル https://www.town.aizumisato.fukushima.jp/soshiki/1009/3/10/5800.html 、ゼロカーボン宣言済。 【追加調査 2026-10】町HPドメイン限定・一般検索とも環境基本計画/環境基本条例ヒットせず。環境関連は地球温暖化対策実行計画(事務事業編R4〜R6) https://www.town.aizumisato.fukushima.jp/gyosei/gyoseijoho/8/7/2/3496.html 、ゼロカーボン宣言、再エネ導入目標策定支援業務のみ。第4次総合計画(2026〜2035,素案) https://www.town.aizumisato.fukushima.jp/material/files/group/3/03dai4jisougoukeikakusoan.pdf が環境分野を包含。 根拠: 地球温暖化対策の推進（令和4年度から令和6年度）について</t>
        </is>
      </c>
      <c r="S37" s="15" t="inlineStr">
        <is>
          <t>調査済</t>
        </is>
      </c>
      <c r="T37" s="11" t="inlineStr">
        <is>
          <t>掲載（広域：会津圏域）</t>
        </is>
      </c>
    </row>
    <row r="38">
      <c r="A38" s="11" t="n">
        <v>35</v>
      </c>
      <c r="B38" s="11" t="inlineStr">
        <is>
          <t>西郷村</t>
        </is>
      </c>
      <c r="C38" s="12">
        <f>IF(OR(D38="◎",E38="◎"),"◎ 営業",IF(OR(D38="△",E38="△"),"△ 着手済・要確認",IF(OR(D38="？",E38="？"),"？ 期間要確認","✕ 対象外")))</f>
        <v/>
      </c>
      <c r="D38" s="13">
        <f>IF(J38="計画なし","－",IF(J38="策定済","✕",IF(H38="","？",IF(AND(H38&gt;=TGT_MIN,H38&lt;=TGT_MAX),IF(J38="着手済","△","◎"),"✕"))))</f>
        <v/>
      </c>
      <c r="E38" s="13">
        <f>IF(P38="計画なし","－",IF(P38="策定済","✕",IF(N38="","？",IF(AND(N38&gt;=TGT_MIN,N38&lt;=TGT_MAX),IF(P38="着手済","△","◎"),"✕"))))</f>
        <v/>
      </c>
      <c r="F38" s="11" t="inlineStr">
        <is>
          <t>西郷村地域公共交通計画</t>
        </is>
      </c>
      <c r="G38" s="11" t="inlineStr">
        <is>
          <t>R8〜R13</t>
        </is>
      </c>
      <c r="H38" s="13" t="n">
        <v>13</v>
      </c>
      <c r="I38" s="13" t="inlineStr">
        <is>
          <t>確認済</t>
        </is>
      </c>
      <c r="J38" s="13" t="inlineStr">
        <is>
          <t>策定済</t>
        </is>
      </c>
      <c r="K38" s="14" t="inlineStr">
        <is>
          <t>https://www.vill.nishigo.fukushima.jp/material/files/group/3/koutsuukeikaku_soan_2026.pdf</t>
        </is>
      </c>
      <c r="L38" s="11" t="inlineStr">
        <is>
          <t>西郷村環境基本計画（改定）</t>
        </is>
      </c>
      <c r="M38" s="11" t="inlineStr">
        <is>
          <t>不明</t>
        </is>
      </c>
      <c r="N38" s="13" t="n"/>
      <c r="O38" s="13" t="inlineStr">
        <is>
          <t>不明</t>
        </is>
      </c>
      <c r="P38" s="13" t="inlineStr">
        <is>
          <t>策定済</t>
        </is>
      </c>
      <c r="Q38" s="14" t="inlineStr">
        <is>
          <t>https://www.vill.nishigo.fukushima.jp/soshiki/kankyohozenka/kankyo_gomi/2/4547.html</t>
        </is>
      </c>
      <c r="R38" s="11" t="inlineStr">
        <is>
          <t>旧 西郷村地域公共交通網形成計画 https://www.vill.nishigo.fukushima.jp/soshiki/kikakuseisakuka/shisaku_keikaku/2/2322.html の後継。策定調査業務をプロポーザル発注 https://www.vill.nishigo.fukushima.jp/soshiki/kikakuseisakuka/shisaku_keikaku/2/5707.html 、素案R8.3、R8.3策定、計画期間R8〜R13の6年間（URLは素案）。AIデマンド交通実証導入も進行。 【環境】『西郷村環境基本計画』あり https://www.vill.nishigo.fukushima.jp/soshiki/kankyohozenka/kankyo_gomi/2/4547.html （期間は検索で確認できず）。R8.9.3ゼロ・カーボンシティ宣言ページで環境基本計画の改定・地球温暖化対策実行計画（区域施策編）策定に言及 https://www.vill.nishigo.fukushima.jp/soshiki/juminseikatsuka/kankyo_gomi/2/6556.html （改定版の策定済/作業中かは要確認）。 【追加調査 2026-10】R8.9.3ゼロ・カーボンシティ宣言ページ https://www.vill.nishigo.fukushima.jp/soshiki/juminseikatsuka/kankyo_gomi/2/6556.html に関連資料として『環境基本計画（改定）』『地球温暖化対策実行計画【区域施策編】』が掲載（複数検索要約で『策定している』）→改定版はR8頃策定済と判断（着手済から変更、ただし本文未確認で策定月・期間は不明）。旧計画ページ https://www.vill.nishigo.fukushima.jp/soshiki/kankyohozenka/kankyo_gomi/2/4547.html は2023.5.19更新。WebFetchは村HPブロック。 根拠: 2050年脱炭素…ゼロ・カーボンシティ宣言（2026年9月3日）関連：環境基本計画（改定）・地球温暖化対策実行計画【区域施策編】</t>
        </is>
      </c>
      <c r="S38" s="15" t="inlineStr">
        <is>
          <t>調査済</t>
        </is>
      </c>
      <c r="T38" s="17" t="inlineStr">
        <is>
          <t>掲載／期間満了</t>
        </is>
      </c>
    </row>
    <row r="39">
      <c r="A39" s="11" t="n">
        <v>36</v>
      </c>
      <c r="B39" s="11" t="inlineStr">
        <is>
          <t>泉崎村</t>
        </is>
      </c>
      <c r="C39" s="12">
        <f>IF(OR(D39="◎",E39="◎"),"◎ 営業",IF(OR(D39="△",E39="△"),"△ 着手済・要確認",IF(OR(D39="？",E39="？"),"？ 期間要確認","✕ 対象外")))</f>
        <v/>
      </c>
      <c r="D39" s="13">
        <f>IF(J39="計画なし","－",IF(J39="策定済","✕",IF(H39="","？",IF(AND(H39&gt;=TGT_MIN,H39&lt;=TGT_MAX),IF(J39="着手済","△","◎"),"✕"))))</f>
        <v/>
      </c>
      <c r="E39" s="13">
        <f>IF(P39="計画なし","－",IF(P39="策定済","✕",IF(N39="","？",IF(AND(N39&gt;=TGT_MIN,N39&lt;=TGT_MAX),IF(P39="着手済","△","◎"),"✕"))))</f>
        <v/>
      </c>
      <c r="F39" s="11" t="inlineStr">
        <is>
          <t>福島県地域公共交通計画（県全域の広域計画）</t>
        </is>
      </c>
      <c r="G39" s="11" t="inlineStr">
        <is>
          <t>R6〜R12</t>
        </is>
      </c>
      <c r="H39" s="13" t="n">
        <v>12</v>
      </c>
      <c r="I39" s="13" t="inlineStr">
        <is>
          <t>確認済</t>
        </is>
      </c>
      <c r="J39" s="13" t="inlineStr">
        <is>
          <t>未確認</t>
        </is>
      </c>
      <c r="K39" s="14" t="inlineStr">
        <is>
          <t>https://www.pref.fukushima.lg.jp/uploaded/attachment/622613.pdf</t>
        </is>
      </c>
      <c r="L39" s="11" t="n"/>
      <c r="M39" s="11" t="inlineStr">
        <is>
          <t>不明</t>
        </is>
      </c>
      <c r="N39" s="13" t="n"/>
      <c r="O39" s="13" t="inlineStr">
        <is>
          <t>不明</t>
        </is>
      </c>
      <c r="P39" s="13" t="inlineStr">
        <is>
          <t>未確認</t>
        </is>
      </c>
      <c r="Q39" s="11" t="n"/>
      <c r="R39" s="11" t="inlineStr">
        <is>
          <t>町村単独の地域公共交通計画は検索で確認できず、県計画（R6.3策定、R7.2等に一部改定）が対象範囲。コミュニティバス「ふれあい号」3路線運行。環境基本計画は検索（村/町HPドメイン指定含む）で確認できず。村HP「各種計画の一覧」https://www.vill.izumizaki.fukushima.jp/page/page001839.html で要確認。 【追加調査 2026-10】村HPドメイン限定検索で環境基本計画ヒットせず（各種計画 https://www.vill.izumizaki.fukushima.jp/page/dir000364.html 、各種計画の一覧 https://www.vill.izumizaki.fukushima.jp/page/page001839.html に掲載有無は要約で確認できず）。計画なしの可能性高いが未確認のまま。</t>
        </is>
      </c>
      <c r="S39" s="18" t="inlineStr">
        <is>
          <t>交通のみ調査</t>
        </is>
      </c>
      <c r="T39" s="17" t="inlineStr">
        <is>
          <t>未掲載【当方は計画あり】</t>
        </is>
      </c>
    </row>
    <row r="40">
      <c r="A40" s="11" t="n">
        <v>37</v>
      </c>
      <c r="B40" s="11" t="inlineStr">
        <is>
          <t>中島村</t>
        </is>
      </c>
      <c r="C40" s="12">
        <f>IF(OR(D40="◎",E40="◎"),"◎ 営業",IF(OR(D40="△",E40="△"),"△ 着手済・要確認",IF(OR(D40="？",E40="？"),"？ 期間要確認","✕ 対象外")))</f>
        <v/>
      </c>
      <c r="D40" s="13">
        <f>IF(J40="計画なし","－",IF(J40="策定済","✕",IF(H40="","？",IF(AND(H40&gt;=TGT_MIN,H40&lt;=TGT_MAX),IF(J40="着手済","△","◎"),"✕"))))</f>
        <v/>
      </c>
      <c r="E40" s="13">
        <f>IF(P40="計画なし","－",IF(P40="策定済","✕",IF(N40="","？",IF(AND(N40&gt;=TGT_MIN,N40&lt;=TGT_MAX),IF(P40="着手済","△","◎"),"✕"))))</f>
        <v/>
      </c>
      <c r="F40" s="11" t="inlineStr">
        <is>
          <t>福島県地域公共交通計画（県全域の広域計画）</t>
        </is>
      </c>
      <c r="G40" s="11" t="inlineStr">
        <is>
          <t>R6〜R12</t>
        </is>
      </c>
      <c r="H40" s="13" t="n">
        <v>12</v>
      </c>
      <c r="I40" s="13" t="inlineStr">
        <is>
          <t>確認済</t>
        </is>
      </c>
      <c r="J40" s="13" t="inlineStr">
        <is>
          <t>未確認</t>
        </is>
      </c>
      <c r="K40" s="14" t="inlineStr">
        <is>
          <t>https://www.pref.fukushima.lg.jp/uploaded/attachment/622613.pdf</t>
        </is>
      </c>
      <c r="L40" s="11" t="n"/>
      <c r="M40" s="11" t="inlineStr">
        <is>
          <t>不明</t>
        </is>
      </c>
      <c r="N40" s="13" t="n"/>
      <c r="O40" s="13" t="inlineStr">
        <is>
          <t>不明</t>
        </is>
      </c>
      <c r="P40" s="13" t="inlineStr">
        <is>
          <t>未確認</t>
        </is>
      </c>
      <c r="Q40" s="11" t="n"/>
      <c r="R40" s="11" t="inlineStr">
        <is>
          <t>町村単独の地域公共交通計画は検索で確認できず、県計画（R6.3策定、R7.2等に一部改定）が対象範囲。しらかわ地域定住自立圏構成村。環境基本計画・温暖化対策実行計画とも検索で確認できず。 【追加調査 2026-10】環境基本計画・温暖化対策実行計画とも検索（村HPドメイン指定含む）でヒットなし。小規模村で計画なしの可能性高いが根拠資料なく未確認のまま。</t>
        </is>
      </c>
      <c r="S40" s="18" t="inlineStr">
        <is>
          <t>交通のみ調査</t>
        </is>
      </c>
      <c r="T40" s="17" t="inlineStr">
        <is>
          <t>未掲載【当方は計画あり】</t>
        </is>
      </c>
    </row>
    <row r="41">
      <c r="A41" s="11" t="n">
        <v>38</v>
      </c>
      <c r="B41" s="11" t="inlineStr">
        <is>
          <t>矢吹町</t>
        </is>
      </c>
      <c r="C41" s="12">
        <f>IF(OR(D41="◎",E41="◎"),"◎ 営業",IF(OR(D41="△",E41="△"),"△ 着手済・要確認",IF(OR(D41="？",E41="？"),"？ 期間要確認","✕ 対象外")))</f>
        <v/>
      </c>
      <c r="D41" s="13">
        <f>IF(J41="計画なし","－",IF(J41="策定済","✕",IF(H41="","？",IF(AND(H41&gt;=TGT_MIN,H41&lt;=TGT_MAX),IF(J41="着手済","△","◎"),"✕"))))</f>
        <v/>
      </c>
      <c r="E41" s="13">
        <f>IF(P41="計画なし","－",IF(P41="策定済","✕",IF(N41="","？",IF(AND(N41&gt;=TGT_MIN,N41&lt;=TGT_MAX),IF(P41="着手済","△","◎"),"✕"))))</f>
        <v/>
      </c>
      <c r="F41" s="11" t="inlineStr">
        <is>
          <t>矢吹町地域公共交通計画</t>
        </is>
      </c>
      <c r="G41" s="11" t="inlineStr">
        <is>
          <t>不明</t>
        </is>
      </c>
      <c r="H41" s="13" t="n"/>
      <c r="I41" s="13" t="inlineStr">
        <is>
          <t>不明</t>
        </is>
      </c>
      <c r="J41" s="13" t="inlineStr">
        <is>
          <t>未確認</t>
        </is>
      </c>
      <c r="K41" s="14" t="inlineStr">
        <is>
          <t>https://www.town.yabuki.fukushima.jp/page/page009573.html</t>
        </is>
      </c>
      <c r="L41" s="11" t="n"/>
      <c r="M41" s="11" t="inlineStr">
        <is>
          <t>不明</t>
        </is>
      </c>
      <c r="N41" s="13" t="n"/>
      <c r="O41" s="13" t="inlineStr">
        <is>
          <t>不明</t>
        </is>
      </c>
      <c r="P41" s="13" t="inlineStr">
        <is>
          <t>計画なし</t>
        </is>
      </c>
      <c r="Q41" s="11" t="n"/>
      <c r="R41" s="11" t="inlineStr">
        <is>
          <t>町単独の地域公共交通計画をR5.9策定（期間は検索結果で確認できず）。同計画に基づきAI活用型オンデマンドバス「のると矢吹」導入・運行業務のプロポーザル実施（page010114/page010199）。環境基本計画は町HP内検索で見当たらず、代替として矢吹町地球温暖化対策実行計画（区域施策編）R6.3策定 https://www.town.yabuki.fukushima.jp/data/doc/1711602333_doc_34_0.pdf、事務事業編も改定済（page009922）。</t>
        </is>
      </c>
      <c r="S41" s="15" t="inlineStr">
        <is>
          <t>調査済</t>
        </is>
      </c>
      <c r="T41" s="11" t="inlineStr">
        <is>
          <t>掲載</t>
        </is>
      </c>
    </row>
    <row r="42">
      <c r="A42" s="11" t="n">
        <v>39</v>
      </c>
      <c r="B42" s="11" t="inlineStr">
        <is>
          <t>棚倉町</t>
        </is>
      </c>
      <c r="C42" s="12">
        <f>IF(OR(D42="◎",E42="◎"),"◎ 営業",IF(OR(D42="△",E42="△"),"△ 着手済・要確認",IF(OR(D42="？",E42="？"),"？ 期間要確認","✕ 対象外")))</f>
        <v/>
      </c>
      <c r="D42" s="13">
        <f>IF(J42="計画なし","－",IF(J42="策定済","✕",IF(H42="","？",IF(AND(H42&gt;=TGT_MIN,H42&lt;=TGT_MAX),IF(J42="着手済","△","◎"),"✕"))))</f>
        <v/>
      </c>
      <c r="E42" s="13">
        <f>IF(P42="計画なし","－",IF(P42="策定済","✕",IF(N42="","？",IF(AND(N42&gt;=TGT_MIN,N42&lt;=TGT_MAX),IF(P42="着手済","△","◎"),"✕"))))</f>
        <v/>
      </c>
      <c r="F42" s="11" t="inlineStr">
        <is>
          <t>福島県地域公共交通計画（県全域の広域計画）</t>
        </is>
      </c>
      <c r="G42" s="11" t="inlineStr">
        <is>
          <t>R6〜R12</t>
        </is>
      </c>
      <c r="H42" s="13" t="n">
        <v>12</v>
      </c>
      <c r="I42" s="13" t="inlineStr">
        <is>
          <t>確認済</t>
        </is>
      </c>
      <c r="J42" s="13" t="inlineStr">
        <is>
          <t>未確認</t>
        </is>
      </c>
      <c r="K42" s="14" t="inlineStr">
        <is>
          <t>https://www.pref.fukushima.lg.jp/uploaded/attachment/622613.pdf</t>
        </is>
      </c>
      <c r="L42" s="11" t="inlineStr">
        <is>
          <t>棚倉町環境基本計画－SDGsと環境共生圏づくりを目指して－</t>
        </is>
      </c>
      <c r="M42" s="11" t="inlineStr">
        <is>
          <t>不明（R3.3策定。要約1件に「令和32年（2050年）まで」とあるが長期目標年の誤認の可能性）</t>
        </is>
      </c>
      <c r="N42" s="13" t="n"/>
      <c r="O42" s="13" t="inlineStr">
        <is>
          <t>不明</t>
        </is>
      </c>
      <c r="P42" s="13" t="inlineStr">
        <is>
          <t>未確認</t>
        </is>
      </c>
      <c r="Q42" s="14" t="inlineStr">
        <is>
          <t>https://www.town.tanagura.fukushima.jp/data/doc/1617153691_doc_15_0.pdf</t>
        </is>
      </c>
      <c r="R42" s="11" t="inlineStr">
        <is>
          <t>町村単独の地域公共交通計画は検索で確認できず、県計画（R6.3策定、R7.2等に一部改定）が対象範囲。環境基本計画はR3.3策定（本編PDF https://www.town.tanagura.fukushima.jp/data/doc/1617153691_doc_15_0.pdf）。計画期間は検索結果で確認できず（10年ならR3〜R12、5年ならR3〜R7→改定期の可能性）。要PDF確認。 【追加調査 2026-10】国交省一覧では町単独計画あり・期間満了（灰色）だが、町単独の地域公共交通計画（網形成計画・旧連携計画含む）は4回の検索（『棚倉町地域公共交通計画』『地域公共交通網形成計画』『地域公共交通会議』等）で確認できず。町サイトで見つかったのはタクシー・バス利用料金助成事業（https://www.town.tanagura.fukushima.jp/jumin/sumai-kankyo-eisei/page001281.html ）のみ。期間満了の旧計画が残存、次期計画の着手も未確認。現行データ（福島県地域公共交通計画R6〜R12）を維持。要：町総務課/企画担当へ照会。2026-10-02検索。 【追加調査 2026-10】町HPドメイン検索で本編PDF（R3.3策定）がヒット。検索要約では「計画期間は令和32年（2050年）まで」、2030年度45%・2050年80%削減（H25比）目標。要約1件のみで、長期目標年を計画期間と誤認している可能性あり（本文で中間見直し年の有無は未確認）。PDF・町HPは取得不可（egressブロック）。期間がR3〜R12ならR12満了。次期計画着手の情報なし。 追加検索：計画書に温室効果ガス排出量・国県動向・社会情勢の変化に応じ適宜見直す旨の記載（固定の中間見直し年は確認できず）。検索要約に「2026年3月30日」とあったがPDFのファイル名タイムスタンプ(1617153691=2021/3/31)からR3.3策定と判断（R8新規策定ではない）。 【統合時判断】期間の根拠が要約1件のみで長期目標年との混同が疑われるため、e_end は空欄・不明とした（R3〜R12の10年計画の可能性もあり要本文確認）。 根拠: 計画期間は令和32年（2050年）までとされ、令和12年（2030年）までの温室効果ガス削減目標は平成25年の排出量を基準とし45％</t>
        </is>
      </c>
      <c r="S42" s="15" t="inlineStr">
        <is>
          <t>調査済</t>
        </is>
      </c>
      <c r="T42" s="17" t="inlineStr">
        <is>
          <t>掲載／期間満了</t>
        </is>
      </c>
    </row>
    <row r="43">
      <c r="A43" s="11" t="n">
        <v>40</v>
      </c>
      <c r="B43" s="11" t="inlineStr">
        <is>
          <t>矢祭町</t>
        </is>
      </c>
      <c r="C43" s="12">
        <f>IF(OR(D43="◎",E43="◎"),"◎ 営業",IF(OR(D43="△",E43="△"),"△ 着手済・要確認",IF(OR(D43="？",E43="？"),"？ 期間要確認","✕ 対象外")))</f>
        <v/>
      </c>
      <c r="D43" s="13">
        <f>IF(J43="計画なし","－",IF(J43="策定済","✕",IF(H43="","？",IF(AND(H43&gt;=TGT_MIN,H43&lt;=TGT_MAX),IF(J43="着手済","△","◎"),"✕"))))</f>
        <v/>
      </c>
      <c r="E43" s="13">
        <f>IF(P43="計画なし","－",IF(P43="策定済","✕",IF(N43="","？",IF(AND(N43&gt;=TGT_MIN,N43&lt;=TGT_MAX),IF(P43="着手済","△","◎"),"✕"))))</f>
        <v/>
      </c>
      <c r="F43" s="11" t="inlineStr">
        <is>
          <t>福島県地域公共交通計画（県全域の広域計画）</t>
        </is>
      </c>
      <c r="G43" s="11" t="inlineStr">
        <is>
          <t>R6〜R12</t>
        </is>
      </c>
      <c r="H43" s="13" t="n">
        <v>12</v>
      </c>
      <c r="I43" s="13" t="inlineStr">
        <is>
          <t>確認済</t>
        </is>
      </c>
      <c r="J43" s="13" t="inlineStr">
        <is>
          <t>未確認</t>
        </is>
      </c>
      <c r="K43" s="14" t="inlineStr">
        <is>
          <t>https://www.pref.fukushima.lg.jp/uploaded/attachment/622613.pdf</t>
        </is>
      </c>
      <c r="L43" s="11" t="n"/>
      <c r="M43" s="11" t="inlineStr">
        <is>
          <t>不明</t>
        </is>
      </c>
      <c r="N43" s="13" t="n"/>
      <c r="O43" s="13" t="inlineStr">
        <is>
          <t>不明</t>
        </is>
      </c>
      <c r="P43" s="13" t="inlineStr">
        <is>
          <t>計画なし</t>
        </is>
      </c>
      <c r="Q43" s="11" t="n"/>
      <c r="R43" s="11" t="inlineStr">
        <is>
          <t>町村単独の地域公共交通計画は検索で確認できず、県計画（R6.3策定、R7.2等に一部改定）が対象範囲。町は「地域の公共交通網整備に向けた基本調査研究」を公表（https://www.town.yamatsuri.fukushima.jp/sp/page/page000235.html）。環境基本計画は町HPドメイン検索でも確認できず（総合計画・太陽光条例等のみ）。第7次総合計画R8〜R12策定。 【追加調査 2026-10】町HPドメイン指定検索で環境基本計画ヒットせず（第6次総合計画2021〜2026、第7次総合計画R8〜R12、過疎計画、公共施設計画、太陽光調和条例のみ）。地球温暖化対策実行計画も検索で確認できず。環境施策は総合計画で対応と判断（計画なし、根拠は検索での不在）。</t>
        </is>
      </c>
      <c r="S43" s="15" t="inlineStr">
        <is>
          <t>調査済</t>
        </is>
      </c>
      <c r="T43" s="17" t="inlineStr">
        <is>
          <t>未掲載【当方は計画あり】</t>
        </is>
      </c>
    </row>
    <row r="44">
      <c r="A44" s="11" t="n">
        <v>41</v>
      </c>
      <c r="B44" s="11" t="inlineStr">
        <is>
          <t>塙町</t>
        </is>
      </c>
      <c r="C44" s="12">
        <f>IF(OR(D44="◎",E44="◎"),"◎ 営業",IF(OR(D44="△",E44="△"),"△ 着手済・要確認",IF(OR(D44="？",E44="？"),"？ 期間要確認","✕ 対象外")))</f>
        <v/>
      </c>
      <c r="D44" s="13">
        <f>IF(J44="計画なし","－",IF(J44="策定済","✕",IF(H44="","？",IF(AND(H44&gt;=TGT_MIN,H44&lt;=TGT_MAX),IF(J44="着手済","△","◎"),"✕"))))</f>
        <v/>
      </c>
      <c r="E44" s="13">
        <f>IF(P44="計画なし","－",IF(P44="策定済","✕",IF(N44="","？",IF(AND(N44&gt;=TGT_MIN,N44&lt;=TGT_MAX),IF(P44="着手済","△","◎"),"✕"))))</f>
        <v/>
      </c>
      <c r="F44" s="11" t="inlineStr">
        <is>
          <t>塙町地域公共交通網形成計画（H30.3策定、国交省一覧の単独計画はこれと推定）</t>
        </is>
      </c>
      <c r="G44" s="11" t="inlineStr">
        <is>
          <t>不明</t>
        </is>
      </c>
      <c r="H44" s="13" t="n">
        <v>12</v>
      </c>
      <c r="I44" s="13" t="inlineStr">
        <is>
          <t>不明</t>
        </is>
      </c>
      <c r="J44" s="13" t="inlineStr">
        <is>
          <t>未確認</t>
        </is>
      </c>
      <c r="K44" s="14" t="inlineStr">
        <is>
          <t>https://www.town.hanawa.fukushima.jp/page/page000688.html</t>
        </is>
      </c>
      <c r="L44" s="11" t="n"/>
      <c r="M44" s="11" t="inlineStr">
        <is>
          <t>不明</t>
        </is>
      </c>
      <c r="N44" s="13" t="n"/>
      <c r="O44" s="13" t="inlineStr">
        <is>
          <t>不明</t>
        </is>
      </c>
      <c r="P44" s="13" t="inlineStr">
        <is>
          <t>計画なし</t>
        </is>
      </c>
      <c r="Q44" s="11" t="n"/>
      <c r="R44" s="11" t="inlineStr">
        <is>
          <t>町村単独の地域公共交通計画は検索で確認できず、県計画（R6.3策定、R7.2等に一部改定）が対象範囲。町は地域公共交通網形成計画をH30.3策定（https://www.town.hanawa.fukushima.jp/page/page000688.html、期間未確認・満了の可能性）、旧「塙町地域公共交通総合連携計画」（H23.3, https://www.town.hanawa.fukushima.jp/data/doc/1503288674_doc_30_0.pdf）。環境基本計画は町HP「各種計画」ページ等で見当たらず、温暖化対策実行計画（事務事業編）（page000922）と「地域まるごと省エネ計画」（page001462、区域施策編相当）が代替。 【追加調査 2026-10】2026-10-02再調査（検索5回）：国交省一覧(R8.5末)の単独計画は、町HPでH30.3策定とされる塙町地域公共交通網形成計画と推定（網形成計画は地域公共交通計画とみなし扱い）。計画期間・後継の地域公共交通計画は検索本文で確認できず。町HPはWebFetchブロック。協議会議事録はH30年度第2回(H31.3.27, https://www.town.hanawa.fukushima.jp/data/doc/1554963460_doc_11_0.pdf)まで検索でヒット、次期計画の策定委託・パブコメ等の着手情報は見つからず。旧総合連携計画はH23〜R2年度相当。県計画(R6〜R12)は参考として既存noteどおり。要町への直接確認。</t>
        </is>
      </c>
      <c r="S44" s="15" t="inlineStr">
        <is>
          <t>調査済</t>
        </is>
      </c>
      <c r="T44" s="11" t="inlineStr">
        <is>
          <t>掲載</t>
        </is>
      </c>
    </row>
    <row r="45">
      <c r="A45" s="11" t="n">
        <v>42</v>
      </c>
      <c r="B45" s="11" t="inlineStr">
        <is>
          <t>鮫川村</t>
        </is>
      </c>
      <c r="C45" s="12">
        <f>IF(OR(D45="◎",E45="◎"),"◎ 営業",IF(OR(D45="△",E45="△"),"△ 着手済・要確認",IF(OR(D45="？",E45="？"),"？ 期間要確認","✕ 対象外")))</f>
        <v/>
      </c>
      <c r="D45" s="13">
        <f>IF(J45="計画なし","－",IF(J45="策定済","✕",IF(H45="","？",IF(AND(H45&gt;=TGT_MIN,H45&lt;=TGT_MAX),IF(J45="着手済","△","◎"),"✕"))))</f>
        <v/>
      </c>
      <c r="E45" s="13">
        <f>IF(P45="計画なし","－",IF(P45="策定済","✕",IF(N45="","？",IF(AND(N45&gt;=TGT_MIN,N45&lt;=TGT_MAX),IF(P45="着手済","△","◎"),"✕"))))</f>
        <v/>
      </c>
      <c r="F45" s="11" t="inlineStr">
        <is>
          <t>鮫川村地域公共交通計画</t>
        </is>
      </c>
      <c r="G45" s="11" t="inlineStr">
        <is>
          <t>R5〜R9</t>
        </is>
      </c>
      <c r="H45" s="13" t="n">
        <v>9</v>
      </c>
      <c r="I45" s="13" t="inlineStr">
        <is>
          <t>確認済</t>
        </is>
      </c>
      <c r="J45" s="13" t="inlineStr">
        <is>
          <t>未確認</t>
        </is>
      </c>
      <c r="K45" s="14" t="inlineStr">
        <is>
          <t>https://www.vill.samegawa.fukushima.jp/sp/page/page002592.html</t>
        </is>
      </c>
      <c r="L45" s="11" t="n"/>
      <c r="M45" s="11" t="inlineStr">
        <is>
          <t>不明</t>
        </is>
      </c>
      <c r="N45" s="13" t="n"/>
      <c r="O45" s="13" t="inlineStr">
        <is>
          <t>不明</t>
        </is>
      </c>
      <c r="P45" s="13" t="inlineStr">
        <is>
          <t>計画なし</t>
        </is>
      </c>
      <c r="Q45" s="11" t="n"/>
      <c r="R45" s="11" t="inlineStr">
        <is>
          <t>交通計画はR5.2.21協議会で策定、デマンド交通導入を位置付け。R9年度末で満了→R8〜R9に次期計画検討が見込まれる。R7年度協議会会議録が村HP（上記協議会ページ）に公開、次期計画への言及は未確認。環境基本計画は検索（村/町HPドメイン指定含む）で確認できず。（バイオマスヴィレッジ構想・公害対策条例のみ確認） 【ファクトチェック 2026-10-01: 正しい】確認期間: R5〜R9／次期: 確認できず（R7年度第1回協議会資料は公開されているが次期計画の記載は確認できず）／根拠: https://www.vill.samegawa.fukushima.jp/sp/page/page002592.html 【追加調査 2026-10】村HPドメイン指定検索で環境基本計画ヒットせず。「事業・計画」ページ（https://www.vill.samegawa.fukushima.jp/page/dir000046.html）周辺では第4次鮫川村振興計画（環境保全・景観施策を内包）、バイオマスヴィレッジ構想、公共施設等総合管理計画、総合戦略のみ。環境施策は振興計画で対応と判断。</t>
        </is>
      </c>
      <c r="S45" s="15" t="inlineStr">
        <is>
          <t>調査済</t>
        </is>
      </c>
      <c r="T45" s="11" t="inlineStr">
        <is>
          <t>掲載</t>
        </is>
      </c>
    </row>
    <row r="46">
      <c r="A46" s="11" t="n">
        <v>43</v>
      </c>
      <c r="B46" s="11" t="inlineStr">
        <is>
          <t>石川町</t>
        </is>
      </c>
      <c r="C46" s="12">
        <f>IF(OR(D46="◎",E46="◎"),"◎ 営業",IF(OR(D46="△",E46="△"),"△ 着手済・要確認",IF(OR(D46="？",E46="？"),"？ 期間要確認","✕ 対象外")))</f>
        <v/>
      </c>
      <c r="D46" s="13">
        <f>IF(J46="計画なし","－",IF(J46="策定済","✕",IF(H46="","？",IF(AND(H46&gt;=TGT_MIN,H46&lt;=TGT_MAX),IF(J46="着手済","△","◎"),"✕"))))</f>
        <v/>
      </c>
      <c r="E46" s="13">
        <f>IF(P46="計画なし","－",IF(P46="策定済","✕",IF(N46="","？",IF(AND(N46&gt;=TGT_MIN,N46&lt;=TGT_MAX),IF(P46="着手済","△","◎"),"✕"))))</f>
        <v/>
      </c>
      <c r="F46" s="11" t="inlineStr">
        <is>
          <t>石川町地域公共交通計画</t>
        </is>
      </c>
      <c r="G46" s="11" t="inlineStr">
        <is>
          <t>R5〜R10</t>
        </is>
      </c>
      <c r="H46" s="13" t="n">
        <v>10</v>
      </c>
      <c r="I46" s="13" t="inlineStr">
        <is>
          <t>確認済</t>
        </is>
      </c>
      <c r="J46" s="13" t="inlineStr">
        <is>
          <t>未確認</t>
        </is>
      </c>
      <c r="K46" s="14" t="inlineStr">
        <is>
          <t>https://www.town.ishikawa.fukushima.jp/admin/project/03/24.html</t>
        </is>
      </c>
      <c r="L46" s="11" t="n"/>
      <c r="M46" s="11" t="inlineStr">
        <is>
          <t>不明</t>
        </is>
      </c>
      <c r="N46" s="13" t="n"/>
      <c r="O46" s="13" t="inlineStr">
        <is>
          <t>不明</t>
        </is>
      </c>
      <c r="P46" s="13" t="inlineStr">
        <is>
          <t>計画なし</t>
        </is>
      </c>
      <c r="Q46" s="11" t="n"/>
      <c r="R46" s="11" t="inlineStr">
        <is>
          <t>H29.3策定の石川町地域公共交通網形成計画の後継計画（2023〜2028年度）。環境基本計画は検索（村/町HPドメイン指定含む）で確認できず。第2次石川町地球温暖化防止実行計画（事務事業編、2023〜2028年度）https://www.town.ishikawa.fukushima.jp/admin/ishikawa/info/005930.html のみ確認。 【追加調査 2026-10】町HPドメイン指定検索で環境基本計画ヒットせず。環境系は第2次石川町地球温暖化防止実行計画（事務事業編、2023〜2028年度）・環境にやさしい庁内行動計画【第3期】のみ（https://www.town.ishikawa.fukushima.jp/admin/ishikawa/info/005930.html）。総合計画は第6次（2019〜10年間）。計画なしと判断。 根拠: 「第2次石川町地球温暖化防止計画（事務事業編）」が改訂され、計画期間は2023年度から2028年度</t>
        </is>
      </c>
      <c r="S46" s="15" t="inlineStr">
        <is>
          <t>調査済</t>
        </is>
      </c>
      <c r="T46" s="11" t="inlineStr">
        <is>
          <t>掲載</t>
        </is>
      </c>
    </row>
    <row r="47">
      <c r="A47" s="11" t="n">
        <v>44</v>
      </c>
      <c r="B47" s="11" t="inlineStr">
        <is>
          <t>玉川村</t>
        </is>
      </c>
      <c r="C47" s="12">
        <f>IF(OR(D47="◎",E47="◎"),"◎ 営業",IF(OR(D47="△",E47="△"),"△ 着手済・要確認",IF(OR(D47="？",E47="？"),"？ 期間要確認","✕ 対象外")))</f>
        <v/>
      </c>
      <c r="D47" s="13">
        <f>IF(J47="計画なし","－",IF(J47="策定済","✕",IF(H47="","？",IF(AND(H47&gt;=TGT_MIN,H47&lt;=TGT_MAX),IF(J47="着手済","△","◎"),"✕"))))</f>
        <v/>
      </c>
      <c r="E47" s="13">
        <f>IF(P47="計画なし","－",IF(P47="策定済","✕",IF(N47="","？",IF(AND(N47&gt;=TGT_MIN,N47&lt;=TGT_MAX),IF(P47="着手済","△","◎"),"✕"))))</f>
        <v/>
      </c>
      <c r="F47" s="11" t="inlineStr">
        <is>
          <t>玉川村地域公共交通網形成計画（R1.6策定、期間満了）</t>
        </is>
      </c>
      <c r="G47" s="11" t="inlineStr">
        <is>
          <t>R1〜R6</t>
        </is>
      </c>
      <c r="H47" s="13" t="n">
        <v>6</v>
      </c>
      <c r="I47" s="13" t="inlineStr">
        <is>
          <t>確認済</t>
        </is>
      </c>
      <c r="J47" s="13" t="inlineStr">
        <is>
          <t>未確認</t>
        </is>
      </c>
      <c r="K47" s="14" t="inlineStr">
        <is>
          <t>https://www.vill.tamakawa.fukushima.jp/guide/plan/000055.html</t>
        </is>
      </c>
      <c r="L47" s="11" t="n"/>
      <c r="M47" s="11" t="inlineStr">
        <is>
          <t>不明</t>
        </is>
      </c>
      <c r="N47" s="13" t="n"/>
      <c r="O47" s="13" t="inlineStr">
        <is>
          <t>不明</t>
        </is>
      </c>
      <c r="P47" s="13" t="inlineStr">
        <is>
          <t>計画なし</t>
        </is>
      </c>
      <c r="Q47" s="11" t="n"/>
      <c r="R47" s="11" t="inlineStr">
        <is>
          <t>町村単独の地域公共交通計画は検索で確認できず、県計画（R6.3策定、R7.2等に一部改定）が対象範囲。こおりやま広域連携中枢都市圏構成団体（圏域の交通計画は確認できず）。環境基本計画は検索（村/町HPドメイン指定含む）で確認できず。住宅用太陽光補助等のみ確認。 【追加調査 2026-10】2026-10-02再調査：村単独計画は「玉川村地域公共交通網形成計画」（企画政策課、玉川村地域公共交通活性化協議会で審議し令和元年6月策定、対象区域は村全域、期間2019〜2024年度の6年間）で、国交省一覧の「期間満了」と整合。後継の地域公共交通計画・策定委託・パブコメ等は村HPドメイン指定検索でも確認できず（村HPはWebFetchブロック）。現状は県計画(R6〜R12)と県中・県南圏域地域公共交通利便増進実施計画(R7.10〜R13.3, https://www.mlit.go.jp/sogoseisaku/transport/content/001895410.pdf)の対象。第7次総合計画を策定中（https://www.vill.tamakawa.fukushima.jp/guide/plan/005944.html）で、次期交通計画の検討が連動する可能性あり、要直接確認。 根拠: 計画の期間は2019年度から2024年度までの6年間 【追加調査 2026-10】村HPドメイン指定検索（環境基本計画・地球温暖化対策実行計画）でヒットせず。総合開発計画、第7次玉川村総合計画（策定中ニュースレター）等のみ。環境施策は総合計画で対応と判断。</t>
        </is>
      </c>
      <c r="S47" s="15" t="inlineStr">
        <is>
          <t>調査済</t>
        </is>
      </c>
      <c r="T47" s="17" t="inlineStr">
        <is>
          <t>掲載／期間満了</t>
        </is>
      </c>
    </row>
    <row r="48">
      <c r="A48" s="11" t="n">
        <v>45</v>
      </c>
      <c r="B48" s="11" t="inlineStr">
        <is>
          <t>平田村</t>
        </is>
      </c>
      <c r="C48" s="12">
        <f>IF(OR(D48="◎",E48="◎"),"◎ 営業",IF(OR(D48="△",E48="△"),"△ 着手済・要確認",IF(OR(D48="？",E48="？"),"？ 期間要確認","✕ 対象外")))</f>
        <v/>
      </c>
      <c r="D48" s="13">
        <f>IF(J48="計画なし","－",IF(J48="策定済","✕",IF(H48="","？",IF(AND(H48&gt;=TGT_MIN,H48&lt;=TGT_MAX),IF(J48="着手済","△","◎"),"✕"))))</f>
        <v/>
      </c>
      <c r="E48" s="13">
        <f>IF(P48="計画なし","－",IF(P48="策定済","✕",IF(N48="","？",IF(AND(N48&gt;=TGT_MIN,N48&lt;=TGT_MAX),IF(P48="着手済","△","◎"),"✕"))))</f>
        <v/>
      </c>
      <c r="F48" s="11" t="inlineStr">
        <is>
          <t>福島県地域公共交通計画（県全域の広域計画）</t>
        </is>
      </c>
      <c r="G48" s="11" t="inlineStr">
        <is>
          <t>R6〜R12</t>
        </is>
      </c>
      <c r="H48" s="13" t="n">
        <v>12</v>
      </c>
      <c r="I48" s="13" t="inlineStr">
        <is>
          <t>確認済</t>
        </is>
      </c>
      <c r="J48" s="13" t="inlineStr">
        <is>
          <t>未確認</t>
        </is>
      </c>
      <c r="K48" s="14" t="inlineStr">
        <is>
          <t>https://www.pref.fukushima.lg.jp/uploaded/attachment/622613.pdf</t>
        </is>
      </c>
      <c r="L48" s="11" t="n"/>
      <c r="M48" s="11" t="inlineStr">
        <is>
          <t>不明</t>
        </is>
      </c>
      <c r="N48" s="13" t="n"/>
      <c r="O48" s="13" t="inlineStr">
        <is>
          <t>不明</t>
        </is>
      </c>
      <c r="P48" s="13" t="inlineStr">
        <is>
          <t>計画なし</t>
        </is>
      </c>
      <c r="Q48" s="11" t="n"/>
      <c r="R48" s="11" t="inlineStr">
        <is>
          <t>町村単独の地域公共交通計画は検索で確認できず、県計画（R6.3策定、R7.2等に一部改定）が対象範囲。こおりやま広域連携中枢都市圏構成団体（圏域の交通計画は確認できず）。環境基本計画は検索（村/町HPドメイン指定含む）で確認できず。平田村地球温暖化対策実施計画が情報公開ページ（https://www.vill.hirata.fukushima.jp/soshiki/2/174.html）に掲載、一般廃棄物処理基本計画（R4.4, R7.4変更）あり。 【追加調査 2026-10】村HPドメイン指定検索で環境基本計画ヒットせず。環境系は平田村地球温暖化対策実行計画（事務事業編・区域施策編、情報公開ページ https://www.vill.hirata.fukushima.jp/soshiki/2/174.html）、一般廃棄物処理基本計画（R4.4、R7.4変更）、第5次総合計画後期基本計画（R3.3）のみ。実行計画＋総合計画で対応と判断。 根拠: 「平田村地球温暖化対策実行計画」（事務事業編・区域施策編）</t>
        </is>
      </c>
      <c r="S48" s="15" t="inlineStr">
        <is>
          <t>調査済</t>
        </is>
      </c>
      <c r="T48" s="17" t="inlineStr">
        <is>
          <t>未掲載【当方は計画あり】</t>
        </is>
      </c>
    </row>
    <row r="49">
      <c r="A49" s="11" t="n">
        <v>46</v>
      </c>
      <c r="B49" s="11" t="inlineStr">
        <is>
          <t>浅川町</t>
        </is>
      </c>
      <c r="C49" s="12">
        <f>IF(OR(D49="◎",E49="◎"),"◎ 営業",IF(OR(D49="△",E49="△"),"△ 着手済・要確認",IF(OR(D49="？",E49="？"),"？ 期間要確認","✕ 対象外")))</f>
        <v/>
      </c>
      <c r="D49" s="13">
        <f>IF(J49="計画なし","－",IF(J49="策定済","✕",IF(H49="","？",IF(AND(H49&gt;=TGT_MIN,H49&lt;=TGT_MAX),IF(J49="着手済","△","◎"),"✕"))))</f>
        <v/>
      </c>
      <c r="E49" s="13">
        <f>IF(P49="計画なし","－",IF(P49="策定済","✕",IF(N49="","？",IF(AND(N49&gt;=TGT_MIN,N49&lt;=TGT_MAX),IF(P49="着手済","△","◎"),"✕"))))</f>
        <v/>
      </c>
      <c r="F49" s="11" t="inlineStr">
        <is>
          <t>福島県地域公共交通計画（県全域の広域計画）</t>
        </is>
      </c>
      <c r="G49" s="11" t="inlineStr">
        <is>
          <t>R6〜R12</t>
        </is>
      </c>
      <c r="H49" s="13" t="n">
        <v>12</v>
      </c>
      <c r="I49" s="13" t="inlineStr">
        <is>
          <t>確認済</t>
        </is>
      </c>
      <c r="J49" s="13" t="inlineStr">
        <is>
          <t>未確認</t>
        </is>
      </c>
      <c r="K49" s="14" t="inlineStr">
        <is>
          <t>https://www.pref.fukushima.lg.jp/uploaded/attachment/622613.pdf</t>
        </is>
      </c>
      <c r="L49" s="11" t="n"/>
      <c r="M49" s="11" t="inlineStr">
        <is>
          <t>不明</t>
        </is>
      </c>
      <c r="N49" s="13" t="n"/>
      <c r="O49" s="13" t="inlineStr">
        <is>
          <t>不明</t>
        </is>
      </c>
      <c r="P49" s="13" t="inlineStr">
        <is>
          <t>計画なし</t>
        </is>
      </c>
      <c r="Q49" s="11" t="n"/>
      <c r="R49" s="11" t="inlineStr">
        <is>
          <t>町村単独の地域公共交通計画は検索で確認できず、県計画（R6.3策定、R7.2等に一部改定）が対象範囲。こおりやま広域連携中枢都市圏構成団体（圏域の交通計画は確認できず）。環境基本計画は町HP検索で見当たらず、代替として浅川町地域まるごと省エネ計画【地球温暖化対策実行計画（区域施策編）・気候変動適応計画】（https://www.town.asakawa.fukushima.jp/health/kankyou/001486.html、案PDF R7.2公表）。</t>
        </is>
      </c>
      <c r="S49" s="15" t="inlineStr">
        <is>
          <t>調査済</t>
        </is>
      </c>
      <c r="T49" s="17" t="inlineStr">
        <is>
          <t>未掲載【当方は計画あり】</t>
        </is>
      </c>
    </row>
    <row r="50">
      <c r="A50" s="11" t="n">
        <v>47</v>
      </c>
      <c r="B50" s="11" t="inlineStr">
        <is>
          <t>古殿町</t>
        </is>
      </c>
      <c r="C50" s="12">
        <f>IF(OR(D50="◎",E50="◎"),"◎ 営業",IF(OR(D50="△",E50="△"),"△ 着手済・要確認",IF(OR(D50="？",E50="？"),"？ 期間要確認","✕ 対象外")))</f>
        <v/>
      </c>
      <c r="D50" s="13">
        <f>IF(J50="計画なし","－",IF(J50="策定済","✕",IF(H50="","？",IF(AND(H50&gt;=TGT_MIN,H50&lt;=TGT_MAX),IF(J50="着手済","△","◎"),"✕"))))</f>
        <v/>
      </c>
      <c r="E50" s="13">
        <f>IF(P50="計画なし","－",IF(P50="策定済","✕",IF(N50="","？",IF(AND(N50&gt;=TGT_MIN,N50&lt;=TGT_MAX),IF(P50="着手済","△","◎"),"✕"))))</f>
        <v/>
      </c>
      <c r="F50" s="11" t="inlineStr">
        <is>
          <t>福島県地域公共交通計画（県全域の広域計画）</t>
        </is>
      </c>
      <c r="G50" s="11" t="inlineStr">
        <is>
          <t>R6〜R12</t>
        </is>
      </c>
      <c r="H50" s="13" t="n">
        <v>12</v>
      </c>
      <c r="I50" s="13" t="inlineStr">
        <is>
          <t>確認済</t>
        </is>
      </c>
      <c r="J50" s="13" t="inlineStr">
        <is>
          <t>未確認</t>
        </is>
      </c>
      <c r="K50" s="14" t="inlineStr">
        <is>
          <t>https://www.pref.fukushima.lg.jp/uploaded/attachment/622613.pdf</t>
        </is>
      </c>
      <c r="L50" s="11" t="n"/>
      <c r="M50" s="11" t="inlineStr">
        <is>
          <t>不明</t>
        </is>
      </c>
      <c r="N50" s="13" t="n"/>
      <c r="O50" s="13" t="inlineStr">
        <is>
          <t>不明</t>
        </is>
      </c>
      <c r="P50" s="13" t="inlineStr">
        <is>
          <t>計画なし</t>
        </is>
      </c>
      <c r="Q50" s="11" t="n"/>
      <c r="R50" s="11" t="inlineStr">
        <is>
          <t>町村単独の地域公共交通計画は検索で確認できず、県計画（R6.3策定、R7.2等に一部改定）が対象範囲。こおりやま広域連携中枢都市圏構成団体（圏域の交通計画は確認できず）。環境基本計画は検索（村/町HPドメイン指定含む）で確認できず。町HP「各種計画」ページ（https://www.town.furudono.fukushima.jp/chouseijyouhou/torikumikeikaku/keikaku/760）に記載ある可能性は低いが未確認。 【追加調査 2026-10】町HP「各種計画」ページ（https://www.town.furudono.fukushima.jp/chouseijyouhou/torikumikeikaku/keikaku/760）は水質検査計画・橋梁長寿命化・耐震改修促進・生活排水処理等を掲載、環境基本計画は検索で確認できず。第7次振興計画、過疎・辺地計画、デジ田総合戦略のみ。計画なしと判断。</t>
        </is>
      </c>
      <c r="S50" s="15" t="inlineStr">
        <is>
          <t>調査済</t>
        </is>
      </c>
      <c r="T50" s="17" t="inlineStr">
        <is>
          <t>未掲載【当方は計画あり】</t>
        </is>
      </c>
    </row>
    <row r="51">
      <c r="A51" s="11" t="n">
        <v>48</v>
      </c>
      <c r="B51" s="11" t="inlineStr">
        <is>
          <t>三春町</t>
        </is>
      </c>
      <c r="C51" s="12">
        <f>IF(OR(D51="◎",E51="◎"),"◎ 営業",IF(OR(D51="△",E51="△"),"△ 着手済・要確認",IF(OR(D51="？",E51="？"),"？ 期間要確認","✕ 対象外")))</f>
        <v/>
      </c>
      <c r="D51" s="13">
        <f>IF(J51="計画なし","－",IF(J51="策定済","✕",IF(H51="","？",IF(AND(H51&gt;=TGT_MIN,H51&lt;=TGT_MAX),IF(J51="着手済","△","◎"),"✕"))))</f>
        <v/>
      </c>
      <c r="E51" s="13">
        <f>IF(P51="計画なし","－",IF(P51="策定済","✕",IF(N51="","？",IF(AND(N51&gt;=TGT_MIN,N51&lt;=TGT_MAX),IF(P51="着手済","△","◎"),"✕"))))</f>
        <v/>
      </c>
      <c r="F51" s="11" t="inlineStr">
        <is>
          <t>三春町地域公共交通計画</t>
        </is>
      </c>
      <c r="G51" s="11" t="inlineStr">
        <is>
          <t>R5〜R9</t>
        </is>
      </c>
      <c r="H51" s="13" t="n">
        <v>9</v>
      </c>
      <c r="I51" s="13" t="inlineStr">
        <is>
          <t>確認済</t>
        </is>
      </c>
      <c r="J51" s="13" t="inlineStr">
        <is>
          <t>未確認</t>
        </is>
      </c>
      <c r="K51" s="14" t="inlineStr">
        <is>
          <t>https://www.town.miharu.fukushima.jp/soshiki/4/kokyoukotsu.html</t>
        </is>
      </c>
      <c r="L51" s="11" t="n"/>
      <c r="M51" s="11" t="inlineStr">
        <is>
          <t>不明</t>
        </is>
      </c>
      <c r="N51" s="13" t="n"/>
      <c r="O51" s="13" t="inlineStr">
        <is>
          <t>不明</t>
        </is>
      </c>
      <c r="P51" s="13" t="inlineStr">
        <is>
          <t>計画なし</t>
        </is>
      </c>
      <c r="Q51" s="11" t="n"/>
      <c r="R51" s="11" t="inlineStr">
        <is>
          <t>交通：町単独計画は再検索でも確認できず(R8.3にユニ・トランドと交通データ活用の包括連携協定締結 https://www.logi-today.com/930374)、県全域の福島県地域公共交通計画(R6〜R12)が該当。県中・県南圏域地域公共交通利便増進実施計画(R7.10〜R13.3)にも含まれる(https://www.mlit.go.jp/sogoseisaku/transport/content/001895410.pdf)。環境：三春町環境条例(H12)はあるが環境基本計画は検索で確認できず。 【追加調査 2026-10】2026-10-02再調査：町単独の「三春町地域公共交通計画」（住民課所管、三春町地域公共交通活性化協議会）を町HPで確認。計画期間は令和5年度〜令和9年度の5年間。R6.6の協議会で一部改定、R7.8の協議会で再改定（町HPドメイン検索の本文より）。町営バスはR8.4から運行見直し（https://www.town.miharu.fukushima.jp/soshiki/4/tyoueibasu.html）、福島交通路線バスもR7.10から再編（https://www.town.miharu.fukushima.jp/soshiki/4/fukushimakotsubus.html）。次期計画（R10〜）の策定委託・パブコメ等は検索で確認できず（町HPはWebFetchブロック）。終期R9のためR8〜R9に次期策定が見込まれる。前回noteの「町単独計画確認できず」は訂正。 根拠: 計画期間は令和5年度から令和9年度までの5年間（三春町地域公共交通計画を策定しました・町HP）</t>
        </is>
      </c>
      <c r="S51" s="15" t="inlineStr">
        <is>
          <t>調査済</t>
        </is>
      </c>
      <c r="T51" s="11" t="inlineStr">
        <is>
          <t>掲載</t>
        </is>
      </c>
    </row>
    <row r="52">
      <c r="A52" s="11" t="n">
        <v>49</v>
      </c>
      <c r="B52" s="11" t="inlineStr">
        <is>
          <t>小野町</t>
        </is>
      </c>
      <c r="C52" s="12">
        <f>IF(OR(D52="◎",E52="◎"),"◎ 営業",IF(OR(D52="△",E52="△"),"△ 着手済・要確認",IF(OR(D52="？",E52="？"),"？ 期間要確認","✕ 対象外")))</f>
        <v/>
      </c>
      <c r="D52" s="13">
        <f>IF(J52="計画なし","－",IF(J52="策定済","✕",IF(H52="","？",IF(AND(H52&gt;=TGT_MIN,H52&lt;=TGT_MAX),IF(J52="着手済","△","◎"),"✕"))))</f>
        <v/>
      </c>
      <c r="E52" s="13">
        <f>IF(P52="計画なし","－",IF(P52="策定済","✕",IF(N52="","？",IF(AND(N52&gt;=TGT_MIN,N52&lt;=TGT_MAX),IF(P52="着手済","△","◎"),"✕"))))</f>
        <v/>
      </c>
      <c r="F52" s="11" t="inlineStr">
        <is>
          <t>小野町地域公共交通計画</t>
        </is>
      </c>
      <c r="G52" s="11" t="inlineStr">
        <is>
          <t>R6〜R10</t>
        </is>
      </c>
      <c r="H52" s="13" t="n">
        <v>10</v>
      </c>
      <c r="I52" s="13" t="inlineStr">
        <is>
          <t>確認済</t>
        </is>
      </c>
      <c r="J52" s="13" t="inlineStr">
        <is>
          <t>未確認</t>
        </is>
      </c>
      <c r="K52" s="14" t="inlineStr">
        <is>
          <t>https://www.town.ono.fukushima.jp/soshiki/3/entry_9.html</t>
        </is>
      </c>
      <c r="L52" s="11" t="n"/>
      <c r="M52" s="11" t="inlineStr">
        <is>
          <t>不明</t>
        </is>
      </c>
      <c r="N52" s="13" t="n"/>
      <c r="O52" s="13" t="inlineStr">
        <is>
          <t>不明</t>
        </is>
      </c>
      <c r="P52" s="13" t="inlineStr">
        <is>
          <t>計画なし</t>
        </is>
      </c>
      <c r="Q52" s="11" t="n"/>
      <c r="R52" s="11" t="inlineStr">
        <is>
          <t>交通：町単独計画は再検索でも確認できず、県全域の福島県地域公共交通計画(R6〜R12)が該当。県中・県南圏域地域公共交通利便増進実施計画(R7.10〜R13.3)にも含まれる(https://www.mlit.go.jp/sogoseisaku/transport/content/001895410.pdf)。環境：環境基本計画は検索で確認できず。 【追加調査 2026-10】2026-10-02再調査：町単独の「小野町地域公共交通計画」（企画政策課まちづくり推進室）を町HPで確認。小野町総合計画(2023〜2027)・福島県地域公共交通計画(2024〜2030)を踏まえ策定、計画期間は令和6年度〜令和10年度の5年間。路線バス（郡山・石川・いわき方面）とタクシー利用料金助成が柱。終期R10のため次期計画の着手情報は未調査（現時点で該当なしと想定）。前回noteの「町単独計画確認できず」は訂正。 根拠: 計画期間：令和６年度から令和10年度（５年間）</t>
        </is>
      </c>
      <c r="S52" s="15" t="inlineStr">
        <is>
          <t>調査済</t>
        </is>
      </c>
      <c r="T52" s="11" t="inlineStr">
        <is>
          <t>掲載</t>
        </is>
      </c>
    </row>
    <row r="53">
      <c r="A53" s="11" t="n">
        <v>50</v>
      </c>
      <c r="B53" s="11" t="inlineStr">
        <is>
          <t>広野町</t>
        </is>
      </c>
      <c r="C53" s="12">
        <f>IF(OR(D53="◎",E53="◎"),"◎ 営業",IF(OR(D53="△",E53="△"),"△ 着手済・要確認",IF(OR(D53="？",E53="？"),"？ 期間要確認","✕ 対象外")))</f>
        <v/>
      </c>
      <c r="D53" s="13">
        <f>IF(J53="計画なし","－",IF(J53="策定済","✕",IF(H53="","？",IF(AND(H53&gt;=TGT_MIN,H53&lt;=TGT_MAX),IF(J53="着手済","△","◎"),"✕"))))</f>
        <v/>
      </c>
      <c r="E53" s="13">
        <f>IF(P53="計画なし","－",IF(P53="策定済","✕",IF(N53="","？",IF(AND(N53&gt;=TGT_MIN,N53&lt;=TGT_MAX),IF(P53="着手済","△","◎"),"✕"))))</f>
        <v/>
      </c>
      <c r="F53" s="11" t="inlineStr">
        <is>
          <t>福島県避難地域広域公共交通計画（避難12市町村対象・県策定）</t>
        </is>
      </c>
      <c r="G53" s="11" t="inlineStr">
        <is>
          <t>R5〜R9</t>
        </is>
      </c>
      <c r="H53" s="13" t="n">
        <v>9</v>
      </c>
      <c r="I53" s="13" t="inlineStr">
        <is>
          <t>確認済</t>
        </is>
      </c>
      <c r="J53" s="13" t="inlineStr">
        <is>
          <t>着手済</t>
        </is>
      </c>
      <c r="K53" s="14" t="inlineStr">
        <is>
          <t>https://www.pref.fukushima.lg.jp/sec/16005d/hinan-koutsuu-keikaku.html</t>
        </is>
      </c>
      <c r="L53" s="11" t="inlineStr">
        <is>
          <t>広野町環境基本計画</t>
        </is>
      </c>
      <c r="M53" s="11" t="inlineStr">
        <is>
          <t>R7〜R17</t>
        </is>
      </c>
      <c r="N53" s="13" t="n">
        <v>17</v>
      </c>
      <c r="O53" s="13" t="inlineStr">
        <is>
          <t>確認済</t>
        </is>
      </c>
      <c r="P53" s="13" t="inlineStr">
        <is>
          <t>策定済</t>
        </is>
      </c>
      <c r="Q53" s="14" t="inlineStr">
        <is>
          <t>https://www.town.hirono.fukushima.jp/chousei/machidukuri/1003877/1005075.html</t>
        </is>
      </c>
      <c r="R53" s="11" t="inlineStr">
        <is>
          <t>交通：県の避難地域広域公共交通計画(R5.4〜R10.3、R7.3一部改定)が対象。R8年度に最終評価・次期計画の方向性決定、R9年度に次期計画(R10.4〜)策定予定との県資料あり(https://www.pref.fukushima.lg.jp/sec/16005d/hinan-koutsuu-keikaku.html、関連 https://www.pref.fukushima.lg.jp/uploaded/attachment/756357.pdf)。町村単独の交通計画は未確認。環境：広野町環境基本計画をR7.3策定(計画期間R7〜R17の11年間、R12に必要に応じ見直し)(PDF https://www.town.hirono.fukushima.jp/_res/projects/default_project/_page_/001/005/075/kankyokihonkeikaku.pdf)。他に地球温暖化対策実行計画(事務事業編・区域施策編、R5〜R12)、ゼロカーボンビジョンあり。 【ファクトチェック 2026-10-01: 正しい】確認期間: R5〜R9（R5.4〜R10.3）／次期: 予定のみ：協議会資料でR8年度に最終評価、R9年度に次期計画（R10.4〜）策定と記載 https://www.pref.fukushima.lg.jp/uploaded/attachment/756354.pdf（策定支援業務の公募等は確／根拠: https://www.pref.fukushima.lg.jp/uploaded/attachment/738677.pdf</t>
        </is>
      </c>
      <c r="S53" s="15" t="inlineStr">
        <is>
          <t>調査済</t>
        </is>
      </c>
      <c r="T53" s="11" t="inlineStr">
        <is>
          <t>掲載（広域：福島県避難地域）</t>
        </is>
      </c>
    </row>
    <row r="54">
      <c r="A54" s="11" t="n">
        <v>51</v>
      </c>
      <c r="B54" s="11" t="inlineStr">
        <is>
          <t>楢葉町</t>
        </is>
      </c>
      <c r="C54" s="12">
        <f>IF(OR(D54="◎",E54="◎"),"◎ 営業",IF(OR(D54="△",E54="△"),"△ 着手済・要確認",IF(OR(D54="？",E54="？"),"？ 期間要確認","✕ 対象外")))</f>
        <v/>
      </c>
      <c r="D54" s="13">
        <f>IF(J54="計画なし","－",IF(J54="策定済","✕",IF(H54="","？",IF(AND(H54&gt;=TGT_MIN,H54&lt;=TGT_MAX),IF(J54="着手済","△","◎"),"✕"))))</f>
        <v/>
      </c>
      <c r="E54" s="13">
        <f>IF(P54="計画なし","－",IF(P54="策定済","✕",IF(N54="","？",IF(AND(N54&gt;=TGT_MIN,N54&lt;=TGT_MAX),IF(P54="着手済","△","◎"),"✕"))))</f>
        <v/>
      </c>
      <c r="F54" s="11" t="inlineStr">
        <is>
          <t>福島県避難地域広域公共交通計画（避難12市町村対象・県策定）</t>
        </is>
      </c>
      <c r="G54" s="11" t="inlineStr">
        <is>
          <t>R5〜R9</t>
        </is>
      </c>
      <c r="H54" s="13" t="n">
        <v>9</v>
      </c>
      <c r="I54" s="13" t="inlineStr">
        <is>
          <t>確認済</t>
        </is>
      </c>
      <c r="J54" s="13" t="inlineStr">
        <is>
          <t>着手済</t>
        </is>
      </c>
      <c r="K54" s="14" t="inlineStr">
        <is>
          <t>https://www.pref.fukushima.lg.jp/sec/16005d/hinan-koutsuu-keikaku.html</t>
        </is>
      </c>
      <c r="L54" s="11" t="n"/>
      <c r="M54" s="11" t="inlineStr">
        <is>
          <t>不明</t>
        </is>
      </c>
      <c r="N54" s="13" t="n"/>
      <c r="O54" s="13" t="inlineStr">
        <is>
          <t>不明</t>
        </is>
      </c>
      <c r="P54" s="13" t="inlineStr">
        <is>
          <t>計画なし</t>
        </is>
      </c>
      <c r="Q54" s="11" t="n"/>
      <c r="R54" s="11" t="inlineStr">
        <is>
          <t>交通：県の避難地域広域公共交通計画(R5.4〜R10.3、R7.3一部改定)が対象。R8年度に最終評価・次期計画の方向性決定、R9年度に次期計画(R10.4〜)策定予定との県資料あり(https://www.pref.fukushima.lg.jp/sec/16005d/hinan-koutsuu-keikaku.html、関連 https://www.pref.fukushima.lg.jp/uploaded/attachment/756357.pdf)。町村単独の交通計画は未確認。環境：環境基本計画は検索で確認できず。代替として楢葉町ゼロカーボンビジョン(R5.3策定、区域施策編＋地域気候変動適応計画を兼ねる)(https://www.town.naraha.lg.jp/life/cat309/cat331/008538.html)。 【ファクトチェック 2026-10-01: 正しい】確認期間: R5〜R9（R5.4〜R10.3）／次期: 予定のみ：協議会資料でR8年度に最終評価、R9年度に次期計画（R10.4〜）策定と記載 https://www.pref.fukushima.lg.jp/uploaded/attachment/756354.pdf（策定支援業務の公募等は確／根拠: https://www.pref.fukushima.lg.jp/uploaded/attachment/738677.pdf</t>
        </is>
      </c>
      <c r="S54" s="15" t="inlineStr">
        <is>
          <t>調査済</t>
        </is>
      </c>
      <c r="T54" s="11" t="inlineStr">
        <is>
          <t>掲載（広域：福島県避難地域）</t>
        </is>
      </c>
    </row>
    <row r="55">
      <c r="A55" s="11" t="n">
        <v>52</v>
      </c>
      <c r="B55" s="11" t="inlineStr">
        <is>
          <t>富岡町</t>
        </is>
      </c>
      <c r="C55" s="12">
        <f>IF(OR(D55="◎",E55="◎"),"◎ 営業",IF(OR(D55="△",E55="△"),"△ 着手済・要確認",IF(OR(D55="？",E55="？"),"？ 期間要確認","✕ 対象外")))</f>
        <v/>
      </c>
      <c r="D55" s="13">
        <f>IF(J55="計画なし","－",IF(J55="策定済","✕",IF(H55="","？",IF(AND(H55&gt;=TGT_MIN,H55&lt;=TGT_MAX),IF(J55="着手済","△","◎"),"✕"))))</f>
        <v/>
      </c>
      <c r="E55" s="13">
        <f>IF(P55="計画なし","－",IF(P55="策定済","✕",IF(N55="","？",IF(AND(N55&gt;=TGT_MIN,N55&lt;=TGT_MAX),IF(P55="着手済","△","◎"),"✕"))))</f>
        <v/>
      </c>
      <c r="F55" s="11" t="inlineStr">
        <is>
          <t>福島県避難地域広域公共交通計画（避難12市町村対象・県策定）</t>
        </is>
      </c>
      <c r="G55" s="11" t="inlineStr">
        <is>
          <t>R5〜R9</t>
        </is>
      </c>
      <c r="H55" s="13" t="n">
        <v>9</v>
      </c>
      <c r="I55" s="13" t="inlineStr">
        <is>
          <t>確認済</t>
        </is>
      </c>
      <c r="J55" s="13" t="inlineStr">
        <is>
          <t>着手済</t>
        </is>
      </c>
      <c r="K55" s="14" t="inlineStr">
        <is>
          <t>https://www.pref.fukushima.lg.jp/sec/16005d/hinan-koutsuu-keikaku.html</t>
        </is>
      </c>
      <c r="L55" s="11" t="n"/>
      <c r="M55" s="11" t="inlineStr">
        <is>
          <t>不明</t>
        </is>
      </c>
      <c r="N55" s="13" t="n"/>
      <c r="O55" s="13" t="inlineStr">
        <is>
          <t>不明</t>
        </is>
      </c>
      <c r="P55" s="13" t="inlineStr">
        <is>
          <t>計画なし</t>
        </is>
      </c>
      <c r="Q55" s="11" t="n"/>
      <c r="R55" s="11" t="inlineStr">
        <is>
          <t>交通：県の避難地域広域公共交通計画(R5.4〜R10.3、R7.3一部改定)が対象。R8年度に最終評価・次期計画の方向性決定、R9年度に次期計画(R10.4〜)策定予定との県資料あり(https://www.pref.fukushima.lg.jp/sec/16005d/hinan-koutsuu-keikaku.html、関連 https://www.pref.fukushima.lg.jp/uploaded/attachment/756357.pdf)。町村単独の交通計画は未確認。環境：環境基本計画は検索で確認できず（復興推進計画のみ）。 【ファクトチェック 2026-10-01: 正しい】確認期間: R5〜R9（R5.4〜R10.3）／次期: 予定のみ：協議会資料でR8年度に最終評価、R9年度に次期計画（R10.4〜）策定と記載 https://www.pref.fukushima.lg.jp/uploaded/attachment/756354.pdf（策定支援業務の公募等は確／根拠: https://www.pref.fukushima.lg.jp/uploaded/attachment/738677.pdf</t>
        </is>
      </c>
      <c r="S55" s="15" t="inlineStr">
        <is>
          <t>調査済</t>
        </is>
      </c>
      <c r="T55" s="11" t="inlineStr">
        <is>
          <t>掲載（広域：福島県避難地域）</t>
        </is>
      </c>
    </row>
    <row r="56">
      <c r="A56" s="11" t="n">
        <v>53</v>
      </c>
      <c r="B56" s="11" t="inlineStr">
        <is>
          <t>川内村</t>
        </is>
      </c>
      <c r="C56" s="12">
        <f>IF(OR(D56="◎",E56="◎"),"◎ 営業",IF(OR(D56="△",E56="△"),"△ 着手済・要確認",IF(OR(D56="？",E56="？"),"？ 期間要確認","✕ 対象外")))</f>
        <v/>
      </c>
      <c r="D56" s="13">
        <f>IF(J56="計画なし","－",IF(J56="策定済","✕",IF(H56="","？",IF(AND(H56&gt;=TGT_MIN,H56&lt;=TGT_MAX),IF(J56="着手済","△","◎"),"✕"))))</f>
        <v/>
      </c>
      <c r="E56" s="13">
        <f>IF(P56="計画なし","－",IF(P56="策定済","✕",IF(N56="","？",IF(AND(N56&gt;=TGT_MIN,N56&lt;=TGT_MAX),IF(P56="着手済","△","◎"),"✕"))))</f>
        <v/>
      </c>
      <c r="F56" s="11" t="inlineStr">
        <is>
          <t>福島県避難地域広域公共交通計画（避難12市町村対象・県策定）</t>
        </is>
      </c>
      <c r="G56" s="11" t="inlineStr">
        <is>
          <t>R5〜R9</t>
        </is>
      </c>
      <c r="H56" s="13" t="n">
        <v>9</v>
      </c>
      <c r="I56" s="13" t="inlineStr">
        <is>
          <t>確認済</t>
        </is>
      </c>
      <c r="J56" s="13" t="inlineStr">
        <is>
          <t>着手済</t>
        </is>
      </c>
      <c r="K56" s="14" t="inlineStr">
        <is>
          <t>https://www.pref.fukushima.lg.jp/sec/16005d/hinan-koutsuu-keikaku.html</t>
        </is>
      </c>
      <c r="L56" s="11" t="n"/>
      <c r="M56" s="11" t="inlineStr">
        <is>
          <t>不明</t>
        </is>
      </c>
      <c r="N56" s="13" t="n"/>
      <c r="O56" s="13" t="inlineStr">
        <is>
          <t>不明</t>
        </is>
      </c>
      <c r="P56" s="13" t="inlineStr">
        <is>
          <t>計画なし</t>
        </is>
      </c>
      <c r="Q56" s="11" t="n"/>
      <c r="R56" s="11" t="inlineStr">
        <is>
          <t>交通：県の避難地域広域公共交通計画(R5.4〜R10.3、R7.3一部改定)が対象。R8年度に最終評価・次期計画の方向性決定、R9年度に次期計画(R10.4〜)策定予定との県資料あり(https://www.pref.fukushima.lg.jp/sec/16005d/hinan-koutsuu-keikaku.html、関連 https://www.pref.fukushima.lg.jp/uploaded/attachment/756357.pdf)。町村単独の交通計画は未確認。環境：環境基本計画は検索で確認できず。村HPで脱炭素ビジョン策定業務および「地球温暖化対策実行計画(区域施策編)策定業務委託」の公募型プロポーザル実施の記載あり(時期未確認、https://www.kawauchimura.jp/)。 【ファクトチェック 2026-10-01: 正しい】確認期間: R5〜R9（R5.4〜R10.3）／次期: 予定のみ：協議会資料でR8年度に最終評価、R9年度に次期計画（R10.4〜）策定と記載 https://www.pref.fukushima.lg.jp/uploaded/attachment/756354.pdf（策定支援業務の公募等は確／根拠: https://www.pref.fukushima.lg.jp/uploaded/attachment/738677.pdf 【追加調査 2026-10】村HPドメイン指定検索で環境基本計画ヒットせず。村HP「計画、予算」ページ（https://www.kawauchimura.jp/gyosei/keikaku-yosan/）に川内村地球温暖化対策実行計画(区域施策編)が掲載、同策定業務委託は公募型プロポーザルで実施（入札情報 https://www.kawauchimura.jp/bid/）。環境基本計画ではなく区域施策編で対応と判断。 根拠: 川内村地球温暖化対策実行計画(区域施策編)は、計画、予算に関するページにも掲載</t>
        </is>
      </c>
      <c r="S56" s="15" t="inlineStr">
        <is>
          <t>調査済</t>
        </is>
      </c>
      <c r="T56" s="11" t="inlineStr">
        <is>
          <t>掲載（広域：福島県避難地域）</t>
        </is>
      </c>
    </row>
    <row r="57">
      <c r="A57" s="11" t="n">
        <v>54</v>
      </c>
      <c r="B57" s="11" t="inlineStr">
        <is>
          <t>大熊町</t>
        </is>
      </c>
      <c r="C57" s="12">
        <f>IF(OR(D57="◎",E57="◎"),"◎ 営業",IF(OR(D57="△",E57="△"),"△ 着手済・要確認",IF(OR(D57="？",E57="？"),"？ 期間要確認","✕ 対象外")))</f>
        <v/>
      </c>
      <c r="D57" s="13">
        <f>IF(J57="計画なし","－",IF(J57="策定済","✕",IF(H57="","？",IF(AND(H57&gt;=TGT_MIN,H57&lt;=TGT_MAX),IF(J57="着手済","△","◎"),"✕"))))</f>
        <v/>
      </c>
      <c r="E57" s="13">
        <f>IF(P57="計画なし","－",IF(P57="策定済","✕",IF(N57="","？",IF(AND(N57&gt;=TGT_MIN,N57&lt;=TGT_MAX),IF(P57="着手済","△","◎"),"✕"))))</f>
        <v/>
      </c>
      <c r="F57" s="11" t="inlineStr">
        <is>
          <t>福島県避難地域広域公共交通計画（避難12市町村対象・県策定）</t>
        </is>
      </c>
      <c r="G57" s="11" t="inlineStr">
        <is>
          <t>R5〜R9</t>
        </is>
      </c>
      <c r="H57" s="13" t="n">
        <v>9</v>
      </c>
      <c r="I57" s="13" t="inlineStr">
        <is>
          <t>確認済</t>
        </is>
      </c>
      <c r="J57" s="13" t="inlineStr">
        <is>
          <t>着手済</t>
        </is>
      </c>
      <c r="K57" s="14" t="inlineStr">
        <is>
          <t>https://www.pref.fukushima.lg.jp/sec/16005d/hinan-koutsuu-keikaku.html</t>
        </is>
      </c>
      <c r="L57" s="11" t="n"/>
      <c r="M57" s="11" t="inlineStr">
        <is>
          <t>不明</t>
        </is>
      </c>
      <c r="N57" s="13" t="n"/>
      <c r="O57" s="13" t="inlineStr">
        <is>
          <t>不明</t>
        </is>
      </c>
      <c r="P57" s="13" t="inlineStr">
        <is>
          <t>計画なし</t>
        </is>
      </c>
      <c r="Q57" s="11" t="n"/>
      <c r="R57" s="11" t="inlineStr">
        <is>
          <t>交通：県の避難地域広域公共交通計画(R5.4〜R10.3、R7.3一部改定)が対象。R8年度に最終評価・次期計画の方向性決定、R9年度に次期計画(R10.4〜)策定予定との県資料あり(https://www.pref.fukushima.lg.jp/sec/16005d/hinan-koutsuu-keikaku.html、関連 https://www.pref.fukushima.lg.jp/uploaded/attachment/756357.pdf)。町村単独の交通計画は未確認。環境：環境基本計画は検索で確認できず。代替として大熊町ゼロカーボンビジョン(R3.2策定、区域施策編に位置付け、R3〜R32、Ver.3 R5.3 https://www.town.okuma.fukushima.jp/uploaded/attachment/8103.pdf)、ゼロカーボン推進ロードマップあり(https://www.town.okuma.fukushima.jp/site/zerocarbon/24388.html)。 【ファクトチェック 2026-10-01: 正しい】確認期間: R5〜R9（R5.4〜R10.3）／次期: 予定のみ：協議会資料でR8年度に最終評価、R9年度に次期計画（R10.4〜）策定と記載 https://www.pref.fukushima.lg.jp/uploaded/attachment/756354.pdf（策定支援業務の公募等は確／根拠: https://www.pref.fukushima.lg.jp/uploaded/attachment/738677.pdf</t>
        </is>
      </c>
      <c r="S57" s="15" t="inlineStr">
        <is>
          <t>調査済</t>
        </is>
      </c>
      <c r="T57" s="11" t="inlineStr">
        <is>
          <t>掲載（広域：福島県避難地域）</t>
        </is>
      </c>
    </row>
    <row r="58">
      <c r="A58" s="11" t="n">
        <v>55</v>
      </c>
      <c r="B58" s="11" t="inlineStr">
        <is>
          <t>双葉町</t>
        </is>
      </c>
      <c r="C58" s="12">
        <f>IF(OR(D58="◎",E58="◎"),"◎ 営業",IF(OR(D58="△",E58="△"),"△ 着手済・要確認",IF(OR(D58="？",E58="？"),"？ 期間要確認","✕ 対象外")))</f>
        <v/>
      </c>
      <c r="D58" s="13">
        <f>IF(J58="計画なし","－",IF(J58="策定済","✕",IF(H58="","？",IF(AND(H58&gt;=TGT_MIN,H58&lt;=TGT_MAX),IF(J58="着手済","△","◎"),"✕"))))</f>
        <v/>
      </c>
      <c r="E58" s="13">
        <f>IF(P58="計画なし","－",IF(P58="策定済","✕",IF(N58="","？",IF(AND(N58&gt;=TGT_MIN,N58&lt;=TGT_MAX),IF(P58="着手済","△","◎"),"✕"))))</f>
        <v/>
      </c>
      <c r="F58" s="11" t="inlineStr">
        <is>
          <t>福島県避難地域広域公共交通計画（避難12市町村対象・県策定）</t>
        </is>
      </c>
      <c r="G58" s="11" t="inlineStr">
        <is>
          <t>R5〜R9</t>
        </is>
      </c>
      <c r="H58" s="13" t="n">
        <v>9</v>
      </c>
      <c r="I58" s="13" t="inlineStr">
        <is>
          <t>確認済</t>
        </is>
      </c>
      <c r="J58" s="13" t="inlineStr">
        <is>
          <t>着手済</t>
        </is>
      </c>
      <c r="K58" s="14" t="inlineStr">
        <is>
          <t>https://www.pref.fukushima.lg.jp/sec/16005d/hinan-koutsuu-keikaku.html</t>
        </is>
      </c>
      <c r="L58" s="11" t="n"/>
      <c r="M58" s="11" t="inlineStr">
        <is>
          <t>不明</t>
        </is>
      </c>
      <c r="N58" s="13" t="n"/>
      <c r="O58" s="13" t="inlineStr">
        <is>
          <t>不明</t>
        </is>
      </c>
      <c r="P58" s="13" t="inlineStr">
        <is>
          <t>計画なし</t>
        </is>
      </c>
      <c r="Q58" s="11" t="n"/>
      <c r="R58" s="11" t="inlineStr">
        <is>
          <t>交通：県の避難地域広域公共交通計画(R5.4〜R10.3、R7.3一部改定)が対象。R8年度に最終評価・次期計画の方向性決定、R9年度に次期計画(R10.4〜)策定予定との県資料あり(https://www.pref.fukushima.lg.jp/sec/16005d/hinan-koutsuu-keikaku.html、関連 https://www.pref.fukushima.lg.jp/uploaded/attachment/756357.pdf)。町村単独の交通計画は未確認。環境：環境基本計画は検索で確認できず。双葉町再生可能エネルギー活用・推進計画(H28.3)あり(https://www.town.fukushima-futaba.lg.jp/secure/7318/201603_renewable-energy-promotion-plan.pdf)。 【ファクトチェック 2026-10-01: 正しい】確認期間: R5〜R9（R5.4〜R10.3）／次期: 予定のみ：協議会資料でR8年度に最終評価、R9年度に次期計画（R10.4〜）策定と記載 https://www.pref.fukushima.lg.jp/uploaded/attachment/756354.pdf（策定支援業務の公募等は確／根拠: https://www.pref.fukushima.lg.jp/uploaded/attachment/738677.pdf 【追加調査 2026-10】町HPドメイン指定検索で環境基本計画ヒットせず。復興まちづくり計画（第二次〜第四次 https://www.town.fukushima-futaba.lg.jp/12602.htm）、復興まちづくり長期ビジョン、森林整備計画、再生可能エネルギー活用・推進計画(H28.3)のみ。避難指示解除後の復興計画で対応と判断。</t>
        </is>
      </c>
      <c r="S58" s="15" t="inlineStr">
        <is>
          <t>調査済</t>
        </is>
      </c>
      <c r="T58" s="11" t="inlineStr">
        <is>
          <t>掲載（広域：福島県避難地域）</t>
        </is>
      </c>
    </row>
    <row r="59">
      <c r="A59" s="11" t="n">
        <v>56</v>
      </c>
      <c r="B59" s="11" t="inlineStr">
        <is>
          <t>浪江町</t>
        </is>
      </c>
      <c r="C59" s="12">
        <f>IF(OR(D59="◎",E59="◎"),"◎ 営業",IF(OR(D59="△",E59="△"),"△ 着手済・要確認",IF(OR(D59="？",E59="？"),"？ 期間要確認","✕ 対象外")))</f>
        <v/>
      </c>
      <c r="D59" s="13">
        <f>IF(J59="計画なし","－",IF(J59="策定済","✕",IF(H59="","？",IF(AND(H59&gt;=TGT_MIN,H59&lt;=TGT_MAX),IF(J59="着手済","△","◎"),"✕"))))</f>
        <v/>
      </c>
      <c r="E59" s="13">
        <f>IF(P59="計画なし","－",IF(P59="策定済","✕",IF(N59="","？",IF(AND(N59&gt;=TGT_MIN,N59&lt;=TGT_MAX),IF(P59="着手済","△","◎"),"✕"))))</f>
        <v/>
      </c>
      <c r="F59" s="11" t="inlineStr">
        <is>
          <t>福島県避難地域広域公共交通計画（避難12市町村対象・県策定）</t>
        </is>
      </c>
      <c r="G59" s="11" t="inlineStr">
        <is>
          <t>R5〜R9</t>
        </is>
      </c>
      <c r="H59" s="13" t="n">
        <v>9</v>
      </c>
      <c r="I59" s="13" t="inlineStr">
        <is>
          <t>確認済</t>
        </is>
      </c>
      <c r="J59" s="13" t="inlineStr">
        <is>
          <t>着手済</t>
        </is>
      </c>
      <c r="K59" s="14" t="inlineStr">
        <is>
          <t>https://www.pref.fukushima.lg.jp/sec/16005d/hinan-koutsuu-keikaku.html</t>
        </is>
      </c>
      <c r="L59" s="11" t="n"/>
      <c r="M59" s="11" t="inlineStr">
        <is>
          <t>不明</t>
        </is>
      </c>
      <c r="N59" s="13" t="n"/>
      <c r="O59" s="13" t="inlineStr">
        <is>
          <t>不明</t>
        </is>
      </c>
      <c r="P59" s="13" t="inlineStr">
        <is>
          <t>計画なし</t>
        </is>
      </c>
      <c r="Q59" s="11" t="n"/>
      <c r="R59" s="11" t="inlineStr">
        <is>
          <t>交通：県の避難地域広域公共交通計画(R5.4〜R10.3、R7.3一部改定)が対象。R8年度に最終評価・次期計画の方向性決定、R9年度に次期計画(R10.4〜)策定予定との県資料あり(https://www.pref.fukushima.lg.jp/sec/16005d/hinan-koutsuu-keikaku.html、関連 https://www.pref.fukushima.lg.jp/uploaded/attachment/756357.pdf)。町村単独の交通計画は未確認。環境：環境基本計画は検索で確認できず（復興計画・里山再生等のみ）。 【ファクトチェック 2026-10-01: 正しい】確認期間: R5〜R9（R5.4〜R10.3）／次期: 予定のみ：協議会資料でR8年度に最終評価、R9年度に次期計画（R10.4〜）策定と記載 https://www.pref.fukushima.lg.jp/uploaded/attachment/756354.pdf（策定支援業務の公募等は確／根拠: https://www.pref.fukushima.lg.jp/uploaded/attachment/738677.pdf</t>
        </is>
      </c>
      <c r="S59" s="15" t="inlineStr">
        <is>
          <t>調査済</t>
        </is>
      </c>
      <c r="T59" s="11" t="inlineStr">
        <is>
          <t>掲載（広域：福島県避難地域）</t>
        </is>
      </c>
    </row>
    <row r="60">
      <c r="A60" s="11" t="n">
        <v>57</v>
      </c>
      <c r="B60" s="11" t="inlineStr">
        <is>
          <t>葛尾村</t>
        </is>
      </c>
      <c r="C60" s="12">
        <f>IF(OR(D60="◎",E60="◎"),"◎ 営業",IF(OR(D60="△",E60="△"),"△ 着手済・要確認",IF(OR(D60="？",E60="？"),"？ 期間要確認","✕ 対象外")))</f>
        <v/>
      </c>
      <c r="D60" s="13">
        <f>IF(J60="計画なし","－",IF(J60="策定済","✕",IF(H60="","？",IF(AND(H60&gt;=TGT_MIN,H60&lt;=TGT_MAX),IF(J60="着手済","△","◎"),"✕"))))</f>
        <v/>
      </c>
      <c r="E60" s="13">
        <f>IF(P60="計画なし","－",IF(P60="策定済","✕",IF(N60="","？",IF(AND(N60&gt;=TGT_MIN,N60&lt;=TGT_MAX),IF(P60="着手済","△","◎"),"✕"))))</f>
        <v/>
      </c>
      <c r="F60" s="11" t="inlineStr">
        <is>
          <t>福島県避難地域広域公共交通計画（避難12市町村対象・県策定）</t>
        </is>
      </c>
      <c r="G60" s="11" t="inlineStr">
        <is>
          <t>R5〜R9</t>
        </is>
      </c>
      <c r="H60" s="13" t="n">
        <v>9</v>
      </c>
      <c r="I60" s="13" t="inlineStr">
        <is>
          <t>確認済</t>
        </is>
      </c>
      <c r="J60" s="13" t="inlineStr">
        <is>
          <t>着手済</t>
        </is>
      </c>
      <c r="K60" s="14" t="inlineStr">
        <is>
          <t>https://www.pref.fukushima.lg.jp/sec/16005d/hinan-koutsuu-keikaku.html</t>
        </is>
      </c>
      <c r="L60" s="11" t="n"/>
      <c r="M60" s="11" t="inlineStr">
        <is>
          <t>不明</t>
        </is>
      </c>
      <c r="N60" s="13" t="n"/>
      <c r="O60" s="13" t="inlineStr">
        <is>
          <t>不明</t>
        </is>
      </c>
      <c r="P60" s="13" t="inlineStr">
        <is>
          <t>計画なし</t>
        </is>
      </c>
      <c r="Q60" s="11" t="n"/>
      <c r="R60" s="11" t="inlineStr">
        <is>
          <t>交通：県の避難地域広域公共交通計画(R5.4〜R10.3、R7.3一部改定)が対象。R8年度に最終評価・次期計画の方向性決定、R9年度に次期計画(R10.4〜)策定予定との県資料あり(https://www.pref.fukushima.lg.jp/sec/16005d/hinan-koutsuu-keikaku.html、関連 https://www.pref.fukushima.lg.jp/uploaded/attachment/756357.pdf)。町村単独の交通計画は未確認。環境：環境基本計画は検索で確認できず(村HP計画一覧 https://www.katsurao.org/life/3/17/52/ 参照)。第五次葛尾村振興計画(2023)、スマートコミュニティ事業あり。 【ファクトチェック 2026-10-01: 正しい】確認期間: R5〜R9（R5.4〜R10.3）／次期: 予定のみ：協議会資料でR8年度に最終評価、R9年度に次期計画（R10.4〜）策定と記載 https://www.pref.fukushima.lg.jp/uploaded/attachment/756354.pdf（策定支援業務の公募等は確／根拠: https://www.pref.fukushima.lg.jp/uploaded/attachment/738677.pdf 【追加調査 2026-10】村HP「計画」一覧（https://www.katsurao.org/life/3/17/52/）・ドメイン指定検索で環境基本計画ヒットせず。第五次葛尾村振興計画、復興計画・かつらお再生戦略プラン、特定復興再生拠点計画、スマートコミュニティ事業のみ。計画なしと判断。</t>
        </is>
      </c>
      <c r="S60" s="15" t="inlineStr">
        <is>
          <t>調査済</t>
        </is>
      </c>
      <c r="T60" s="11" t="inlineStr">
        <is>
          <t>掲載（広域：福島県避難地域）</t>
        </is>
      </c>
    </row>
    <row r="61">
      <c r="A61" s="11" t="n">
        <v>58</v>
      </c>
      <c r="B61" s="11" t="inlineStr">
        <is>
          <t>新地町</t>
        </is>
      </c>
      <c r="C61" s="12">
        <f>IF(OR(D61="◎",E61="◎"),"◎ 営業",IF(OR(D61="△",E61="△"),"△ 着手済・要確認",IF(OR(D61="？",E61="？"),"？ 期間要確認","✕ 対象外")))</f>
        <v/>
      </c>
      <c r="D61" s="13">
        <f>IF(J61="計画なし","－",IF(J61="策定済","✕",IF(H61="","？",IF(AND(H61&gt;=TGT_MIN,H61&lt;=TGT_MAX),IF(J61="着手済","△","◎"),"✕"))))</f>
        <v/>
      </c>
      <c r="E61" s="13">
        <f>IF(P61="計画なし","－",IF(P61="策定済","✕",IF(N61="","？",IF(AND(N61&gt;=TGT_MIN,N61&lt;=TGT_MAX),IF(P61="着手済","△","◎"),"✕"))))</f>
        <v/>
      </c>
      <c r="F61" s="11" t="inlineStr">
        <is>
          <t>福島県地域公共交通計画（県全域）</t>
        </is>
      </c>
      <c r="G61" s="11" t="inlineStr">
        <is>
          <t>R6〜R12</t>
        </is>
      </c>
      <c r="H61" s="13" t="n">
        <v>12</v>
      </c>
      <c r="I61" s="13" t="inlineStr">
        <is>
          <t>確認済</t>
        </is>
      </c>
      <c r="J61" s="13" t="inlineStr">
        <is>
          <t>未確認</t>
        </is>
      </c>
      <c r="K61" s="14" t="inlineStr">
        <is>
          <t>https://www.pref.fukushima.lg.jp/sec/16005d/chiikikoukyoukasseikakyougikai.html</t>
        </is>
      </c>
      <c r="L61" s="11" t="n"/>
      <c r="M61" s="11" t="inlineStr">
        <is>
          <t>不明</t>
        </is>
      </c>
      <c r="N61" s="13" t="n"/>
      <c r="O61" s="13" t="inlineStr">
        <is>
          <t>不明</t>
        </is>
      </c>
      <c r="P61" s="13" t="inlineStr">
        <is>
          <t>計画なし</t>
        </is>
      </c>
      <c r="Q61" s="11" t="n"/>
      <c r="R61" s="11" t="inlineStr">
        <is>
          <t>交通：町単独の地域公共交通計画は検索で確認できず、県全域の福島県地域公共交通計画(R6〜R12)が該当。環境：環境基本計画は検索で確認できず。新地町環境未来都市計画(H24.5策定、R7.1・R7.7・R8.7改定、https://future-city.go.jp/pdf/torikumi_city/shinchi_plan.pdf)、地球温暖化対策実行計画(事務事業編)(https://www.shinchi-town.jp/uploaded/attachment/7983.pdf)あり。 【追加調査 2026-10】町HPドメイン指定検索・名称完全一致検索とも環境基本計画ヒットせず。環境施策は新地町環境未来都市計画（H24.5策定、以降改定、https://future-city.go.jp/pdf/torikumi_city/shinchi_plan.pdf）と復興計画・第6次総合計画（〜2030年度）、国環研との連携協定で対応。事務事業編実行計画あり。計画なしと判断。</t>
        </is>
      </c>
      <c r="S61" s="15" t="inlineStr">
        <is>
          <t>調査済</t>
        </is>
      </c>
      <c r="T61" s="17" t="inlineStr">
        <is>
          <t>未掲載【当方は計画あり】</t>
        </is>
      </c>
    </row>
    <row r="62">
      <c r="A62" s="11" t="n">
        <v>59</v>
      </c>
      <c r="B62" s="11" t="inlineStr">
        <is>
          <t>飯舘村</t>
        </is>
      </c>
      <c r="C62" s="12">
        <f>IF(OR(D62="◎",E62="◎"),"◎ 営業",IF(OR(D62="△",E62="△"),"△ 着手済・要確認",IF(OR(D62="？",E62="？"),"？ 期間要確認","✕ 対象外")))</f>
        <v/>
      </c>
      <c r="D62" s="13">
        <f>IF(J62="計画なし","－",IF(J62="策定済","✕",IF(H62="","？",IF(AND(H62&gt;=TGT_MIN,H62&lt;=TGT_MAX),IF(J62="着手済","△","◎"),"✕"))))</f>
        <v/>
      </c>
      <c r="E62" s="13">
        <f>IF(P62="計画なし","－",IF(P62="策定済","✕",IF(N62="","？",IF(AND(N62&gt;=TGT_MIN,N62&lt;=TGT_MAX),IF(P62="着手済","△","◎"),"✕"))))</f>
        <v/>
      </c>
      <c r="F62" s="11" t="inlineStr">
        <is>
          <t>福島県避難地域広域公共交通計画（避難12市町村対象・県策定）</t>
        </is>
      </c>
      <c r="G62" s="11" t="inlineStr">
        <is>
          <t>R5〜R9</t>
        </is>
      </c>
      <c r="H62" s="13" t="n">
        <v>9</v>
      </c>
      <c r="I62" s="13" t="inlineStr">
        <is>
          <t>確認済</t>
        </is>
      </c>
      <c r="J62" s="13" t="inlineStr">
        <is>
          <t>着手済</t>
        </is>
      </c>
      <c r="K62" s="14" t="inlineStr">
        <is>
          <t>https://www.pref.fukushima.lg.jp/sec/16005d/hinan-koutsuu-keikaku.html</t>
        </is>
      </c>
      <c r="L62" s="11" t="n"/>
      <c r="M62" s="11" t="inlineStr">
        <is>
          <t>不明</t>
        </is>
      </c>
      <c r="N62" s="13" t="n"/>
      <c r="O62" s="13" t="inlineStr">
        <is>
          <t>不明</t>
        </is>
      </c>
      <c r="P62" s="13" t="inlineStr">
        <is>
          <t>計画なし</t>
        </is>
      </c>
      <c r="Q62" s="11" t="n"/>
      <c r="R62" s="11" t="inlineStr">
        <is>
          <t>交通：県の避難地域広域公共交通計画(R5.4〜R10.3、R7.3一部改定)が対象。R8年度に最終評価・次期計画の方向性決定、R9年度に次期計画(R10.4〜)策定予定との県資料あり(https://www.pref.fukushima.lg.jp/sec/16005d/hinan-koutsuu-keikaku.html、関連 https://www.pref.fukushima.lg.jp/uploaded/attachment/756357.pdf)。町村単独の交通計画は未確認。環境：環境基本計画は検索で確認できず。代替としてゼロカーボンビレッジいいたて実行計画(R6.3策定、区域施策編目標年2030)(https://www.vill.iitate.fukushima.jp/life/5/20/126/)、同事務事業編(R7〜R12)あり。 【ファクトチェック 2026-10-01: 正しい】確認期間: R5〜R9（R5.4〜R10.3）／次期: 予定のみ：協議会資料でR8年度に最終評価、R9年度に次期計画（R10.4〜）策定と記載 https://www.pref.fukushima.lg.jp/uploaded/attachment/756354.pdf（策定支援業務の公募等は確／根拠: https://www.pref.fukushima.lg.jp/uploaded/attachment/738677.pdf</t>
        </is>
      </c>
      <c r="S62" s="15" t="inlineStr">
        <is>
          <t>調査済</t>
        </is>
      </c>
      <c r="T62" s="11" t="inlineStr">
        <is>
          <t>掲載（広域：福島県避難地域）</t>
        </is>
      </c>
    </row>
  </sheetData>
  <autoFilter ref="A3:T62"/>
  <conditionalFormatting sqref="A4:T62">
    <cfRule type="expression" priority="5" dxfId="0">
      <formula>LEFT($C4,1)="◎"</formula>
    </cfRule>
    <cfRule type="expression" priority="6" dxfId="1">
      <formula>LEFT($C4,1)="△"</formula>
    </cfRule>
    <cfRule type="expression" priority="7" dxfId="2">
      <formula>LEFT($C4,1)="？"</formula>
    </cfRule>
    <cfRule type="expression" priority="8" dxfId="3">
      <formula>LEFT($C4,1)="✕"</formula>
    </cfRule>
  </conditionalFormatting>
  <conditionalFormatting sqref="H4:H62">
    <cfRule type="expression" priority="1" dxfId="4" stopIfTrue="1">
      <formula>AND(ISNUMBER(H4),H4&gt;=TGT_MIN,H4&lt;=TGT_MAX)</formula>
    </cfRule>
    <cfRule type="expression" priority="2" dxfId="5">
      <formula>AND(ISNUMBER(H4),H4=TGT_MAX+1)</formula>
    </cfRule>
  </conditionalFormatting>
  <conditionalFormatting sqref="N4:N62">
    <cfRule type="expression" priority="3" dxfId="4" stopIfTrue="1">
      <formula>AND(ISNUMBER(N4),N4&gt;=TGT_MIN,N4&lt;=TGT_MAX)</formula>
    </cfRule>
    <cfRule type="expression" priority="4" dxfId="5">
      <formula>AND(ISNUMBER(N4),N4=TGT_MAX+1)</formula>
    </cfRule>
  </conditionalFormatting>
  <dataValidations count="1">
    <dataValidation sqref="J4:J62 P4:P62" showDropDown="0" showInputMessage="0" showErrorMessage="0" allowBlank="1" type="list">
      <formula1>"未確認,着手済,策定済,計画なし"</formula1>
    </dataValidation>
  </dataValidations>
  <hyperlinks>
    <hyperlink xmlns:r="http://schemas.openxmlformats.org/officeDocument/2006/relationships" ref="K4" r:id="rId1"/>
    <hyperlink xmlns:r="http://schemas.openxmlformats.org/officeDocument/2006/relationships" ref="Q4" r:id="rId2"/>
    <hyperlink xmlns:r="http://schemas.openxmlformats.org/officeDocument/2006/relationships" ref="K5" r:id="rId3"/>
    <hyperlink xmlns:r="http://schemas.openxmlformats.org/officeDocument/2006/relationships" ref="Q5" r:id="rId4"/>
    <hyperlink xmlns:r="http://schemas.openxmlformats.org/officeDocument/2006/relationships" ref="K6" r:id="rId5"/>
    <hyperlink xmlns:r="http://schemas.openxmlformats.org/officeDocument/2006/relationships" ref="Q6" r:id="rId6"/>
    <hyperlink xmlns:r="http://schemas.openxmlformats.org/officeDocument/2006/relationships" ref="K7" r:id="rId7"/>
    <hyperlink xmlns:r="http://schemas.openxmlformats.org/officeDocument/2006/relationships" ref="Q7" r:id="rId8"/>
    <hyperlink xmlns:r="http://schemas.openxmlformats.org/officeDocument/2006/relationships" ref="K8" r:id="rId9"/>
    <hyperlink xmlns:r="http://schemas.openxmlformats.org/officeDocument/2006/relationships" ref="Q8" r:id="rId10"/>
    <hyperlink xmlns:r="http://schemas.openxmlformats.org/officeDocument/2006/relationships" ref="K9" r:id="rId11"/>
    <hyperlink xmlns:r="http://schemas.openxmlformats.org/officeDocument/2006/relationships" ref="Q9" r:id="rId12"/>
    <hyperlink xmlns:r="http://schemas.openxmlformats.org/officeDocument/2006/relationships" ref="K10" r:id="rId13"/>
    <hyperlink xmlns:r="http://schemas.openxmlformats.org/officeDocument/2006/relationships" ref="Q10" r:id="rId14"/>
    <hyperlink xmlns:r="http://schemas.openxmlformats.org/officeDocument/2006/relationships" ref="Q11" r:id="rId15"/>
    <hyperlink xmlns:r="http://schemas.openxmlformats.org/officeDocument/2006/relationships" ref="K12" r:id="rId16"/>
    <hyperlink xmlns:r="http://schemas.openxmlformats.org/officeDocument/2006/relationships" ref="Q12" r:id="rId17"/>
    <hyperlink xmlns:r="http://schemas.openxmlformats.org/officeDocument/2006/relationships" ref="K13" r:id="rId18"/>
    <hyperlink xmlns:r="http://schemas.openxmlformats.org/officeDocument/2006/relationships" ref="K14" r:id="rId19"/>
    <hyperlink xmlns:r="http://schemas.openxmlformats.org/officeDocument/2006/relationships" ref="Q14" r:id="rId20"/>
    <hyperlink xmlns:r="http://schemas.openxmlformats.org/officeDocument/2006/relationships" ref="K15" r:id="rId21"/>
    <hyperlink xmlns:r="http://schemas.openxmlformats.org/officeDocument/2006/relationships" ref="Q15" r:id="rId22"/>
    <hyperlink xmlns:r="http://schemas.openxmlformats.org/officeDocument/2006/relationships" ref="K16" r:id="rId23"/>
    <hyperlink xmlns:r="http://schemas.openxmlformats.org/officeDocument/2006/relationships" ref="K19" r:id="rId24"/>
    <hyperlink xmlns:r="http://schemas.openxmlformats.org/officeDocument/2006/relationships" ref="K20" r:id="rId25"/>
    <hyperlink xmlns:r="http://schemas.openxmlformats.org/officeDocument/2006/relationships" ref="K26" r:id="rId26"/>
    <hyperlink xmlns:r="http://schemas.openxmlformats.org/officeDocument/2006/relationships" ref="Q26" r:id="rId27"/>
    <hyperlink xmlns:r="http://schemas.openxmlformats.org/officeDocument/2006/relationships" ref="K27" r:id="rId28"/>
    <hyperlink xmlns:r="http://schemas.openxmlformats.org/officeDocument/2006/relationships" ref="K31" r:id="rId29"/>
    <hyperlink xmlns:r="http://schemas.openxmlformats.org/officeDocument/2006/relationships" ref="K32" r:id="rId30"/>
    <hyperlink xmlns:r="http://schemas.openxmlformats.org/officeDocument/2006/relationships" ref="K33" r:id="rId31"/>
    <hyperlink xmlns:r="http://schemas.openxmlformats.org/officeDocument/2006/relationships" ref="K37" r:id="rId32"/>
    <hyperlink xmlns:r="http://schemas.openxmlformats.org/officeDocument/2006/relationships" ref="K38" r:id="rId33"/>
    <hyperlink xmlns:r="http://schemas.openxmlformats.org/officeDocument/2006/relationships" ref="Q38" r:id="rId34"/>
    <hyperlink xmlns:r="http://schemas.openxmlformats.org/officeDocument/2006/relationships" ref="K39" r:id="rId35"/>
    <hyperlink xmlns:r="http://schemas.openxmlformats.org/officeDocument/2006/relationships" ref="K40" r:id="rId36"/>
    <hyperlink xmlns:r="http://schemas.openxmlformats.org/officeDocument/2006/relationships" ref="K41" r:id="rId37"/>
    <hyperlink xmlns:r="http://schemas.openxmlformats.org/officeDocument/2006/relationships" ref="K42" r:id="rId38"/>
    <hyperlink xmlns:r="http://schemas.openxmlformats.org/officeDocument/2006/relationships" ref="Q42" r:id="rId39"/>
    <hyperlink xmlns:r="http://schemas.openxmlformats.org/officeDocument/2006/relationships" ref="K43" r:id="rId40"/>
    <hyperlink xmlns:r="http://schemas.openxmlformats.org/officeDocument/2006/relationships" ref="K44" r:id="rId41"/>
    <hyperlink xmlns:r="http://schemas.openxmlformats.org/officeDocument/2006/relationships" ref="K45" r:id="rId42"/>
    <hyperlink xmlns:r="http://schemas.openxmlformats.org/officeDocument/2006/relationships" ref="K46" r:id="rId43"/>
    <hyperlink xmlns:r="http://schemas.openxmlformats.org/officeDocument/2006/relationships" ref="K47" r:id="rId44"/>
    <hyperlink xmlns:r="http://schemas.openxmlformats.org/officeDocument/2006/relationships" ref="K48" r:id="rId45"/>
    <hyperlink xmlns:r="http://schemas.openxmlformats.org/officeDocument/2006/relationships" ref="K49" r:id="rId46"/>
    <hyperlink xmlns:r="http://schemas.openxmlformats.org/officeDocument/2006/relationships" ref="K50" r:id="rId47"/>
    <hyperlink xmlns:r="http://schemas.openxmlformats.org/officeDocument/2006/relationships" ref="K51" r:id="rId48"/>
    <hyperlink xmlns:r="http://schemas.openxmlformats.org/officeDocument/2006/relationships" ref="K52" r:id="rId49"/>
    <hyperlink xmlns:r="http://schemas.openxmlformats.org/officeDocument/2006/relationships" ref="K53" r:id="rId50"/>
    <hyperlink xmlns:r="http://schemas.openxmlformats.org/officeDocument/2006/relationships" ref="Q53" r:id="rId51"/>
    <hyperlink xmlns:r="http://schemas.openxmlformats.org/officeDocument/2006/relationships" ref="K54" r:id="rId52"/>
    <hyperlink xmlns:r="http://schemas.openxmlformats.org/officeDocument/2006/relationships" ref="K55" r:id="rId53"/>
    <hyperlink xmlns:r="http://schemas.openxmlformats.org/officeDocument/2006/relationships" ref="K56" r:id="rId54"/>
    <hyperlink xmlns:r="http://schemas.openxmlformats.org/officeDocument/2006/relationships" ref="K57" r:id="rId55"/>
    <hyperlink xmlns:r="http://schemas.openxmlformats.org/officeDocument/2006/relationships" ref="K58" r:id="rId56"/>
    <hyperlink xmlns:r="http://schemas.openxmlformats.org/officeDocument/2006/relationships" ref="K59" r:id="rId57"/>
    <hyperlink xmlns:r="http://schemas.openxmlformats.org/officeDocument/2006/relationships" ref="K60" r:id="rId58"/>
    <hyperlink xmlns:r="http://schemas.openxmlformats.org/officeDocument/2006/relationships" ref="K61" r:id="rId59"/>
    <hyperlink xmlns:r="http://schemas.openxmlformats.org/officeDocument/2006/relationships" ref="K62" r:id="rId6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4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6" customWidth="1" min="3" max="3"/>
    <col width="7" customWidth="1" min="4" max="4"/>
    <col width="7" customWidth="1" min="5" max="5"/>
    <col width="30" customWidth="1" min="6" max="6"/>
    <col width="15" customWidth="1" min="7" max="7"/>
    <col width="9" customWidth="1" min="8" max="8"/>
    <col width="8" customWidth="1" min="9" max="9"/>
    <col width="9" customWidth="1" min="10" max="10"/>
    <col width="34" customWidth="1" min="11" max="11"/>
    <col width="30" customWidth="1" min="12" max="12"/>
    <col width="15" customWidth="1" min="13" max="13"/>
    <col width="9" customWidth="1" min="14" max="14"/>
    <col width="8" customWidth="1" min="15" max="15"/>
    <col width="9" customWidth="1" min="16" max="16"/>
    <col width="34" customWidth="1" min="17" max="17"/>
    <col width="55" customWidth="1" min="18" max="18"/>
    <col width="14" customWidth="1" min="19" max="19"/>
    <col width="24" customWidth="1" min="20" max="20"/>
  </cols>
  <sheetData>
    <row r="1">
      <c r="A1" s="1" t="inlineStr">
        <is>
          <t>茨城県　地域公共交通計画・環境基本計画の終期一覧（2026年9月30日時点の調査）</t>
        </is>
      </c>
    </row>
    <row r="2">
      <c r="A2" s="9">
        <f>"営業判定の対象：終期 R"&amp;TGT_MIN&amp;"〜R"&amp;TGT_MAX&amp;"年度 →◎（着手済は△、期間不明は？）。終期セルの色：緑＝対象年度／橙＝その翌年度（次の候補）。対象年度は「集計・設定」シートのC4・C5のプルダウンで切替。"</f>
        <v/>
      </c>
    </row>
    <row r="3" ht="32" customHeight="1">
      <c r="A3" s="10" t="inlineStr">
        <is>
          <t>No</t>
        </is>
      </c>
      <c r="B3" s="10" t="inlineStr">
        <is>
          <t>市町村</t>
        </is>
      </c>
      <c r="C3" s="10" t="inlineStr">
        <is>
          <t>営業判定</t>
        </is>
      </c>
      <c r="D3" s="10" t="inlineStr">
        <is>
          <t>交通判定</t>
        </is>
      </c>
      <c r="E3" s="10" t="inlineStr">
        <is>
          <t>環境判定</t>
        </is>
      </c>
      <c r="F3" s="10" t="inlineStr">
        <is>
          <t>地域公共交通計画</t>
        </is>
      </c>
      <c r="G3" s="10" t="inlineStr">
        <is>
          <t>交通 計画期間</t>
        </is>
      </c>
      <c r="H3" s="10" t="inlineStr">
        <is>
          <t>交通 終期(令和年度)</t>
        </is>
      </c>
      <c r="I3" s="10" t="inlineStr">
        <is>
          <t>交通 確度</t>
        </is>
      </c>
      <c r="J3" s="10" t="inlineStr">
        <is>
          <t>交通 改定状況</t>
        </is>
      </c>
      <c r="K3" s="10" t="inlineStr">
        <is>
          <t>交通 計画リンク（エビデンス）</t>
        </is>
      </c>
      <c r="L3" s="10" t="inlineStr">
        <is>
          <t>環境基本計画</t>
        </is>
      </c>
      <c r="M3" s="10" t="inlineStr">
        <is>
          <t>環境 計画期間</t>
        </is>
      </c>
      <c r="N3" s="10" t="inlineStr">
        <is>
          <t>環境 終期(令和年度)</t>
        </is>
      </c>
      <c r="O3" s="10" t="inlineStr">
        <is>
          <t>環境 確度</t>
        </is>
      </c>
      <c r="P3" s="10" t="inlineStr">
        <is>
          <t>環境 改定状況</t>
        </is>
      </c>
      <c r="Q3" s="10" t="inlineStr">
        <is>
          <t>環境 計画リンク（エビデンス）</t>
        </is>
      </c>
      <c r="R3" s="10" t="inlineStr">
        <is>
          <t>注釈（改定作業の状況など）</t>
        </is>
      </c>
      <c r="S3" s="10" t="inlineStr">
        <is>
          <t>調査状況</t>
        </is>
      </c>
      <c r="T3" s="10" t="inlineStr">
        <is>
          <t>国交省一覧(R8.5末)</t>
        </is>
      </c>
    </row>
    <row r="4">
      <c r="A4" s="11" t="n">
        <v>1</v>
      </c>
      <c r="B4" s="11" t="inlineStr">
        <is>
          <t>水戸市</t>
        </is>
      </c>
      <c r="C4" s="12">
        <f>IF(OR(D4="◎",E4="◎"),"◎ 営業",IF(OR(D4="△",E4="△"),"△ 着手済・要確認",IF(OR(D4="？",E4="？"),"？ 期間要確認","✕ 対象外")))</f>
        <v/>
      </c>
      <c r="D4" s="13">
        <f>IF(J4="計画なし","－",IF(J4="策定済","✕",IF(H4="","？",IF(AND(H4&gt;=TGT_MIN,H4&lt;=TGT_MAX),IF(J4="着手済","△","◎"),"✕"))))</f>
        <v/>
      </c>
      <c r="E4" s="13">
        <f>IF(P4="計画なし","－",IF(P4="策定済","✕",IF(N4="","？",IF(AND(N4&gt;=TGT_MIN,N4&lt;=TGT_MAX),IF(P4="着手済","△","◎"),"✕"))))</f>
        <v/>
      </c>
      <c r="F4" s="11" t="inlineStr">
        <is>
          <t>水戸市地域公共交通計画</t>
        </is>
      </c>
      <c r="G4" s="11" t="inlineStr">
        <is>
          <t>R6〜R10</t>
        </is>
      </c>
      <c r="H4" s="13" t="n">
        <v>10</v>
      </c>
      <c r="I4" s="13" t="inlineStr">
        <is>
          <t>確認済</t>
        </is>
      </c>
      <c r="J4" s="13" t="inlineStr">
        <is>
          <t>未確認</t>
        </is>
      </c>
      <c r="K4" s="14" t="inlineStr">
        <is>
          <t>https://www.city.mito.lg.jp/page/117784.html</t>
        </is>
      </c>
      <c r="L4" s="11" t="inlineStr">
        <is>
          <t>水戸市環境基本計画（第3次）</t>
        </is>
      </c>
      <c r="M4" s="11" t="inlineStr">
        <is>
          <t>R7〜R16（推定）</t>
        </is>
      </c>
      <c r="N4" s="16" t="n">
        <v>16</v>
      </c>
      <c r="O4" s="13" t="inlineStr">
        <is>
          <t>推定</t>
        </is>
      </c>
      <c r="P4" s="13" t="inlineStr">
        <is>
          <t>未確認</t>
        </is>
      </c>
      <c r="Q4" s="14" t="inlineStr">
        <is>
          <t>https://www.city.mito.lg.jp/page/3982.html</t>
        </is>
      </c>
      <c r="R4" s="11" t="inlineStr">
        <is>
          <t>交通計画本文PDF: https://www.city.mito.lg.jp/uploaded/attachment/51687.pdf（素案パブコメ結果 https://www.city.mito.lg.jp/page/93836.html）。環境基本計画第3次は2024年12月策定との検索結果あり、期間は未確認（10年と推定）。次期計画作業は未確認。</t>
        </is>
      </c>
      <c r="S4" s="15" t="inlineStr">
        <is>
          <t>調査済</t>
        </is>
      </c>
      <c r="T4" s="11" t="inlineStr">
        <is>
          <t>掲載</t>
        </is>
      </c>
    </row>
    <row r="5">
      <c r="A5" s="11" t="n">
        <v>2</v>
      </c>
      <c r="B5" s="11" t="inlineStr">
        <is>
          <t>日立市</t>
        </is>
      </c>
      <c r="C5" s="12">
        <f>IF(OR(D5="◎",E5="◎"),"◎ 営業",IF(OR(D5="△",E5="△"),"△ 着手済・要確認",IF(OR(D5="？",E5="？"),"？ 期間要確認","✕ 対象外")))</f>
        <v/>
      </c>
      <c r="D5" s="13">
        <f>IF(J5="計画なし","－",IF(J5="策定済","✕",IF(H5="","？",IF(AND(H5&gt;=TGT_MIN,H5&lt;=TGT_MAX),IF(J5="着手済","△","◎"),"✕"))))</f>
        <v/>
      </c>
      <c r="E5" s="13">
        <f>IF(P5="計画なし","－",IF(P5="策定済","✕",IF(N5="","？",IF(AND(N5&gt;=TGT_MIN,N5&lt;=TGT_MAX),IF(P5="着手済","△","◎"),"✕"))))</f>
        <v/>
      </c>
      <c r="F5" s="11" t="inlineStr">
        <is>
          <t>日立市地域公共交通計画</t>
        </is>
      </c>
      <c r="G5" s="11" t="inlineStr">
        <is>
          <t>R6〜R10</t>
        </is>
      </c>
      <c r="H5" s="13" t="n">
        <v>10</v>
      </c>
      <c r="I5" s="13" t="inlineStr">
        <is>
          <t>確認済</t>
        </is>
      </c>
      <c r="J5" s="13" t="inlineStr">
        <is>
          <t>未確認</t>
        </is>
      </c>
      <c r="K5" s="14" t="inlineStr">
        <is>
          <t>https://www.city.hitachi.lg.jp/machizukuri_kankyo/kotsu_doro/1002832/1012175.html</t>
        </is>
      </c>
      <c r="L5" s="11" t="inlineStr">
        <is>
          <t>第4次日立市環境基本計画</t>
        </is>
      </c>
      <c r="M5" s="11" t="inlineStr">
        <is>
          <t>R5〜R12</t>
        </is>
      </c>
      <c r="N5" s="13" t="n">
        <v>12</v>
      </c>
      <c r="O5" s="13" t="inlineStr">
        <is>
          <t>確認済</t>
        </is>
      </c>
      <c r="P5" s="13" t="inlineStr">
        <is>
          <t>未確認</t>
        </is>
      </c>
      <c r="Q5" s="14" t="inlineStr">
        <is>
          <t>https://www.city.hitachi.lg.jp/_res/projects/default_project/_page_/001/011/987/keikakuhonpen.pdf</t>
        </is>
      </c>
      <c r="R5" s="11" t="inlineStr">
        <is>
          <t>交通計画PDF: https://www.city.hitachi.lg.jp/_res/projects/default_project/_page_/001/012/175/hitachikotukeikaku.pdf 。日立製作所と2035年公共交通グランドデザインを策定（https://www.city.hitachi.lg.jp/machizukuri_kankyo/kotsu_doro/1002832/1014747.html）。次期計画作業は未確認。</t>
        </is>
      </c>
      <c r="S5" s="15" t="inlineStr">
        <is>
          <t>調査済</t>
        </is>
      </c>
      <c r="T5" s="11" t="inlineStr">
        <is>
          <t>掲載</t>
        </is>
      </c>
    </row>
    <row r="6">
      <c r="A6" s="11" t="n">
        <v>3</v>
      </c>
      <c r="B6" s="11" t="inlineStr">
        <is>
          <t>土浦市</t>
        </is>
      </c>
      <c r="C6" s="12">
        <f>IF(OR(D6="◎",E6="◎"),"◎ 営業",IF(OR(D6="△",E6="△"),"△ 着手済・要確認",IF(OR(D6="？",E6="？"),"？ 期間要確認","✕ 対象外")))</f>
        <v/>
      </c>
      <c r="D6" s="13">
        <f>IF(J6="計画なし","－",IF(J6="策定済","✕",IF(H6="","？",IF(AND(H6&gt;=TGT_MIN,H6&lt;=TGT_MAX),IF(J6="着手済","△","◎"),"✕"))))</f>
        <v/>
      </c>
      <c r="E6" s="13">
        <f>IF(P6="計画なし","－",IF(P6="策定済","✕",IF(N6="","？",IF(AND(N6&gt;=TGT_MIN,N6&lt;=TGT_MAX),IF(P6="着手済","△","◎"),"✕"))))</f>
        <v/>
      </c>
      <c r="F6" s="11" t="inlineStr">
        <is>
          <t>土浦市地域公共交通計画</t>
        </is>
      </c>
      <c r="G6" s="11" t="inlineStr">
        <is>
          <t>R4〜R8</t>
        </is>
      </c>
      <c r="H6" s="16" t="n">
        <v>8</v>
      </c>
      <c r="I6" s="13" t="inlineStr">
        <is>
          <t>推定</t>
        </is>
      </c>
      <c r="J6" s="13" t="inlineStr">
        <is>
          <t>未確認</t>
        </is>
      </c>
      <c r="K6" s="14" t="inlineStr">
        <is>
          <t>https://www.city.tsuchiura.lg.jp/page/page009677.html</t>
        </is>
      </c>
      <c r="L6" s="11" t="inlineStr">
        <is>
          <t>第三期土浦市環境基本計画</t>
        </is>
      </c>
      <c r="M6" s="11" t="inlineStr">
        <is>
          <t>R4〜R13</t>
        </is>
      </c>
      <c r="N6" s="13" t="n">
        <v>13</v>
      </c>
      <c r="O6" s="13" t="inlineStr">
        <is>
          <t>確認済</t>
        </is>
      </c>
      <c r="P6" s="13" t="inlineStr">
        <is>
          <t>未確認</t>
        </is>
      </c>
      <c r="Q6" s="14" t="inlineStr">
        <is>
          <t>https://www.city.tsuchiura.lg.jp/shisei/shinokeikaku/kankyo-kotsu-machizukuri/page017189.html</t>
        </is>
      </c>
      <c r="R6" s="11" t="inlineStr">
        <is>
          <t>交通計画はR4年3月策定（網形成計画の後継）。期間R4〜R8は5年と推定（検索要約で示唆されたが原文未確認）。R8終了なら次期計画作業が今年度進行中の可能性大だが、検索上限到達のため未確認。要確認。</t>
        </is>
      </c>
      <c r="S6" s="15" t="inlineStr">
        <is>
          <t>調査済</t>
        </is>
      </c>
      <c r="T6" s="11" t="inlineStr">
        <is>
          <t>掲載</t>
        </is>
      </c>
    </row>
    <row r="7">
      <c r="A7" s="11" t="n">
        <v>4</v>
      </c>
      <c r="B7" s="11" t="inlineStr">
        <is>
          <t>古河市</t>
        </is>
      </c>
      <c r="C7" s="12">
        <f>IF(OR(D7="◎",E7="◎"),"◎ 営業",IF(OR(D7="△",E7="△"),"△ 着手済・要確認",IF(OR(D7="？",E7="？"),"？ 期間要確認","✕ 対象外")))</f>
        <v/>
      </c>
      <c r="D7" s="13">
        <f>IF(J7="計画なし","－",IF(J7="策定済","✕",IF(H7="","？",IF(AND(H7&gt;=TGT_MIN,H7&lt;=TGT_MAX),IF(J7="着手済","△","◎"),"✕"))))</f>
        <v/>
      </c>
      <c r="E7" s="13">
        <f>IF(P7="計画なし","－",IF(P7="策定済","✕",IF(N7="","？",IF(AND(N7&gt;=TGT_MIN,N7&lt;=TGT_MAX),IF(P7="着手済","△","◎"),"✕"))))</f>
        <v/>
      </c>
      <c r="F7" s="11" t="inlineStr">
        <is>
          <t>古河市地域公共交通計画</t>
        </is>
      </c>
      <c r="G7" s="11" t="inlineStr">
        <is>
          <t>R6〜R10</t>
        </is>
      </c>
      <c r="H7" s="13" t="n">
        <v>10</v>
      </c>
      <c r="I7" s="13" t="inlineStr">
        <is>
          <t>確認済</t>
        </is>
      </c>
      <c r="J7" s="13" t="inlineStr">
        <is>
          <t>未確認</t>
        </is>
      </c>
      <c r="K7" s="14" t="inlineStr">
        <is>
          <t>https://www.city.ibaraki-koga.lg.jp/material/files/group/80/kogasikoukyoukoutuukeikaku2.pdf</t>
        </is>
      </c>
      <c r="L7" s="11" t="inlineStr">
        <is>
          <t>第2次古河市環境基本計画</t>
        </is>
      </c>
      <c r="M7" s="11" t="inlineStr">
        <is>
          <t>R4〜R13</t>
        </is>
      </c>
      <c r="N7" s="13" t="n">
        <v>13</v>
      </c>
      <c r="O7" s="13" t="inlineStr">
        <is>
          <t>確認済</t>
        </is>
      </c>
      <c r="P7" s="13" t="inlineStr">
        <is>
          <t>未確認</t>
        </is>
      </c>
      <c r="Q7" s="14" t="inlineStr">
        <is>
          <t>https://www.city.ibaraki-koga.lg.jp/material/files/group/21/kankyoukeikakuhyousi.pdf</t>
        </is>
      </c>
      <c r="R7" s="11" t="inlineStr">
        <is>
          <t>交通計画はR6.3策定・R7.2変更（概要版 https://www.city.ibaraki-koga.lg.jp/material/files/group/80/kogasitiikikoukyoukoutuukeikakugaiyou.pdf）。環境基本計画はR4〜R13の10年（第1次はH23〜R3）。R7実績報告 https://www.city.ibaraki-koga.lg.jp/material/files/group/21/R7_jisseki.pdf。いずれもR9終了ではない。次期計画作業は見当たらず。</t>
        </is>
      </c>
      <c r="S7" s="15" t="inlineStr">
        <is>
          <t>調査済</t>
        </is>
      </c>
      <c r="T7" s="11" t="inlineStr">
        <is>
          <t>掲載</t>
        </is>
      </c>
    </row>
    <row r="8">
      <c r="A8" s="11" t="n">
        <v>5</v>
      </c>
      <c r="B8" s="11" t="inlineStr">
        <is>
          <t>石岡市</t>
        </is>
      </c>
      <c r="C8" s="12">
        <f>IF(OR(D8="◎",E8="◎"),"◎ 営業",IF(OR(D8="△",E8="△"),"△ 着手済・要確認",IF(OR(D8="？",E8="？"),"？ 期間要確認","✕ 対象外")))</f>
        <v/>
      </c>
      <c r="D8" s="13">
        <f>IF(J8="計画なし","－",IF(J8="策定済","✕",IF(H8="","？",IF(AND(H8&gt;=TGT_MIN,H8&lt;=TGT_MAX),IF(J8="着手済","△","◎"),"✕"))))</f>
        <v/>
      </c>
      <c r="E8" s="13">
        <f>IF(P8="計画なし","－",IF(P8="策定済","✕",IF(N8="","？",IF(AND(N8&gt;=TGT_MIN,N8&lt;=TGT_MAX),IF(P8="着手済","△","◎"),"✕"))))</f>
        <v/>
      </c>
      <c r="F8" s="11" t="inlineStr">
        <is>
          <t>石岡市地域公共交通計画</t>
        </is>
      </c>
      <c r="G8" s="11" t="inlineStr">
        <is>
          <t>R6〜R10</t>
        </is>
      </c>
      <c r="H8" s="13" t="n">
        <v>10</v>
      </c>
      <c r="I8" s="13" t="inlineStr">
        <is>
          <t>確認済</t>
        </is>
      </c>
      <c r="J8" s="13" t="inlineStr">
        <is>
          <t>未確認</t>
        </is>
      </c>
      <c r="K8" s="14" t="inlineStr">
        <is>
          <t>https://www.city.ishioka.lg.jp/data/doc/1712650110_doc_103_0.pdf</t>
        </is>
      </c>
      <c r="L8" s="11" t="inlineStr">
        <is>
          <t>石岡市環境基本計画（いしおかスタイル）</t>
        </is>
      </c>
      <c r="M8" s="11" t="inlineStr">
        <is>
          <t>R4〜R13</t>
        </is>
      </c>
      <c r="N8" s="13" t="n">
        <v>13</v>
      </c>
      <c r="O8" s="13" t="inlineStr">
        <is>
          <t>確認済</t>
        </is>
      </c>
      <c r="P8" s="13" t="inlineStr">
        <is>
          <t>未確認</t>
        </is>
      </c>
      <c r="Q8" s="14" t="inlineStr">
        <is>
          <t>https://www.city.ishioka.lg.jp/data/doc/1749196597_doc_45_0.pdf</t>
        </is>
      </c>
      <c r="R8" s="11" t="inlineStr">
        <is>
          <t>交通計画は網形成計画(H31.3策定,〜R5)の後継でR6〜R10。環境基本計画はR4〜R13の10年（前計画H25.3）。URLは検索結果上位の市PDFで、どのファイルが計画本体かは要確認。R9終了ではない。</t>
        </is>
      </c>
      <c r="S8" s="15" t="inlineStr">
        <is>
          <t>調査済</t>
        </is>
      </c>
      <c r="T8" s="11" t="inlineStr">
        <is>
          <t>掲載</t>
        </is>
      </c>
    </row>
    <row r="9">
      <c r="A9" s="11" t="n">
        <v>6</v>
      </c>
      <c r="B9" s="11" t="inlineStr">
        <is>
          <t>結城市</t>
        </is>
      </c>
      <c r="C9" s="12">
        <f>IF(OR(D9="◎",E9="◎"),"◎ 営業",IF(OR(D9="△",E9="△"),"△ 着手済・要確認",IF(OR(D9="？",E9="？"),"？ 期間要確認","✕ 対象外")))</f>
        <v/>
      </c>
      <c r="D9" s="13">
        <f>IF(J9="計画なし","－",IF(J9="策定済","✕",IF(H9="","？",IF(AND(H9&gt;=TGT_MIN,H9&lt;=TGT_MAX),IF(J9="着手済","△","◎"),"✕"))))</f>
        <v/>
      </c>
      <c r="E9" s="13">
        <f>IF(P9="計画なし","－",IF(P9="策定済","✕",IF(N9="","？",IF(AND(N9&gt;=TGT_MIN,N9&lt;=TGT_MAX),IF(P9="着手済","△","◎"),"✕"))))</f>
        <v/>
      </c>
      <c r="F9" s="11" t="inlineStr">
        <is>
          <t>結城市地域公共交通計画</t>
        </is>
      </c>
      <c r="G9" s="11" t="inlineStr">
        <is>
          <t>R4〜R8</t>
        </is>
      </c>
      <c r="H9" s="13" t="n">
        <v>8</v>
      </c>
      <c r="I9" s="13" t="inlineStr">
        <is>
          <t>確認済</t>
        </is>
      </c>
      <c r="J9" s="13" t="inlineStr">
        <is>
          <t>着手済</t>
        </is>
      </c>
      <c r="K9" s="14" t="inlineStr">
        <is>
          <t>https://www.city.yuki.lg.jp/shisei/keikaku/keikaku-gaiyou/page007919.html</t>
        </is>
      </c>
      <c r="L9" s="11" t="inlineStr">
        <is>
          <t>第2次結城市環境基本計画</t>
        </is>
      </c>
      <c r="M9" s="11" t="inlineStr">
        <is>
          <t>R3〜R12</t>
        </is>
      </c>
      <c r="N9" s="13" t="n">
        <v>12</v>
      </c>
      <c r="O9" s="13" t="inlineStr">
        <is>
          <t>確認済</t>
        </is>
      </c>
      <c r="P9" s="13" t="inlineStr">
        <is>
          <t>未確認</t>
        </is>
      </c>
      <c r="Q9" s="14" t="inlineStr">
        <is>
          <t>https://www.city.yuki.lg.jp/shisei/publiccomment/r02/page006785.html</t>
        </is>
      </c>
      <c r="R9" s="11" t="inlineStr">
        <is>
          <t>検索（計7回）で結城市の交通計画・環境基本計画とも該当資料がヒットせず。県地域交通政策推進協議会の構成員（企画政策課）であることのみ確認（https://www.pref.ibaraki.jp/kikaku/kotsuseisaku/chiikikoutsu/documents/14_r4_1_kyougikai_houkoku.pdf）。環境基本計画の有無自体未確認、要直接確認。 環境：第2次はR3.4〜R13.3（R3〜R12年度）。e_urlは計画案パブコメ結果ページ（計画本体PDFのURLは検索に出ず）。第1次はH25.3〜R3.3。 【追加調査 2026-10】2026-10-02再調査：市単独の「結城市地域公共交通計画」（企画政策課、結城市地域公共交通会議）を市HPで確認。計画期間は令和4年度〜令和8年度の5年間（R3年度にパブコメ実施 https://www.city.yuki.lg.jp/shisei/publiccomment/r03/page007718.html）。次期：結城市地域公共交通会議（R7.7.22開催）の審議事項に「第2次結城市地域公共交通計画の策定について」あり（https://www.city.yuki.lg.jp/shisei/singikai/kikakuzaiseibu/kikakuseisakuka/page007005.html）→着手済。委託先・第2次計画のパブコメは検索で未確認。市内は無料巡回バス（7〜8ルート）・民間路線バス1路線・JR水戸線。 根拠: 計画期間は令和4年度から令和8年度までの5年間（市HP計画ページ・検索本文）</t>
        </is>
      </c>
      <c r="S9" s="15" t="inlineStr">
        <is>
          <t>調査済</t>
        </is>
      </c>
      <c r="T9" s="11" t="inlineStr">
        <is>
          <t>掲載</t>
        </is>
      </c>
    </row>
    <row r="10">
      <c r="A10" s="11" t="n">
        <v>7</v>
      </c>
      <c r="B10" s="11" t="inlineStr">
        <is>
          <t>龍ケ崎市</t>
        </is>
      </c>
      <c r="C10" s="12">
        <f>IF(OR(D10="◎",E10="◎"),"◎ 営業",IF(OR(D10="△",E10="△"),"△ 着手済・要確認",IF(OR(D10="？",E10="？"),"？ 期間要確認","✕ 対象外")))</f>
        <v/>
      </c>
      <c r="D10" s="13">
        <f>IF(J10="計画なし","－",IF(J10="策定済","✕",IF(H10="","？",IF(AND(H10&gt;=TGT_MIN,H10&lt;=TGT_MAX),IF(J10="着手済","△","◎"),"✕"))))</f>
        <v/>
      </c>
      <c r="E10" s="13">
        <f>IF(P10="計画なし","－",IF(P10="策定済","✕",IF(N10="","？",IF(AND(N10&gt;=TGT_MIN,N10&lt;=TGT_MAX),IF(P10="着手済","△","◎"),"✕"))))</f>
        <v/>
      </c>
      <c r="F10" s="11" t="inlineStr">
        <is>
          <t>龍ケ崎市地域公共交通計画</t>
        </is>
      </c>
      <c r="G10" s="11" t="inlineStr">
        <is>
          <t>R5〜R11</t>
        </is>
      </c>
      <c r="H10" s="13" t="n">
        <v>11</v>
      </c>
      <c r="I10" s="13" t="inlineStr">
        <is>
          <t>確認済</t>
        </is>
      </c>
      <c r="J10" s="13" t="inlineStr">
        <is>
          <t>未確認</t>
        </is>
      </c>
      <c r="K10" s="14" t="inlineStr">
        <is>
          <t>https://www.city.ryugasaki.ibaraki.jp/kurashi/seikatsu/kokyokotsu/keikaku/20220329131428914.files/01.pdf</t>
        </is>
      </c>
      <c r="L10" s="11" t="inlineStr">
        <is>
          <t>龍ケ崎市第2次環境基本計画</t>
        </is>
      </c>
      <c r="M10" s="11" t="inlineStr">
        <is>
          <t>H29〜R8</t>
        </is>
      </c>
      <c r="N10" s="13" t="n">
        <v>8</v>
      </c>
      <c r="O10" s="13" t="inlineStr">
        <is>
          <t>確認済</t>
        </is>
      </c>
      <c r="P10" s="13" t="inlineStr">
        <is>
          <t>着手済</t>
        </is>
      </c>
      <c r="Q10" s="14" t="inlineStr">
        <is>
          <t>https://www.city.ryugasaki.ibaraki.jp/kurashi/kankyo/kankyo/kankyohakusyo/r7-kakyohakusyo.files/R7kankyo-hakusyo.pdf</t>
        </is>
      </c>
      <c r="R10" s="11" t="inlineStr">
        <is>
          <t>【有望】第2次環境基本計画(2017〜2026年度)がR8年度末で満了のため『第3次環境基本計画』を策定する旨が市資料に記載（R7環境白書/環境審議会資料 https://www.city.ryugasaki.ibaraki.jp/shisei/johokokai/huzokukikanseido/huzokukikankaigiroku/fuzoku-kaigiroku/kankyou-shingi.files/R60927siryo.pdf）。策定支援業務プロポーザル公告は検索で未発見。交通計画はR5.4.1〜R12.3.31、別途利便増進計画あり。</t>
        </is>
      </c>
      <c r="S10" s="15" t="inlineStr">
        <is>
          <t>調査済</t>
        </is>
      </c>
      <c r="T10" s="11" t="inlineStr">
        <is>
          <t>掲載</t>
        </is>
      </c>
    </row>
    <row r="11">
      <c r="A11" s="11" t="n">
        <v>8</v>
      </c>
      <c r="B11" s="11" t="inlineStr">
        <is>
          <t>下妻市</t>
        </is>
      </c>
      <c r="C11" s="12">
        <f>IF(OR(D11="◎",E11="◎"),"◎ 営業",IF(OR(D11="△",E11="△"),"△ 着手済・要確認",IF(OR(D11="？",E11="？"),"？ 期間要確認","✕ 対象外")))</f>
        <v/>
      </c>
      <c r="D11" s="13">
        <f>IF(J11="計画なし","－",IF(J11="策定済","✕",IF(H11="","？",IF(AND(H11&gt;=TGT_MIN,H11&lt;=TGT_MAX),IF(J11="着手済","△","◎"),"✕"))))</f>
        <v/>
      </c>
      <c r="E11" s="13">
        <f>IF(P11="計画なし","－",IF(P11="策定済","✕",IF(N11="","？",IF(AND(N11&gt;=TGT_MIN,N11&lt;=TGT_MAX),IF(P11="着手済","△","◎"),"✕"))))</f>
        <v/>
      </c>
      <c r="F11" s="11" t="inlineStr">
        <is>
          <t>下妻市地域公共交通網形成計画（現行計画不明）</t>
        </is>
      </c>
      <c r="G11" s="11" t="inlineStr">
        <is>
          <t>不明</t>
        </is>
      </c>
      <c r="H11" s="13" t="n"/>
      <c r="I11" s="13" t="inlineStr">
        <is>
          <t>不明</t>
        </is>
      </c>
      <c r="J11" s="13" t="inlineStr">
        <is>
          <t>未確認</t>
        </is>
      </c>
      <c r="K11" s="11" t="n"/>
      <c r="L11" s="11" t="inlineStr">
        <is>
          <t>第2次下妻市環境基本計画（地球温暖化対策実行計画〔事務事業編・区域施策編〕を包含）</t>
        </is>
      </c>
      <c r="M11" s="11" t="inlineStr">
        <is>
          <t>不明</t>
        </is>
      </c>
      <c r="N11" s="13" t="n"/>
      <c r="O11" s="13" t="inlineStr">
        <is>
          <t>不明</t>
        </is>
      </c>
      <c r="P11" s="13" t="inlineStr">
        <is>
          <t>未確認</t>
        </is>
      </c>
      <c r="Q11" s="11" t="n"/>
      <c r="R11" s="11" t="inlineStr">
        <is>
          <t>H28.3に網形成計画を策定した記録あり（関東運輸局資料 https://wwwtb.mlit.go.jp/kanto/content/000164544.pdf）。下妻市地域公共交通活性化協議会あり。後継の地域公共交通計画の期間は未確認。環境基本条例(H24.9制定, https://www.cas.go.jp/jp/seisaku/gmpp/pdf/activities/ordinances/cases/235.pdf)に計画規定はあるが計画本体・期間は検索で未発見。 環境：第2次下妻市環境基本計画（温暖化対策実行計画を包含）の存在のみ確認、期間・本体URLは検索で確認できず。関連：下妻市環境アクションプラン https://www.city.shimotsuma.lg.jp/kurashi-tetsuzuki/kankyo/page003292.html 【追加調査 2026-10】【2026-10-02 task3再調査】市サイト内検索で「第2次下妻市環境基本計画【地球温暖化対策実行計画（事務事業編）（区域施策編）】」の掲載を確認（基本目標3つ「快適な住環境づくり」「緑と清流のまちづくり」「循環型のまちづくり」・基本施策16）。計画期間・本体URLは検索結果で確認できず（H29年度改定とする要約が1回出たのみで根拠不十分）。次期計画の策定委託・パブコメ等も検索で見つからず。市サイトはWebFetch不可（egress blocked）。関連：環境アクションプラン https://www.city.shimotsuma.lg.jp/kurashi-tetsuzuki/kankyo/page003292.html 、環境基本条例 https://www.city.shimotsuma.lg.jp/reiki_int/reiki_honbun/e010RG00000943.html 、再エネ導入計画 https://www.city.shimotsuma.lg.jp/page/page005135.html</t>
        </is>
      </c>
      <c r="S11" s="15" t="inlineStr">
        <is>
          <t>調査済</t>
        </is>
      </c>
      <c r="T11" s="11" t="inlineStr">
        <is>
          <t>掲載</t>
        </is>
      </c>
    </row>
    <row r="12">
      <c r="A12" s="11" t="n">
        <v>9</v>
      </c>
      <c r="B12" s="11" t="inlineStr">
        <is>
          <t>常総市</t>
        </is>
      </c>
      <c r="C12" s="12">
        <f>IF(OR(D12="◎",E12="◎"),"◎ 営業",IF(OR(D12="△",E12="△"),"△ 着手済・要確認",IF(OR(D12="？",E12="？"),"？ 期間要確認","✕ 対象外")))</f>
        <v/>
      </c>
      <c r="D12" s="13">
        <f>IF(J12="計画なし","－",IF(J12="策定済","✕",IF(H12="","？",IF(AND(H12&gt;=TGT_MIN,H12&lt;=TGT_MAX),IF(J12="着手済","△","◎"),"✕"))))</f>
        <v/>
      </c>
      <c r="E12" s="13">
        <f>IF(P12="計画なし","－",IF(P12="策定済","✕",IF(N12="","？",IF(AND(N12&gt;=TGT_MIN,N12&lt;=TGT_MAX),IF(P12="着手済","△","◎"),"✕"))))</f>
        <v/>
      </c>
      <c r="F12" s="11" t="inlineStr">
        <is>
          <t>常総市地域公共交通計画</t>
        </is>
      </c>
      <c r="G12" s="11" t="inlineStr">
        <is>
          <t>不明</t>
        </is>
      </c>
      <c r="H12" s="13" t="n"/>
      <c r="I12" s="13" t="inlineStr">
        <is>
          <t>不明</t>
        </is>
      </c>
      <c r="J12" s="13" t="inlineStr">
        <is>
          <t>未確認</t>
        </is>
      </c>
      <c r="K12" s="11" t="n"/>
      <c r="L12" s="11" t="inlineStr">
        <is>
          <t>常総市環境基本計画</t>
        </is>
      </c>
      <c r="M12" s="11" t="inlineStr">
        <is>
          <t>H30〜（期間不明）</t>
        </is>
      </c>
      <c r="N12" s="13" t="n"/>
      <c r="O12" s="13" t="inlineStr">
        <is>
          <t>不明</t>
        </is>
      </c>
      <c r="P12" s="13" t="inlineStr">
        <is>
          <t>未確認</t>
        </is>
      </c>
      <c r="Q12" s="11" t="n"/>
      <c r="R12" s="11" t="inlineStr">
        <is>
          <t>関東運輸局の策定状況一覧(https://wwwtb.mlit.go.jp/kanto/content/000354212.pdf)に常総市の計画が掲載されている旨のみ確認、期間不明。環境基本条例(H25.3制定, https://www.cas.go.jp/jp/seisaku/gmpp/pdf/activities/ordinances/cases/236.pdf)はあるが環境基本計画の本体・期間は未発見。 環境：H30年度策定との検索結果のみ（期間・URL未確認）。10年計画ならR9〜R10終了の可能性があり要確認。区域施策編R6.3策定。 【追加調査 2026-10】【2026-10-02 task3再調査】生活環境課の所管業務に「常総市環境基本計画」の掲載あり（https://www.city.joso.lg.jp/kurashi_gyousei/shisei/soshiki/section_work/page001996.html 、https://www.city.joso.lg.jp/section.php?code=18）。計画期間・本体URLは検索結果で確認できず（H30策定・10年ならR9〜R10終期の可能性は従前どおり推測の域）。次期計画の審議会・委託等も見つからず。区域施策編はR6.3策定との検索結果あり。環境年報 http://www.city.joso.lg.jp/jumin/gomi_kankyo_pet/kogai/1459125187330.html 。市サイトはWebFetch未試行（他市でegress blocked）。</t>
        </is>
      </c>
      <c r="S12" s="15" t="inlineStr">
        <is>
          <t>調査済</t>
        </is>
      </c>
      <c r="T12" s="11" t="inlineStr">
        <is>
          <t>掲載</t>
        </is>
      </c>
    </row>
    <row r="13">
      <c r="A13" s="11" t="n">
        <v>10</v>
      </c>
      <c r="B13" s="11" t="inlineStr">
        <is>
          <t>常陸太田市</t>
        </is>
      </c>
      <c r="C13" s="12">
        <f>IF(OR(D13="◎",E13="◎"),"◎ 営業",IF(OR(D13="△",E13="△"),"△ 着手済・要確認",IF(OR(D13="？",E13="？"),"？ 期間要確認","✕ 対象外")))</f>
        <v/>
      </c>
      <c r="D13" s="13">
        <f>IF(J13="計画なし","－",IF(J13="策定済","✕",IF(H13="","？",IF(AND(H13&gt;=TGT_MIN,H13&lt;=TGT_MAX),IF(J13="着手済","△","◎"),"✕"))))</f>
        <v/>
      </c>
      <c r="E13" s="13">
        <f>IF(P13="計画なし","－",IF(P13="策定済","✕",IF(N13="","？",IF(AND(N13&gt;=TGT_MIN,N13&lt;=TGT_MAX),IF(P13="着手済","△","◎"),"✕"))))</f>
        <v/>
      </c>
      <c r="F13" s="11" t="inlineStr">
        <is>
          <t>常陸太田市地域公共交通計画</t>
        </is>
      </c>
      <c r="G13" s="11" t="inlineStr">
        <is>
          <t>R4〜R8（推定）</t>
        </is>
      </c>
      <c r="H13" s="16" t="n">
        <v>8</v>
      </c>
      <c r="I13" s="13" t="inlineStr">
        <is>
          <t>推定</t>
        </is>
      </c>
      <c r="J13" s="13" t="inlineStr">
        <is>
          <t>着手済</t>
        </is>
      </c>
      <c r="K13" s="14" t="inlineStr">
        <is>
          <t>https://www.city.hitachiota.ibaraki.jp/data/doc/1651137157_doc_40_0.pdf</t>
        </is>
      </c>
      <c r="L13" s="11" t="inlineStr">
        <is>
          <t>第4次常陸太田市環境基本計画</t>
        </is>
      </c>
      <c r="M13" s="11" t="inlineStr">
        <is>
          <t>R6〜R10</t>
        </is>
      </c>
      <c r="N13" s="13" t="n">
        <v>10</v>
      </c>
      <c r="O13" s="13" t="inlineStr">
        <is>
          <t>確認済</t>
        </is>
      </c>
      <c r="P13" s="13" t="inlineStr">
        <is>
          <t>未確認</t>
        </is>
      </c>
      <c r="Q13" s="14" t="inlineStr">
        <is>
          <t>https://www.city.hitachiota.ibaraki.jp/page/page009600.html</t>
        </is>
      </c>
      <c r="R13" s="11" t="inlineStr">
        <is>
          <t>利便増進実施計画(R4.3認定)はR8年度末満了、新計画策定予定との記載。日立市資料で日立市・常陸太田市の共同利便増進実施計画をR8年度に作成する必要ありとの記載（https://www-source.city.hitachi.lg.jp/_res/projects/default_project/_page_/001/020/366/3-1.pdf）。上位の地域公共交通計画の名称・期間は未確認。環境基本計画は検索で群馬県太田市ばかりヒットし未発見。 交通計画本体はR4.3策定（期間は利便増進実施計画と同じR4〜R8と推定）、利便増進実施計画 https://www.city.hitachiota.ibaraki.jp/data/doc/1711010535_doc_40_0.pdf 。環境：第4次はR6.4〜R11.3（R6〜R10年度）、第3次はH31〜R5。</t>
        </is>
      </c>
      <c r="S13" s="15" t="inlineStr">
        <is>
          <t>調査済</t>
        </is>
      </c>
      <c r="T13" s="11" t="inlineStr">
        <is>
          <t>掲載</t>
        </is>
      </c>
    </row>
    <row r="14">
      <c r="A14" s="11" t="n">
        <v>11</v>
      </c>
      <c r="B14" s="11" t="inlineStr">
        <is>
          <t>高萩市</t>
        </is>
      </c>
      <c r="C14" s="12">
        <f>IF(OR(D14="◎",E14="◎"),"◎ 営業",IF(OR(D14="△",E14="△"),"△ 着手済・要確認",IF(OR(D14="？",E14="？"),"？ 期間要確認","✕ 対象外")))</f>
        <v/>
      </c>
      <c r="D14" s="13">
        <f>IF(J14="計画なし","－",IF(J14="策定済","✕",IF(H14="","？",IF(AND(H14&gt;=TGT_MIN,H14&lt;=TGT_MAX),IF(J14="着手済","△","◎"),"✕"))))</f>
        <v/>
      </c>
      <c r="E14" s="13">
        <f>IF(P14="計画なし","－",IF(P14="策定済","✕",IF(N14="","？",IF(AND(N14&gt;=TGT_MIN,N14&lt;=TGT_MAX),IF(P14="着手済","△","◎"),"✕"))))</f>
        <v/>
      </c>
      <c r="F14" s="11" t="inlineStr">
        <is>
          <t>高萩市地域公共交通計画</t>
        </is>
      </c>
      <c r="G14" s="11" t="inlineStr">
        <is>
          <t>不明</t>
        </is>
      </c>
      <c r="H14" s="13" t="n"/>
      <c r="I14" s="13" t="inlineStr">
        <is>
          <t>不明</t>
        </is>
      </c>
      <c r="J14" s="13" t="inlineStr">
        <is>
          <t>未確認</t>
        </is>
      </c>
      <c r="K14" s="14" t="inlineStr">
        <is>
          <t>https://www.city.takahagi.ibaraki.jp/kurashi/koutsu/page005493.html</t>
        </is>
      </c>
      <c r="L14" s="11" t="inlineStr">
        <is>
          <t>第2次高萩市環境基本計画</t>
        </is>
      </c>
      <c r="M14" s="11" t="inlineStr">
        <is>
          <t>R3〜R12</t>
        </is>
      </c>
      <c r="N14" s="13" t="n">
        <v>12</v>
      </c>
      <c r="O14" s="13" t="inlineStr">
        <is>
          <t>確認済</t>
        </is>
      </c>
      <c r="P14" s="13" t="inlineStr">
        <is>
          <t>未確認</t>
        </is>
      </c>
      <c r="Q14" s="14" t="inlineStr">
        <is>
          <t>https://www.city.takahagi.ibaraki.jp/kurashi/sumai/kankyou/ondanka/page004519.html</t>
        </is>
      </c>
      <c r="R14" s="11" t="inlineStr">
        <is>
          <t>交通計画・環境基本計画とも検索で該当資料なし（日高市・高崎市等の類似名ばかり）。計画の有無自体未確認、要直接確認。 環境：第2次はR3〜R12年度、ゼロカーボンシティ宣言を受け策定（e_urlのページに本編・概要版PDFあり）。第5次地球温暖化対策実行計画R7〜R12。 【追加調査 2026-10】2026-10-02再調査（検索6回）：市単独の「高萩市地域公共交通計画」を市HPで確認（本編・概要版PDFあり、市基本政策に基づく各種計画一覧 https://www.city.takahagi.ibaraki.jp/gyousei/keikaku/page005000.html にも掲載）。策定支援業務は「3委第23号 高萩市地域公共交通計画策定支援業務委託」（2021/08/10公告、https://nsearch.jp/nyusatsu_ankens/60fe3d222fc2250fa7b23207）→R3年度策定（R4.3頃）と推定されるが、計画期間は検索本文で確認できず（市HPはWebFetchブロック）。5年計画ならR4〜R8で今年度終期の可能性あり、要PDF確認。次期計画の着手情報は見つからず。デマンド型乗合タクシーを山間地域(H30.8〜)・高戸・徳富線東/赤浜地区(R2.2〜)で運行。</t>
        </is>
      </c>
      <c r="S14" s="15" t="inlineStr">
        <is>
          <t>調査済</t>
        </is>
      </c>
      <c r="T14" s="11" t="inlineStr">
        <is>
          <t>掲載</t>
        </is>
      </c>
    </row>
    <row r="15">
      <c r="A15" s="11" t="n">
        <v>12</v>
      </c>
      <c r="B15" s="11" t="inlineStr">
        <is>
          <t>北茨城市</t>
        </is>
      </c>
      <c r="C15" s="12">
        <f>IF(OR(D15="◎",E15="◎"),"◎ 営業",IF(OR(D15="△",E15="△"),"△ 着手済・要確認",IF(OR(D15="？",E15="？"),"？ 期間要確認","✕ 対象外")))</f>
        <v/>
      </c>
      <c r="D15" s="13">
        <f>IF(J15="計画なし","－",IF(J15="策定済","✕",IF(H15="","？",IF(AND(H15&gt;=TGT_MIN,H15&lt;=TGT_MAX),IF(J15="着手済","△","◎"),"✕"))))</f>
        <v/>
      </c>
      <c r="E15" s="13">
        <f>IF(P15="計画なし","－",IF(P15="策定済","✕",IF(N15="","？",IF(AND(N15&gt;=TGT_MIN,N15&lt;=TGT_MAX),IF(P15="着手済","△","◎"),"✕"))))</f>
        <v/>
      </c>
      <c r="F15" s="11" t="inlineStr">
        <is>
          <t>北茨城市地域公共交通計画</t>
        </is>
      </c>
      <c r="G15" s="11" t="inlineStr">
        <is>
          <t>R6〜R10</t>
        </is>
      </c>
      <c r="H15" s="13" t="n">
        <v>10</v>
      </c>
      <c r="I15" s="13" t="inlineStr">
        <is>
          <t>確認済</t>
        </is>
      </c>
      <c r="J15" s="13" t="inlineStr">
        <is>
          <t>未確認</t>
        </is>
      </c>
      <c r="K15" s="14" t="inlineStr">
        <is>
          <t>https://www.city.kitaibaraki.lg.jp/docs/2024013000015</t>
        </is>
      </c>
      <c r="L15" s="11" t="inlineStr">
        <is>
          <t>第2次北茨城市環境基本計画</t>
        </is>
      </c>
      <c r="M15" s="11" t="inlineStr">
        <is>
          <t>R7〜R16</t>
        </is>
      </c>
      <c r="N15" s="13" t="n">
        <v>16</v>
      </c>
      <c r="O15" s="13" t="inlineStr">
        <is>
          <t>確認済</t>
        </is>
      </c>
      <c r="P15" s="13" t="inlineStr">
        <is>
          <t>策定済</t>
        </is>
      </c>
      <c r="Q15" s="14" t="inlineStr">
        <is>
          <t>https://cms.city.kitaibaraki.lg.jp/docs/2025060500022/file_contents/file_20256113161234_1.pdf</t>
        </is>
      </c>
      <c r="R15" s="11" t="inlineStr">
        <is>
          <t>環境基本計画は2025(R7)年3月策定・2025〜2034年度。区域施策編(R3策定)・エネルギービジョン(R6.4)あり。交通計画の次期改定作業は未確認。立地適正化計画素案のパブコメ実施(2026年8月) https://www.city.kitaibaraki.lg.jp/docs/2026080500016</t>
        </is>
      </c>
      <c r="S15" s="15" t="inlineStr">
        <is>
          <t>調査済</t>
        </is>
      </c>
      <c r="T15" s="11" t="inlineStr">
        <is>
          <t>掲載</t>
        </is>
      </c>
    </row>
    <row r="16">
      <c r="A16" s="11" t="n">
        <v>13</v>
      </c>
      <c r="B16" s="11" t="inlineStr">
        <is>
          <t>笠間市</t>
        </is>
      </c>
      <c r="C16" s="12">
        <f>IF(OR(D16="◎",E16="◎"),"◎ 営業",IF(OR(D16="△",E16="△"),"△ 着手済・要確認",IF(OR(D16="？",E16="？"),"？ 期間要確認","✕ 対象外")))</f>
        <v/>
      </c>
      <c r="D16" s="13">
        <f>IF(J16="計画なし","－",IF(J16="策定済","✕",IF(H16="","？",IF(AND(H16&gt;=TGT_MIN,H16&lt;=TGT_MAX),IF(J16="着手済","△","◎"),"✕"))))</f>
        <v/>
      </c>
      <c r="E16" s="13">
        <f>IF(P16="計画なし","－",IF(P16="策定済","✕",IF(N16="","？",IF(AND(N16&gt;=TGT_MIN,N16&lt;=TGT_MAX),IF(P16="着手済","△","◎"),"✕"))))</f>
        <v/>
      </c>
      <c r="F16" s="11" t="inlineStr">
        <is>
          <t>笠間市地域公共交通計画</t>
        </is>
      </c>
      <c r="G16" s="11" t="inlineStr">
        <is>
          <t>R7〜R11</t>
        </is>
      </c>
      <c r="H16" s="13" t="n">
        <v>11</v>
      </c>
      <c r="I16" s="13" t="inlineStr">
        <is>
          <t>確認済</t>
        </is>
      </c>
      <c r="J16" s="13" t="inlineStr">
        <is>
          <t>策定済</t>
        </is>
      </c>
      <c r="K16" s="14" t="inlineStr">
        <is>
          <t>https://www.city.kasama.lg.jp/data/doc/1758843883_doc_70_0.pdf</t>
        </is>
      </c>
      <c r="L16" s="11" t="inlineStr">
        <is>
          <t>第3次笠間市環境基本計画</t>
        </is>
      </c>
      <c r="M16" s="11" t="inlineStr">
        <is>
          <t>R8〜R12</t>
        </is>
      </c>
      <c r="N16" s="13" t="n">
        <v>12</v>
      </c>
      <c r="O16" s="13" t="inlineStr">
        <is>
          <t>確認済</t>
        </is>
      </c>
      <c r="P16" s="13" t="inlineStr">
        <is>
          <t>策定済</t>
        </is>
      </c>
      <c r="Q16" s="14" t="inlineStr">
        <is>
          <t>https://www.city.kasama.lg.jp/data/doc/1774510801_doc_207_0.pdf</t>
        </is>
      </c>
      <c r="R16" s="11" t="inlineStr">
        <is>
          <t>交通計画はR7年7月策定(2025〜2029年度)。環境基本計画第3次はR8年3月策定。いずれもPDF URLは検索結果上のもので本文の同定は未検証(取得ブロック)。</t>
        </is>
      </c>
      <c r="S16" s="15" t="inlineStr">
        <is>
          <t>調査済</t>
        </is>
      </c>
      <c r="T16" s="17" t="inlineStr">
        <is>
          <t>未掲載【当方は計画あり】</t>
        </is>
      </c>
    </row>
    <row r="17">
      <c r="A17" s="11" t="n">
        <v>14</v>
      </c>
      <c r="B17" s="11" t="inlineStr">
        <is>
          <t>取手市</t>
        </is>
      </c>
      <c r="C17" s="12">
        <f>IF(OR(D17="◎",E17="◎"),"◎ 営業",IF(OR(D17="△",E17="△"),"△ 着手済・要確認",IF(OR(D17="？",E17="？"),"？ 期間要確認","✕ 対象外")))</f>
        <v/>
      </c>
      <c r="D17" s="13">
        <f>IF(J17="計画なし","－",IF(J17="策定済","✕",IF(H17="","？",IF(AND(H17&gt;=TGT_MIN,H17&lt;=TGT_MAX),IF(J17="着手済","△","◎"),"✕"))))</f>
        <v/>
      </c>
      <c r="E17" s="13">
        <f>IF(P17="計画なし","－",IF(P17="策定済","✕",IF(N17="","？",IF(AND(N17&gt;=TGT_MIN,N17&lt;=TGT_MAX),IF(P17="着手済","△","◎"),"✕"))))</f>
        <v/>
      </c>
      <c r="F17" s="11" t="inlineStr">
        <is>
          <t>取手市地域公共交通計画</t>
        </is>
      </c>
      <c r="G17" s="11" t="inlineStr">
        <is>
          <t>不明</t>
        </is>
      </c>
      <c r="H17" s="13" t="n"/>
      <c r="I17" s="13" t="inlineStr">
        <is>
          <t>不明</t>
        </is>
      </c>
      <c r="J17" s="13" t="inlineStr">
        <is>
          <t>未確認</t>
        </is>
      </c>
      <c r="K17" s="14" t="inlineStr">
        <is>
          <t>https://www.city.toride.ibaraki.jp/seisaku/shise/machizukuri/sogo/plan2024/kanrenkeikaku.html</t>
        </is>
      </c>
      <c r="L17" s="11" t="inlineStr">
        <is>
          <t>第二次取手市環境基本計画</t>
        </is>
      </c>
      <c r="M17" s="11" t="inlineStr">
        <is>
          <t>R1〜R10</t>
        </is>
      </c>
      <c r="N17" s="13" t="n">
        <v>10</v>
      </c>
      <c r="O17" s="13" t="inlineStr">
        <is>
          <t>確認済</t>
        </is>
      </c>
      <c r="P17" s="13" t="inlineStr">
        <is>
          <t>未確認</t>
        </is>
      </c>
      <c r="Q17" s="14" t="inlineStr">
        <is>
          <t>https://www.city.toride.ibaraki.jp/seisaku/shise/machizukuri/sogo/plan2024/documents/33dai2jikannkyoukihonkeikaku.pdf</t>
        </is>
      </c>
      <c r="R17" s="11" t="inlineStr">
        <is>
          <t>交通計画は総合計画関連計画ページで存在のみ確認、期間不明(t_urlは関連計画一覧ページ)。環境基本計画は2019〜2028年度(2024年度中間見直し予定)。区域施策編R5〜R12あり。緑の基本計画R8.3改訂。</t>
        </is>
      </c>
      <c r="S17" s="15" t="inlineStr">
        <is>
          <t>調査済</t>
        </is>
      </c>
      <c r="T17" s="11" t="inlineStr">
        <is>
          <t>掲載</t>
        </is>
      </c>
    </row>
    <row r="18">
      <c r="A18" s="11" t="n">
        <v>15</v>
      </c>
      <c r="B18" s="11" t="inlineStr">
        <is>
          <t>牛久市</t>
        </is>
      </c>
      <c r="C18" s="12">
        <f>IF(OR(D18="◎",E18="◎"),"◎ 営業",IF(OR(D18="△",E18="△"),"△ 着手済・要確認",IF(OR(D18="？",E18="？"),"？ 期間要確認","✕ 対象外")))</f>
        <v/>
      </c>
      <c r="D18" s="13">
        <f>IF(J18="計画なし","－",IF(J18="策定済","✕",IF(H18="","？",IF(AND(H18&gt;=TGT_MIN,H18&lt;=TGT_MAX),IF(J18="着手済","△","◎"),"✕"))))</f>
        <v/>
      </c>
      <c r="E18" s="13">
        <f>IF(P18="計画なし","－",IF(P18="策定済","✕",IF(N18="","？",IF(AND(N18&gt;=TGT_MIN,N18&lt;=TGT_MAX),IF(P18="着手済","△","◎"),"✕"))))</f>
        <v/>
      </c>
      <c r="F18" s="11" t="inlineStr">
        <is>
          <t>第2次牛久市地域公共交通計画</t>
        </is>
      </c>
      <c r="G18" s="11" t="inlineStr">
        <is>
          <t>R8〜R11</t>
        </is>
      </c>
      <c r="H18" s="13" t="n">
        <v>11</v>
      </c>
      <c r="I18" s="13" t="inlineStr">
        <is>
          <t>確認済</t>
        </is>
      </c>
      <c r="J18" s="13" t="inlineStr">
        <is>
          <t>策定済</t>
        </is>
      </c>
      <c r="K18" s="14" t="inlineStr">
        <is>
          <t>https://www.city.ushiku.lg.jp/kurashi-tetsuduki/seikatsu/kokyokotsu/page014651.html</t>
        </is>
      </c>
      <c r="L18" s="11" t="inlineStr">
        <is>
          <t>牛久市第4期環境基本計画</t>
        </is>
      </c>
      <c r="M18" s="11" t="inlineStr">
        <is>
          <t>R4〜R8</t>
        </is>
      </c>
      <c r="N18" s="13" t="n">
        <v>8</v>
      </c>
      <c r="O18" s="13" t="inlineStr">
        <is>
          <t>確認済</t>
        </is>
      </c>
      <c r="P18" s="13" t="inlineStr">
        <is>
          <t>未確認</t>
        </is>
      </c>
      <c r="Q18" s="14" t="inlineStr">
        <is>
          <t>https://www.city.ushiku.lg.jp/page/page002088.html</t>
        </is>
      </c>
      <c r="R18" s="11" t="inlineStr">
        <is>
          <t>交通計画第2次は素案R8.1→策定済(R8〜R11)、R8.10バス路線再編予定。環境基本計画(第4期)はR8年度末で終了→第5期策定作業がR8年度進行中の可能性大だが検索上限で未確認。e_urlは環境政策課ページ。</t>
        </is>
      </c>
      <c r="S18" s="15" t="inlineStr">
        <is>
          <t>調査済</t>
        </is>
      </c>
      <c r="T18" s="11" t="inlineStr">
        <is>
          <t>掲載</t>
        </is>
      </c>
    </row>
    <row r="19">
      <c r="A19" s="11" t="n">
        <v>16</v>
      </c>
      <c r="B19" s="11" t="inlineStr">
        <is>
          <t>つくば市</t>
        </is>
      </c>
      <c r="C19" s="12">
        <f>IF(OR(D19="◎",E19="◎"),"◎ 営業",IF(OR(D19="△",E19="△"),"△ 着手済・要確認",IF(OR(D19="？",E19="？"),"？ 期間要確認","✕ 対象外")))</f>
        <v/>
      </c>
      <c r="D19" s="13">
        <f>IF(J19="計画なし","－",IF(J19="策定済","✕",IF(H19="","？",IF(AND(H19&gt;=TGT_MIN,H19&lt;=TGT_MAX),IF(J19="着手済","△","◎"),"✕"))))</f>
        <v/>
      </c>
      <c r="E19" s="13">
        <f>IF(P19="計画なし","－",IF(P19="策定済","✕",IF(N19="","？",IF(AND(N19&gt;=TGT_MIN,N19&lt;=TGT_MAX),IF(P19="着手済","△","◎"),"✕"))))</f>
        <v/>
      </c>
      <c r="F19" s="11" t="inlineStr">
        <is>
          <t>第2次つくば市地域公共交通計画</t>
        </is>
      </c>
      <c r="G19" s="11" t="inlineStr">
        <is>
          <t>R8〜R12</t>
        </is>
      </c>
      <c r="H19" s="13" t="n">
        <v>12</v>
      </c>
      <c r="I19" s="13" t="inlineStr">
        <is>
          <t>確認済</t>
        </is>
      </c>
      <c r="J19" s="13" t="inlineStr">
        <is>
          <t>策定済</t>
        </is>
      </c>
      <c r="K19" s="11" t="n"/>
      <c r="L19" s="11" t="inlineStr">
        <is>
          <t>第3次つくば市環境基本計画</t>
        </is>
      </c>
      <c r="M19" s="11" t="inlineStr">
        <is>
          <t>R2〜R11</t>
        </is>
      </c>
      <c r="N19" s="13" t="n">
        <v>11</v>
      </c>
      <c r="O19" s="13" t="inlineStr">
        <is>
          <t>確認済</t>
        </is>
      </c>
      <c r="P19" s="13" t="inlineStr">
        <is>
          <t>未確認</t>
        </is>
      </c>
      <c r="Q19" s="14" t="inlineStr">
        <is>
          <t>https://www.city.tsukuba.lg.jp/material/files/group/137/3honpen.pdf</t>
        </is>
      </c>
      <c r="R19" s="11" t="inlineStr">
        <is>
          <t>交通：検索結果テキストで『第2次つくば市地域公共交通計画 対象期間 令和8年度〜令和12年度』を確認（前計画は2021年3月策定）。R8開始のためR7年度末策定と推定し策定済扱い。市公式の計画URLは検索結果に出ず（出典はmlit.go.jp系PDF https://www.mlit.go.jp/sogoseisaku/soukou/soukou-magazine/134-1.pdf 等の検索結果）。環境基本計画は検索で期間・URLとも確認できず（要追加調査）。 環境：第3次は対象期間R2〜R11（2020〜2029年度）。R7年度に環境審議会で中間見直し実施 https://www.city.tsukuba.lg.jp/material/files/group/7/kankyoiinkaiR7_3-4.pdf 。R9終了ではない。</t>
        </is>
      </c>
      <c r="S19" s="15" t="inlineStr">
        <is>
          <t>調査済</t>
        </is>
      </c>
      <c r="T19" s="11" t="inlineStr">
        <is>
          <t>掲載</t>
        </is>
      </c>
    </row>
    <row r="20">
      <c r="A20" s="11" t="n">
        <v>17</v>
      </c>
      <c r="B20" s="11" t="inlineStr">
        <is>
          <t>ひたちなか市</t>
        </is>
      </c>
      <c r="C20" s="12">
        <f>IF(OR(D20="◎",E20="◎"),"◎ 営業",IF(OR(D20="△",E20="△"),"△ 着手済・要確認",IF(OR(D20="？",E20="？"),"？ 期間要確認","✕ 対象外")))</f>
        <v/>
      </c>
      <c r="D20" s="13">
        <f>IF(J20="計画なし","－",IF(J20="策定済","✕",IF(H20="","？",IF(AND(H20&gt;=TGT_MIN,H20&lt;=TGT_MAX),IF(J20="着手済","△","◎"),"✕"))))</f>
        <v/>
      </c>
      <c r="E20" s="13">
        <f>IF(P20="計画なし","－",IF(P20="策定済","✕",IF(N20="","？",IF(AND(N20&gt;=TGT_MIN,N20&lt;=TGT_MAX),IF(P20="着手済","△","◎"),"✕"))))</f>
        <v/>
      </c>
      <c r="F20" s="11" t="inlineStr">
        <is>
          <t>ひたちなか市地域公共交通計画</t>
        </is>
      </c>
      <c r="G20" s="11" t="inlineStr">
        <is>
          <t>R8〜R12</t>
        </is>
      </c>
      <c r="H20" s="13" t="n">
        <v>12</v>
      </c>
      <c r="I20" s="13" t="inlineStr">
        <is>
          <t>確認済</t>
        </is>
      </c>
      <c r="J20" s="13" t="inlineStr">
        <is>
          <t>策定済</t>
        </is>
      </c>
      <c r="K20" s="14" t="inlineStr">
        <is>
          <t>https://www.city.hitachinaka.lg.jp/_res/projects/default_project/_page_/001/016/190/hitachinakashi_chiikikoukyoukoutuukeikakuan.pdf</t>
        </is>
      </c>
      <c r="L20" s="11" t="inlineStr">
        <is>
          <t>ひたちなか市第3次環境基本計画（改定）</t>
        </is>
      </c>
      <c r="M20" s="11" t="inlineStr">
        <is>
          <t>R8〜R12</t>
        </is>
      </c>
      <c r="N20" s="13" t="n">
        <v>12</v>
      </c>
      <c r="O20" s="13" t="inlineStr">
        <is>
          <t>確認済</t>
        </is>
      </c>
      <c r="P20" s="13" t="inlineStr">
        <is>
          <t>策定済</t>
        </is>
      </c>
      <c r="Q20" s="14" t="inlineStr">
        <is>
          <t>https://www.city.hitachinaka.lg.jp/_res/projects/default_project/_page_/001/017/041/kaiteigaiyoubann.pdf</t>
        </is>
      </c>
      <c r="R20" s="11" t="inlineStr">
        <is>
          <t>交通：旧網形成計画（H29〜R7）の後継。パブコメR7.12.25〜R8.1.23、第47回公共交通活性化協議会R8.2.16で結果協議、R8.3策定予定（https://www-source.city.hitachinaka.lg.jp/_res/projects/default_project/_page_/001/015/394/20260216shiryo.pdf）。t_urlは計画案PDF。環境：第3次環境基本計画（改定）R8〜R12、地域気候変動適応計画を統合（改定素案 .../001/015/858/kannkyoukihonnkeikakukaiteisoann.pdf）。いずれもR9終了ではない。</t>
        </is>
      </c>
      <c r="S20" s="15" t="inlineStr">
        <is>
          <t>調査済</t>
        </is>
      </c>
      <c r="T20" s="11" t="inlineStr">
        <is>
          <t>掲載</t>
        </is>
      </c>
    </row>
    <row r="21">
      <c r="A21" s="11" t="n">
        <v>18</v>
      </c>
      <c r="B21" s="11" t="inlineStr">
        <is>
          <t>鹿嶋市</t>
        </is>
      </c>
      <c r="C21" s="12">
        <f>IF(OR(D21="◎",E21="◎"),"◎ 営業",IF(OR(D21="△",E21="△"),"△ 着手済・要確認",IF(OR(D21="？",E21="？"),"？ 期間要確認","✕ 対象外")))</f>
        <v/>
      </c>
      <c r="D21" s="13">
        <f>IF(J21="計画なし","－",IF(J21="策定済","✕",IF(H21="","？",IF(AND(H21&gt;=TGT_MIN,H21&lt;=TGT_MAX),IF(J21="着手済","△","◎"),"✕"))))</f>
        <v/>
      </c>
      <c r="E21" s="13">
        <f>IF(P21="計画なし","－",IF(P21="策定済","✕",IF(N21="","？",IF(AND(N21&gt;=TGT_MIN,N21&lt;=TGT_MAX),IF(P21="着手済","△","◎"),"✕"))))</f>
        <v/>
      </c>
      <c r="F21" s="11" t="inlineStr">
        <is>
          <t>鹿嶋市地域公共交通計画</t>
        </is>
      </c>
      <c r="G21" s="11" t="inlineStr">
        <is>
          <t>R6〜R10</t>
        </is>
      </c>
      <c r="H21" s="13" t="n">
        <v>10</v>
      </c>
      <c r="I21" s="13" t="inlineStr">
        <is>
          <t>確認済</t>
        </is>
      </c>
      <c r="J21" s="13" t="inlineStr">
        <is>
          <t>未確認</t>
        </is>
      </c>
      <c r="K21" s="14" t="inlineStr">
        <is>
          <t>https://www.city.kashima.ibaraki.jp/uploaded/attachment/60268.pdf</t>
        </is>
      </c>
      <c r="L21" s="11" t="inlineStr">
        <is>
          <t>鹿嶋市環境基本計画</t>
        </is>
      </c>
      <c r="M21" s="11" t="inlineStr">
        <is>
          <t>R3〜R12</t>
        </is>
      </c>
      <c r="N21" s="16" t="n">
        <v>12</v>
      </c>
      <c r="O21" s="13" t="inlineStr">
        <is>
          <t>推定</t>
        </is>
      </c>
      <c r="P21" s="13" t="inlineStr">
        <is>
          <t>未確認</t>
        </is>
      </c>
      <c r="Q21" s="14" t="inlineStr">
        <is>
          <t>https://www.city.kashima.ibaraki.jp/uploaded/life/87842_130084_misc.pdf</t>
        </is>
      </c>
      <c r="R21" s="11" t="inlineStr">
        <is>
          <t>交通：令和6年度〜令和10年度の5年間を検索結果で確認（URLは市サイト上の計画PDF候補、59545.pdfも関連）。環境：進捗報告書（R7年8月）が存在し、目標年度R12(2030)。期間R3〜R12は検索要約で示唆されたが確証弱く推定。e_urlは進捗報告書PDF。次期計画作業は未確認。</t>
        </is>
      </c>
      <c r="S21" s="15" t="inlineStr">
        <is>
          <t>調査済</t>
        </is>
      </c>
      <c r="T21" s="11" t="inlineStr">
        <is>
          <t>掲載</t>
        </is>
      </c>
    </row>
    <row r="22">
      <c r="A22" s="11" t="n">
        <v>19</v>
      </c>
      <c r="B22" s="11" t="inlineStr">
        <is>
          <t>潮来市</t>
        </is>
      </c>
      <c r="C22" s="12">
        <f>IF(OR(D22="◎",E22="◎"),"◎ 営業",IF(OR(D22="△",E22="△"),"△ 着手済・要確認",IF(OR(D22="？",E22="？"),"？ 期間要確認","✕ 対象外")))</f>
        <v/>
      </c>
      <c r="D22" s="13">
        <f>IF(J22="計画なし","－",IF(J22="策定済","✕",IF(H22="","？",IF(AND(H22&gt;=TGT_MIN,H22&lt;=TGT_MAX),IF(J22="着手済","△","◎"),"✕"))))</f>
        <v/>
      </c>
      <c r="E22" s="13">
        <f>IF(P22="計画なし","－",IF(P22="策定済","✕",IF(N22="","？",IF(AND(N22&gt;=TGT_MIN,N22&lt;=TGT_MAX),IF(P22="着手済","△","◎"),"✕"))))</f>
        <v/>
      </c>
      <c r="F22" s="11" t="inlineStr">
        <is>
          <t>潮来市地域公共交通計画</t>
        </is>
      </c>
      <c r="G22" s="11" t="inlineStr">
        <is>
          <t>R4〜R8</t>
        </is>
      </c>
      <c r="H22" s="16" t="n">
        <v>8</v>
      </c>
      <c r="I22" s="13" t="inlineStr">
        <is>
          <t>推定</t>
        </is>
      </c>
      <c r="J22" s="13" t="inlineStr">
        <is>
          <t>未確認</t>
        </is>
      </c>
      <c r="K22" s="14" t="inlineStr">
        <is>
          <t>https://www.city.itako.lg.jp/page/page006375.html</t>
        </is>
      </c>
      <c r="L22" s="11" t="n"/>
      <c r="M22" s="11" t="inlineStr">
        <is>
          <t>不明</t>
        </is>
      </c>
      <c r="N22" s="13" t="n"/>
      <c r="O22" s="13" t="inlineStr">
        <is>
          <t>不明</t>
        </is>
      </c>
      <c r="P22" s="13" t="inlineStr">
        <is>
          <t>未確認</t>
        </is>
      </c>
      <c r="Q22" s="11" t="n"/>
      <c r="R22" s="11" t="inlineStr">
        <is>
          <t>検索で潮来市の地域公共交通計画・環境基本計画とも情報が得られず（検索インデックスに市サイトがほぼ出ない）。要公式サイト直接確認。 【追加調査 2026-10】交通：潮来市地域公共交通計画（R4.3策定、R6.8変更）。前計画の網形成計画(H29.3)がR3年度満了のため策定。期間はR4〜R8（2022〜2026年度、5年）と検索要約で確認（本文直接は未見→推定）。R8年度末満了のため次期計画作業がR8に進行中の可能性大だが、検索では次期策定の委託・協議会審議を確認できず（2026-10-02検索）。変更ページ https://www.city.itako.lg.jp/page/page007746.html R8年度予算・協議会・入札情報を検索したが次期計画策定の記述なし（R8年度はコミュニティバス実証運行を実施）。 根拠: 計画期間：令和4年度～令和8年度（5年間）（検索要約） 【追加調査 2026-10】【2026-10-02 task3再調査】市サイト内検索（環境基本計画/各種計画/環境課/例規）で環境基本計画は見つからず。例規で確認できた環境系条例は潮来市環境美化条例（H16.9.30条例第21号, https://www.city.itako.lg.jp/reiki_int/reiki_honbun/e053RG00000464.html）のみで、環境基本条例は検索で見当たらない。環境関連計画は地球温暖化対策実行計画（第二次）事務事業編、災害廃棄物処理計画（R3.3, https://www.city.itako.lg.jp/data/doc/1615792275_doc_228_0.pdf）等。各種計画一覧 https://www.city.itako.lg.jp/sp/page/dir002233.html 。計画なしの可能性が高いが一覧本体を直接確認できていないため未確認のまま。</t>
        </is>
      </c>
      <c r="S22" s="18" t="inlineStr">
        <is>
          <t>交通のみ調査</t>
        </is>
      </c>
      <c r="T22" s="11" t="inlineStr">
        <is>
          <t>掲載</t>
        </is>
      </c>
    </row>
    <row r="23">
      <c r="A23" s="11" t="n">
        <v>20</v>
      </c>
      <c r="B23" s="11" t="inlineStr">
        <is>
          <t>守谷市</t>
        </is>
      </c>
      <c r="C23" s="12">
        <f>IF(OR(D23="◎",E23="◎"),"◎ 営業",IF(OR(D23="△",E23="△"),"△ 着手済・要確認",IF(OR(D23="？",E23="？"),"？ 期間要確認","✕ 対象外")))</f>
        <v/>
      </c>
      <c r="D23" s="13">
        <f>IF(J23="計画なし","－",IF(J23="策定済","✕",IF(H23="","？",IF(AND(H23&gt;=TGT_MIN,H23&lt;=TGT_MAX),IF(J23="着手済","△","◎"),"✕"))))</f>
        <v/>
      </c>
      <c r="E23" s="13">
        <f>IF(P23="計画なし","－",IF(P23="策定済","✕",IF(N23="","？",IF(AND(N23&gt;=TGT_MIN,N23&lt;=TGT_MAX),IF(P23="着手済","△","◎"),"✕"))))</f>
        <v/>
      </c>
      <c r="F23" s="11" t="inlineStr">
        <is>
          <t>守谷市地域公共交通計画</t>
        </is>
      </c>
      <c r="G23" s="11" t="inlineStr">
        <is>
          <t>R5〜R9</t>
        </is>
      </c>
      <c r="H23" s="13" t="n">
        <v>9</v>
      </c>
      <c r="I23" s="13" t="inlineStr">
        <is>
          <t>確認済</t>
        </is>
      </c>
      <c r="J23" s="13" t="inlineStr">
        <is>
          <t>着手済</t>
        </is>
      </c>
      <c r="K23" s="14" t="inlineStr">
        <is>
          <t>https://www.city.moriya.ibaraki.jp/kurashi_tetsuzuki/koutsu/1002163/1002204.html</t>
        </is>
      </c>
      <c r="L23" s="11" t="inlineStr">
        <is>
          <t>第2次守谷市環境基本計画</t>
        </is>
      </c>
      <c r="M23" s="11" t="inlineStr">
        <is>
          <t>〜R7（推定）</t>
        </is>
      </c>
      <c r="N23" s="16" t="n">
        <v>7</v>
      </c>
      <c r="O23" s="13" t="inlineStr">
        <is>
          <t>推定</t>
        </is>
      </c>
      <c r="P23" s="13" t="inlineStr">
        <is>
          <t>着手済</t>
        </is>
      </c>
      <c r="Q23" s="14" t="inlineStr">
        <is>
          <t>https://www.city.moriya.ibaraki.jp/kurashi_tetsuzuki/kankyo_gomi/1001993/1002006.html</t>
        </is>
      </c>
      <c r="R23" s="11" t="inlineStr">
        <is>
          <t>守谷市地域公共交通活性化協議会の存在と実証運行（コミュニティバス等）は確認したが、計画名・期間・URLは検索で確認できず。茨城県の協議会資料（https://www.pref.ibaraki.jp/kikaku/kotsuseisaku/chiikikoutsu/documents/r8dai1kaikyougikaigian.pdf）に言及あり。環境基本計画も不明。要追加調査。 環境：第3次守谷市環境基本計画（R8〜R17＝2026〜2035年度）を策定中との検索結果（生活環境課 https://www.city.moriya.ibaraki.jp/shisei/profile/1004324/1004328/1004339/1004340.html ）。策定に向け市民・事業者・中学生意識調査を実施。第3次の策定完了は未確認。 【追加調査 2026-10】交通：守谷市地域公共交通計画（R5.3策定、R7.5変更）、計画期間R5〜R9（2023〜2027年度、5年間）。前計画は守谷市地域公共交通網形成計画（H30.7）。計画書案 https://www.city.moriya.ibaraki.jp/_res/projects/default_project/_page_/001/002/191/r4_4_03_gian1.pdf 。次期：令和8年度施政方針で「第1次計画のアップデートとなる第2次守谷市地域公共交通計画を策定」と明記 https://www.city.moriya.ibaraki.jp/shisei/mayor/1005682/1011702.html （委託プロポ公告・パブコメは検索で未確認、2026-10-02）。協議会ページ https://www.city.moriya.ibaraki.jp/kurashi_tetsuzuki/koutsu/1002163/1002164/1002189/1002191.html 根拠: 計画期間は令和5年度から令和9年度までの5年間</t>
        </is>
      </c>
      <c r="S23" s="15" t="inlineStr">
        <is>
          <t>調査済</t>
        </is>
      </c>
      <c r="T23" s="11" t="inlineStr">
        <is>
          <t>掲載</t>
        </is>
      </c>
    </row>
    <row r="24">
      <c r="A24" s="11" t="n">
        <v>21</v>
      </c>
      <c r="B24" s="11" t="inlineStr">
        <is>
          <t>常陸大宮市</t>
        </is>
      </c>
      <c r="C24" s="12">
        <f>IF(OR(D24="◎",E24="◎"),"◎ 営業",IF(OR(D24="△",E24="△"),"△ 着手済・要確認",IF(OR(D24="？",E24="？"),"？ 期間要確認","✕ 対象外")))</f>
        <v/>
      </c>
      <c r="D24" s="13">
        <f>IF(J24="計画なし","－",IF(J24="策定済","✕",IF(H24="","？",IF(AND(H24&gt;=TGT_MIN,H24&lt;=TGT_MAX),IF(J24="着手済","△","◎"),"✕"))))</f>
        <v/>
      </c>
      <c r="E24" s="13">
        <f>IF(P24="計画なし","－",IF(P24="策定済","✕",IF(N24="","？",IF(AND(N24&gt;=TGT_MIN,N24&lt;=TGT_MAX),IF(P24="着手済","△","◎"),"✕"))))</f>
        <v/>
      </c>
      <c r="F24" s="11" t="inlineStr">
        <is>
          <t>常陸大宮市地域公共交通計画</t>
        </is>
      </c>
      <c r="G24" s="11" t="inlineStr">
        <is>
          <t>R5〜R9</t>
        </is>
      </c>
      <c r="H24" s="13" t="n">
        <v>9</v>
      </c>
      <c r="I24" s="13" t="inlineStr">
        <is>
          <t>確認済</t>
        </is>
      </c>
      <c r="J24" s="13" t="inlineStr">
        <is>
          <t>未確認</t>
        </is>
      </c>
      <c r="K24" s="14" t="inlineStr">
        <is>
          <t>https://www.city.hitachiomiya.lg.jp/data/doc/1685520960_doc_100_0.pdf</t>
        </is>
      </c>
      <c r="L24" s="11" t="inlineStr">
        <is>
          <t>第2次常陸大宮市環境基本計画（後期計画）</t>
        </is>
      </c>
      <c r="M24" s="11" t="inlineStr">
        <is>
          <t>R5〜R9</t>
        </is>
      </c>
      <c r="N24" s="13" t="n">
        <v>9</v>
      </c>
      <c r="O24" s="13" t="inlineStr">
        <is>
          <t>確認済</t>
        </is>
      </c>
      <c r="P24" s="13" t="inlineStr">
        <is>
          <t>未確認</t>
        </is>
      </c>
      <c r="Q24" s="14" t="inlineStr">
        <is>
          <t>https://www.city.hitachiomiya.lg.jp/data/doc/1673312876_doc_1_0.pdf</t>
        </is>
      </c>
      <c r="R24" s="11" t="inlineStr">
        <is>
          <t>【交通・環境ともR9終了】交通：網形成計画満了に伴い策定、令和5年度〜令和9年度（概要版 1685520956_doc_100_0.pdf も）。環境：第2次環境基本計画はH30〜R9、前期満了により後期計画R5〜R9を策定（関連PDF https://www.city.hitachiomiya.lg.jp/data/doc/1703489725_doc_27_0.pdf）。R8.9時点で次期計画（策定支援委託・アンケート等）の情報は検索で見つからず→R8〜R9に改定作業発生見込み。 【ファクトチェック 2026-10-01: 正しい】確認期間: 令和5年度〜令和9年度（5年間、令和5年2月策定）／次期: 確認できず／根拠: https://www.city.hitachiomiya.lg.jp/kurashi_gyousei/gyousei/plan/r0/page003126.html 【ファクトチェック 2026-10-01: 正しい】確認期間: 第2次計画全体 平成30年度〜令和9年度（10年間）、後期計画 令和5年度〜令和9年度／次期: 確認できず／根拠: https://www.city.hitachiomiya.lg.jp/data/doc/1673312876_doc_1_0.pdf</t>
        </is>
      </c>
      <c r="S24" s="15" t="inlineStr">
        <is>
          <t>調査済</t>
        </is>
      </c>
      <c r="T24" s="11" t="inlineStr">
        <is>
          <t>掲載</t>
        </is>
      </c>
    </row>
    <row r="25">
      <c r="A25" s="11" t="n">
        <v>22</v>
      </c>
      <c r="B25" s="11" t="inlineStr">
        <is>
          <t>那珂市</t>
        </is>
      </c>
      <c r="C25" s="12">
        <f>IF(OR(D25="◎",E25="◎"),"◎ 営業",IF(OR(D25="△",E25="△"),"△ 着手済・要確認",IF(OR(D25="？",E25="？"),"？ 期間要確認","✕ 対象外")))</f>
        <v/>
      </c>
      <c r="D25" s="13">
        <f>IF(J25="計画なし","－",IF(J25="策定済","✕",IF(H25="","？",IF(AND(H25&gt;=TGT_MIN,H25&lt;=TGT_MAX),IF(J25="着手済","△","◎"),"✕"))))</f>
        <v/>
      </c>
      <c r="E25" s="13">
        <f>IF(P25="計画なし","－",IF(P25="策定済","✕",IF(N25="","？",IF(AND(N25&gt;=TGT_MIN,N25&lt;=TGT_MAX),IF(P25="着手済","△","◎"),"✕"))))</f>
        <v/>
      </c>
      <c r="F25" s="11" t="inlineStr">
        <is>
          <t>那珂市地域公共交通計画</t>
        </is>
      </c>
      <c r="G25" s="11" t="inlineStr">
        <is>
          <t>R6〜R10</t>
        </is>
      </c>
      <c r="H25" s="13" t="n">
        <v>10</v>
      </c>
      <c r="I25" s="13" t="inlineStr">
        <is>
          <t>確認済</t>
        </is>
      </c>
      <c r="J25" s="13" t="inlineStr">
        <is>
          <t>未確認</t>
        </is>
      </c>
      <c r="K25" s="14" t="inlineStr">
        <is>
          <t>https://www.city.naka.lg.jp/gyousei/keikaku/page009950.html</t>
        </is>
      </c>
      <c r="L25" s="11" t="inlineStr">
        <is>
          <t>第3次那珂市環境基本計画</t>
        </is>
      </c>
      <c r="M25" s="11" t="inlineStr">
        <is>
          <t>R5〜R14</t>
        </is>
      </c>
      <c r="N25" s="13" t="n">
        <v>14</v>
      </c>
      <c r="O25" s="13" t="inlineStr">
        <is>
          <t>確認済</t>
        </is>
      </c>
      <c r="P25" s="13" t="inlineStr">
        <is>
          <t>未確認</t>
        </is>
      </c>
      <c r="Q25" s="14" t="inlineStr">
        <is>
          <t>https://www.city.naka.lg.jp/gyousei/keikaku/page009444.html</t>
        </is>
      </c>
      <c r="R25" s="11" t="inlineStr">
        <is>
          <t>検索で那珂市の地域公共交通計画・環境基本計画とも確認できず（那珂川・ひたちなか市等の類似名が混入）。要公式サイト直接確認。 環境：第3次はR5〜R14（2023〜2032年度）の10年間。区域施策編あり https://www.city.naka.lg.jp/kurashi-tetsuduki/kankyou/page010908.html 【追加調査 2026-10】交通：那珂市地域公共交通計画（前身は那珂市地域公共交通連携計画）。計画区域は市全域、期間R6〜R10（2024〜2028年度、5年間）。案（R5.12） https://www.city.naka.lg.jp/data/doc/1707093979_doc_734_0.pdf 。終期R10のため次期は未着手と見られる。 根拠: 令和6年度から令和10年度までの5年間</t>
        </is>
      </c>
      <c r="S25" s="15" t="inlineStr">
        <is>
          <t>調査済</t>
        </is>
      </c>
      <c r="T25" s="11" t="inlineStr">
        <is>
          <t>掲載</t>
        </is>
      </c>
    </row>
    <row r="26">
      <c r="A26" s="11" t="n">
        <v>23</v>
      </c>
      <c r="B26" s="11" t="inlineStr">
        <is>
          <t>筑西市</t>
        </is>
      </c>
      <c r="C26" s="12">
        <f>IF(OR(D26="◎",E26="◎"),"◎ 営業",IF(OR(D26="△",E26="△"),"△ 着手済・要確認",IF(OR(D26="？",E26="？"),"？ 期間要確認","✕ 対象外")))</f>
        <v/>
      </c>
      <c r="D26" s="13">
        <f>IF(J26="計画なし","－",IF(J26="策定済","✕",IF(H26="","？",IF(AND(H26&gt;=TGT_MIN,H26&lt;=TGT_MAX),IF(J26="着手済","△","◎"),"✕"))))</f>
        <v/>
      </c>
      <c r="E26" s="13">
        <f>IF(P26="計画なし","－",IF(P26="策定済","✕",IF(N26="","？",IF(AND(N26&gt;=TGT_MIN,N26&lt;=TGT_MAX),IF(P26="着手済","△","◎"),"✕"))))</f>
        <v/>
      </c>
      <c r="F26" s="11" t="inlineStr">
        <is>
          <t>筑西市地域公共交通計画</t>
        </is>
      </c>
      <c r="G26" s="11" t="inlineStr">
        <is>
          <t>不明</t>
        </is>
      </c>
      <c r="H26" s="13" t="n"/>
      <c r="I26" s="13" t="inlineStr">
        <is>
          <t>不明</t>
        </is>
      </c>
      <c r="J26" s="13" t="inlineStr">
        <is>
          <t>着手済</t>
        </is>
      </c>
      <c r="K26" s="14" t="inlineStr">
        <is>
          <t>https://www.city.chikusei.lg.jp/machidukuri/traffic/page009177.html</t>
        </is>
      </c>
      <c r="L26" s="11" t="inlineStr">
        <is>
          <t>第2次筑西市環境基本計画</t>
        </is>
      </c>
      <c r="M26" s="11" t="inlineStr">
        <is>
          <t>不明</t>
        </is>
      </c>
      <c r="N26" s="13" t="n"/>
      <c r="O26" s="13" t="inlineStr">
        <is>
          <t>不明</t>
        </is>
      </c>
      <c r="P26" s="13" t="inlineStr">
        <is>
          <t>未確認</t>
        </is>
      </c>
      <c r="Q26" s="11" t="n"/>
      <c r="R26" s="11" t="inlineStr">
        <is>
          <t>「第2次筑西市地域公共交通計画策定支援業務委託」公募型プロポーザル実施（事業者選定済）https://www.city.chikusei.lg.jp/jigyousha/proposal/proposal-project/page012557.html 。現行交通計画の期間は検索結果で確認できず（目標達成状況をR6末時点で公表）。環境基本計画は第2次策定済だが期間・URL未確認（所管：環境課）。 【R8.9再調査】環境：筑西市環境基本条例（平成27年3月25日条例第6号）は確認（https://www.cas.go.jp/jp/seisaku/gmpp/pdf/activities/ordinances/cases/254.pdf）が、第2次環境基本計画の期間・URL・次期計画作業は検索結果で確認できず（6回検索、筑後市等の類似名のみ）。 【追加調査 2026-10】【2026-10-02 task3再調査】市サイト内検索で「第２次筑西市環境基本計画を策定しました」の記載を確認（環境課環境保全係所管、https://www.city.chikusei.lg.jp/section.php?code=18 、https://www.city.chikusei.lg.jp/news.php?code=3736 、筑西市の環境 https://www.city.chikusei.lg.jp/gyousei/measures/page000196.html）。検索要約で掲載日2024-04-01との記述が1回あり（R6年度開始の可能性、未確認）。計画期間は検索結果で確認できず。市サイトはWebFetch不可（egress blocked）。次期計画作業は該当なし（R6策定なら終期は先）。筑後市等の類似名は除外。</t>
        </is>
      </c>
      <c r="S26" s="15" t="inlineStr">
        <is>
          <t>調査済</t>
        </is>
      </c>
      <c r="T26" s="11" t="inlineStr">
        <is>
          <t>掲載</t>
        </is>
      </c>
    </row>
    <row r="27">
      <c r="A27" s="11" t="n">
        <v>24</v>
      </c>
      <c r="B27" s="11" t="inlineStr">
        <is>
          <t>坂東市</t>
        </is>
      </c>
      <c r="C27" s="12">
        <f>IF(OR(D27="◎",E27="◎"),"◎ 営業",IF(OR(D27="△",E27="△"),"△ 着手済・要確認",IF(OR(D27="？",E27="？"),"？ 期間要確認","✕ 対象外")))</f>
        <v/>
      </c>
      <c r="D27" s="13">
        <f>IF(J27="計画なし","－",IF(J27="策定済","✕",IF(H27="","？",IF(AND(H27&gt;=TGT_MIN,H27&lt;=TGT_MAX),IF(J27="着手済","△","◎"),"✕"))))</f>
        <v/>
      </c>
      <c r="E27" s="13">
        <f>IF(P27="計画なし","－",IF(P27="策定済","✕",IF(N27="","？",IF(AND(N27&gt;=TGT_MIN,N27&lt;=TGT_MAX),IF(P27="着手済","△","◎"),"✕"))))</f>
        <v/>
      </c>
      <c r="F27" s="11" t="inlineStr">
        <is>
          <t>坂東市地域公共交通網形成計画</t>
        </is>
      </c>
      <c r="G27" s="11" t="inlineStr">
        <is>
          <t>R2〜R11</t>
        </is>
      </c>
      <c r="H27" s="13" t="n">
        <v>11</v>
      </c>
      <c r="I27" s="13" t="inlineStr">
        <is>
          <t>確認済</t>
        </is>
      </c>
      <c r="J27" s="13" t="inlineStr">
        <is>
          <t>未確認</t>
        </is>
      </c>
      <c r="K27" s="14" t="inlineStr">
        <is>
          <t>https://www.city.bando.lg.jp/page/page006076.html</t>
        </is>
      </c>
      <c r="L27" s="11" t="inlineStr">
        <is>
          <t>坂東市環境基本計画（第2期）</t>
        </is>
      </c>
      <c r="M27" s="11" t="inlineStr">
        <is>
          <t>R6〜R15</t>
        </is>
      </c>
      <c r="N27" s="16" t="n">
        <v>15</v>
      </c>
      <c r="O27" s="13" t="inlineStr">
        <is>
          <t>推定</t>
        </is>
      </c>
      <c r="P27" s="13" t="inlineStr">
        <is>
          <t>未確認</t>
        </is>
      </c>
      <c r="Q27" s="14" t="inlineStr">
        <is>
          <t>https://www.city.bando.lg.jp/page/page010074.html</t>
        </is>
      </c>
      <c r="R27" s="11" t="inlineStr">
        <is>
          <t>交通は網形成計画（R2.3策定、10年）のまま。旧環境基本計画はH25〜（10年）で期間終了に伴い新計画策定（パブコメ結果 https://www.city.bando.lg.jp/page/page009872.html ）。新計画の期間は推定。</t>
        </is>
      </c>
      <c r="S27" s="15" t="inlineStr">
        <is>
          <t>調査済</t>
        </is>
      </c>
      <c r="T27" s="11" t="inlineStr">
        <is>
          <t>掲載</t>
        </is>
      </c>
    </row>
    <row r="28">
      <c r="A28" s="11" t="n">
        <v>25</v>
      </c>
      <c r="B28" s="11" t="inlineStr">
        <is>
          <t>稲敷市</t>
        </is>
      </c>
      <c r="C28" s="12">
        <f>IF(OR(D28="◎",E28="◎"),"◎ 営業",IF(OR(D28="△",E28="△"),"△ 着手済・要確認",IF(OR(D28="？",E28="？"),"？ 期間要確認","✕ 対象外")))</f>
        <v/>
      </c>
      <c r="D28" s="13">
        <f>IF(J28="計画なし","－",IF(J28="策定済","✕",IF(H28="","？",IF(AND(H28&gt;=TGT_MIN,H28&lt;=TGT_MAX),IF(J28="着手済","△","◎"),"✕"))))</f>
        <v/>
      </c>
      <c r="E28" s="13">
        <f>IF(P28="計画なし","－",IF(P28="策定済","✕",IF(N28="","？",IF(AND(N28&gt;=TGT_MIN,N28&lt;=TGT_MAX),IF(P28="着手済","△","◎"),"✕"))))</f>
        <v/>
      </c>
      <c r="F28" s="11" t="inlineStr">
        <is>
          <t>稲敷市地域公共交通計画</t>
        </is>
      </c>
      <c r="G28" s="11" t="inlineStr">
        <is>
          <t>不明</t>
        </is>
      </c>
      <c r="H28" s="13" t="n"/>
      <c r="I28" s="13" t="inlineStr">
        <is>
          <t>不明</t>
        </is>
      </c>
      <c r="J28" s="13" t="inlineStr">
        <is>
          <t>未確認</t>
        </is>
      </c>
      <c r="K28" s="14" t="inlineStr">
        <is>
          <t>https://www.city.inashiki.lg.jp/page/page004756.html</t>
        </is>
      </c>
      <c r="L28" s="11" t="inlineStr">
        <is>
          <t>稲敷市環境基本計画</t>
        </is>
      </c>
      <c r="M28" s="11" t="inlineStr">
        <is>
          <t>R3〜R12</t>
        </is>
      </c>
      <c r="N28" s="16" t="n">
        <v>12</v>
      </c>
      <c r="O28" s="13" t="inlineStr">
        <is>
          <t>推定</t>
        </is>
      </c>
      <c r="P28" s="13" t="inlineStr">
        <is>
          <t>未確認</t>
        </is>
      </c>
      <c r="Q28" s="14" t="inlineStr">
        <is>
          <t>https://www.city.inashiki.lg.jp/page/page007577.html</t>
        </is>
      </c>
      <c r="R28" s="11" t="inlineStr">
        <is>
          <t>交通計画はH28網形成計画の後継として策定、R5.4一部改訂（あずまコミュニティバス再編）。期間未確認。環境基本計画はR3.3策定（期間未確認）。次期計画作業は未確認（検索上限で深掘り不可）。 【追加調査 2026-10】[2026-10-02] 内閣官房 水循環計画公表資料(稲敷市)で『稲敷市環境基本計画(R3.3策定)』を確認 https://www.kantei.go.jp/jp/singi/mizu_junkan/kouhyou2/pdf/plan13-02.pdf 。期間は検索本文で確認できず、10年計画と仮定しR3〜R12を推定。市サイト・官邸PDFはWebFetchブロック。終期R12推定のため次期着手は対象外（未調査）。 根拠: 稲敷市環境基本計画（R3.3）</t>
        </is>
      </c>
      <c r="S28" s="15" t="inlineStr">
        <is>
          <t>調査済</t>
        </is>
      </c>
      <c r="T28" s="11" t="inlineStr">
        <is>
          <t>掲載</t>
        </is>
      </c>
    </row>
    <row r="29">
      <c r="A29" s="11" t="n">
        <v>26</v>
      </c>
      <c r="B29" s="11" t="inlineStr">
        <is>
          <t>かすみがうら市</t>
        </is>
      </c>
      <c r="C29" s="12">
        <f>IF(OR(D29="◎",E29="◎"),"◎ 営業",IF(OR(D29="△",E29="△"),"△ 着手済・要確認",IF(OR(D29="？",E29="？"),"？ 期間要確認","✕ 対象外")))</f>
        <v/>
      </c>
      <c r="D29" s="13">
        <f>IF(J29="計画なし","－",IF(J29="策定済","✕",IF(H29="","？",IF(AND(H29&gt;=TGT_MIN,H29&lt;=TGT_MAX),IF(J29="着手済","△","◎"),"✕"))))</f>
        <v/>
      </c>
      <c r="E29" s="13">
        <f>IF(P29="計画なし","－",IF(P29="策定済","✕",IF(N29="","？",IF(AND(N29&gt;=TGT_MIN,N29&lt;=TGT_MAX),IF(P29="着手済","△","◎"),"✕"))))</f>
        <v/>
      </c>
      <c r="F29" s="11" t="inlineStr">
        <is>
          <t>かすみがうら市地域公共交通計画</t>
        </is>
      </c>
      <c r="G29" s="11" t="inlineStr">
        <is>
          <t>R3〜R7（R8まで1年延長を検討）</t>
        </is>
      </c>
      <c r="H29" s="16" t="n">
        <v>8</v>
      </c>
      <c r="I29" s="13" t="inlineStr">
        <is>
          <t>推定</t>
        </is>
      </c>
      <c r="J29" s="13" t="inlineStr">
        <is>
          <t>着手済</t>
        </is>
      </c>
      <c r="K29" s="14" t="inlineStr">
        <is>
          <t>https://www.city.kasumigaura.lg.jp/data/doc/1605678793_doc_10_1.pdf</t>
        </is>
      </c>
      <c r="L29" s="11" t="inlineStr">
        <is>
          <t>かすみがうら市第Ⅱ期環境基本計画（気候変動適応計画・生物多様性地域戦略を包含）</t>
        </is>
      </c>
      <c r="M29" s="11" t="inlineStr">
        <is>
          <t>R7〜R16</t>
        </is>
      </c>
      <c r="N29" s="13" t="n">
        <v>16</v>
      </c>
      <c r="O29" s="13" t="inlineStr">
        <is>
          <t>確認済</t>
        </is>
      </c>
      <c r="P29" s="13" t="inlineStr">
        <is>
          <t>策定済</t>
        </is>
      </c>
      <c r="Q29" s="14" t="inlineStr">
        <is>
          <t>https://www.city.kasumigaura.lg.jp/data/doc/1736999768_doc_11_0.pdf</t>
        </is>
      </c>
      <c r="R29" s="11" t="inlineStr">
        <is>
          <t>交通: 現計画R3〜R7を、交通環境の変化を次期(第2次)計画へ反映させるため1年延長する方向で地域公共交通会議で検討（R7秋頃資料 https://www.city.kasumigaura.lg.jp/data/doc/1761039730_doc_36_0.pdf）→第2次計画はR8年度策定作業中と推定。t_urlは現計画関連PDFと推定（内容未検証）。前身は網形成計画H28〜R2。環境: 第Ⅱ期R7〜R16で策定済、R9終了ではない。</t>
        </is>
      </c>
      <c r="S29" s="15" t="inlineStr">
        <is>
          <t>調査済</t>
        </is>
      </c>
      <c r="T29" s="11" t="inlineStr">
        <is>
          <t>掲載</t>
        </is>
      </c>
    </row>
    <row r="30">
      <c r="A30" s="11" t="n">
        <v>27</v>
      </c>
      <c r="B30" s="11" t="inlineStr">
        <is>
          <t>桜川市</t>
        </is>
      </c>
      <c r="C30" s="12">
        <f>IF(OR(D30="◎",E30="◎"),"◎ 営業",IF(OR(D30="△",E30="△"),"△ 着手済・要確認",IF(OR(D30="？",E30="？"),"？ 期間要確認","✕ 対象外")))</f>
        <v/>
      </c>
      <c r="D30" s="13">
        <f>IF(J30="計画なし","－",IF(J30="策定済","✕",IF(H30="","？",IF(AND(H30&gt;=TGT_MIN,H30&lt;=TGT_MAX),IF(J30="着手済","△","◎"),"✕"))))</f>
        <v/>
      </c>
      <c r="E30" s="13">
        <f>IF(P30="計画なし","－",IF(P30="策定済","✕",IF(N30="","？",IF(AND(N30&gt;=TGT_MIN,N30&lt;=TGT_MAX),IF(P30="着手済","△","◎"),"✕"))))</f>
        <v/>
      </c>
      <c r="F30" s="11" t="inlineStr">
        <is>
          <t>桜川市地域公共交通計画</t>
        </is>
      </c>
      <c r="G30" s="11" t="inlineStr">
        <is>
          <t>R4〜R8</t>
        </is>
      </c>
      <c r="H30" s="16" t="n">
        <v>8</v>
      </c>
      <c r="I30" s="13" t="inlineStr">
        <is>
          <t>推定</t>
        </is>
      </c>
      <c r="J30" s="13" t="inlineStr">
        <is>
          <t>未確認</t>
        </is>
      </c>
      <c r="K30" s="14" t="inlineStr">
        <is>
          <t>https://www.city.sakuragawa.lg.jp/sys/public/data/doc/1641257134_0.pdf</t>
        </is>
      </c>
      <c r="L30" s="11" t="inlineStr">
        <is>
          <t>第2次桜川市環境基本計画</t>
        </is>
      </c>
      <c r="M30" s="11" t="inlineStr">
        <is>
          <t>R2〜R11</t>
        </is>
      </c>
      <c r="N30" s="13" t="n">
        <v>11</v>
      </c>
      <c r="O30" s="13" t="inlineStr">
        <is>
          <t>確認済</t>
        </is>
      </c>
      <c r="P30" s="13" t="inlineStr">
        <is>
          <t>未確認</t>
        </is>
      </c>
      <c r="Q30" s="14" t="inlineStr">
        <is>
          <t>https://www.city.sakuragawa.lg.jp/sys/public/data/doc/1578273137_0.pdf</t>
        </is>
      </c>
      <c r="R30" s="11" t="inlineStr">
        <is>
          <t>交通: 令和4年1月策定（期間は5年と推定、終期R8なら次期計画策定がR8に進行中の可能性あるが根拠未確認）。前身は網形成計画(H28.3)。環境: 第2次R2〜R11（2020〜2029年度）。</t>
        </is>
      </c>
      <c r="S30" s="15" t="inlineStr">
        <is>
          <t>調査済</t>
        </is>
      </c>
      <c r="T30" s="11" t="inlineStr">
        <is>
          <t>掲載</t>
        </is>
      </c>
    </row>
    <row r="31">
      <c r="A31" s="11" t="n">
        <v>28</v>
      </c>
      <c r="B31" s="11" t="inlineStr">
        <is>
          <t>神栖市</t>
        </is>
      </c>
      <c r="C31" s="12">
        <f>IF(OR(D31="◎",E31="◎"),"◎ 営業",IF(OR(D31="△",E31="△"),"△ 着手済・要確認",IF(OR(D31="？",E31="？"),"？ 期間要確認","✕ 対象外")))</f>
        <v/>
      </c>
      <c r="D31" s="13">
        <f>IF(J31="計画なし","－",IF(J31="策定済","✕",IF(H31="","？",IF(AND(H31&gt;=TGT_MIN,H31&lt;=TGT_MAX),IF(J31="着手済","△","◎"),"✕"))))</f>
        <v/>
      </c>
      <c r="E31" s="13">
        <f>IF(P31="計画なし","－",IF(P31="策定済","✕",IF(N31="","？",IF(AND(N31&gt;=TGT_MIN,N31&lt;=TGT_MAX),IF(P31="着手済","△","◎"),"✕"))))</f>
        <v/>
      </c>
      <c r="F31" s="11" t="inlineStr">
        <is>
          <t>神栖市地域公共交通計画（第2期）</t>
        </is>
      </c>
      <c r="G31" s="11" t="inlineStr">
        <is>
          <t>R8〜R12</t>
        </is>
      </c>
      <c r="H31" s="16" t="n">
        <v>12</v>
      </c>
      <c r="I31" s="13" t="inlineStr">
        <is>
          <t>推定</t>
        </is>
      </c>
      <c r="J31" s="13" t="inlineStr">
        <is>
          <t>策定済</t>
        </is>
      </c>
      <c r="K31" s="14" t="inlineStr">
        <is>
          <t>https://www.city.kamisu.ibaraki.jp/_res/projects/default_project/_page_/001/003/540/kokeikaku2.pdf</t>
        </is>
      </c>
      <c r="L31" s="11" t="inlineStr">
        <is>
          <t>神栖市環境基本計画</t>
        </is>
      </c>
      <c r="M31" s="11" t="inlineStr">
        <is>
          <t>R1〜R10</t>
        </is>
      </c>
      <c r="N31" s="16" t="n">
        <v>10</v>
      </c>
      <c r="O31" s="13" t="inlineStr">
        <is>
          <t>推定</t>
        </is>
      </c>
      <c r="P31" s="13" t="inlineStr">
        <is>
          <t>未確認</t>
        </is>
      </c>
      <c r="Q31" s="14" t="inlineStr">
        <is>
          <t>https://www.city.kamisu.ibaraki.jp/_res/projects/default_project/_page_/001/004/216/kamisushikankyoukihonkeikaku.pdf</t>
        </is>
      </c>
      <c r="R31" s="11" t="inlineStr">
        <is>
          <t>交通: 第1期R3〜R7満了に伴い第2期を令和8年3月策定（素案R8.1、パブコメR8.2.2〜3.3 https://www.city.kamisu.ibaraki.jp/_res/projects/default_project/_page_/001/013/467/public.pdf）。第2期の期間は5年と推定。環境: 平成31年3月策定・目標年度2028(R10)、中間見直し版あり https://www.city.kamisu.ibaraki.jp/_res/projects/default_project/_page_/001/004/216/kaitei_zentai.pdf 。R10終了ならR9に次期策定着手の可能性。</t>
        </is>
      </c>
      <c r="S31" s="15" t="inlineStr">
        <is>
          <t>調査済</t>
        </is>
      </c>
      <c r="T31" s="11" t="inlineStr">
        <is>
          <t>掲載</t>
        </is>
      </c>
    </row>
    <row r="32">
      <c r="A32" s="11" t="n">
        <v>29</v>
      </c>
      <c r="B32" s="11" t="inlineStr">
        <is>
          <t>行方市</t>
        </is>
      </c>
      <c r="C32" s="12">
        <f>IF(OR(D32="◎",E32="◎"),"◎ 営業",IF(OR(D32="△",E32="△"),"△ 着手済・要確認",IF(OR(D32="？",E32="？"),"？ 期間要確認","✕ 対象外")))</f>
        <v/>
      </c>
      <c r="D32" s="13">
        <f>IF(J32="計画なし","－",IF(J32="策定済","✕",IF(H32="","？",IF(AND(H32&gt;=TGT_MIN,H32&lt;=TGT_MAX),IF(J32="着手済","△","◎"),"✕"))))</f>
        <v/>
      </c>
      <c r="E32" s="13">
        <f>IF(P32="計画なし","－",IF(P32="策定済","✕",IF(N32="","？",IF(AND(N32&gt;=TGT_MIN,N32&lt;=TGT_MAX),IF(P32="着手済","△","◎"),"✕"))))</f>
        <v/>
      </c>
      <c r="F32" s="11" t="inlineStr">
        <is>
          <t>行方市地域公共交通計画</t>
        </is>
      </c>
      <c r="G32" s="11" t="inlineStr">
        <is>
          <t>不明</t>
        </is>
      </c>
      <c r="H32" s="13" t="n"/>
      <c r="I32" s="13" t="inlineStr">
        <is>
          <t>不明</t>
        </is>
      </c>
      <c r="J32" s="13" t="inlineStr">
        <is>
          <t>未確認</t>
        </is>
      </c>
      <c r="K32" s="11" t="n"/>
      <c r="L32" s="11" t="inlineStr">
        <is>
          <t>行方市環境基本計画</t>
        </is>
      </c>
      <c r="M32" s="11" t="inlineStr">
        <is>
          <t>H28〜R7（推定）</t>
        </is>
      </c>
      <c r="N32" s="16" t="n">
        <v>7</v>
      </c>
      <c r="O32" s="13" t="inlineStr">
        <is>
          <t>推定</t>
        </is>
      </c>
      <c r="P32" s="13" t="inlineStr">
        <is>
          <t>未確認</t>
        </is>
      </c>
      <c r="Q32" s="14" t="inlineStr">
        <is>
          <t>https://www.city.namegata.ibaraki.jp/page/page010706.html</t>
        </is>
      </c>
      <c r="R32" s="11" t="inlineStr">
        <is>
          <t>交通: 県資料で行方市は地域公共交通計画を策定し国交大臣へ送付済(R7.6末時点)とされるが名称・期間・URLは検索で確認できず。環境基本計画も検索でヒットせず（存否不明）。県の茨城県地域公共交通計画（R5〜R9、地域間幹線中心）が県全域を対象 https://www.pref.ibaraki.jp/kikaku/kotsuseisaku/chiikikoutsu/documents/2koukyoukoutuukeikaku.pdf 環境：H28.3策定・10年間、R3年度に中間見直し（期間は推定）。地域気候変動適応計画はR4〜R7。R7終了なら次期計画の状況要確認（検索では未確認）。</t>
        </is>
      </c>
      <c r="S32" s="15" t="inlineStr">
        <is>
          <t>調査済</t>
        </is>
      </c>
      <c r="T32" s="11" t="inlineStr">
        <is>
          <t>掲載</t>
        </is>
      </c>
    </row>
    <row r="33">
      <c r="A33" s="11" t="n">
        <v>30</v>
      </c>
      <c r="B33" s="11" t="inlineStr">
        <is>
          <t>鉾田市</t>
        </is>
      </c>
      <c r="C33" s="12">
        <f>IF(OR(D33="◎",E33="◎"),"◎ 営業",IF(OR(D33="△",E33="△"),"△ 着手済・要確認",IF(OR(D33="？",E33="？"),"？ 期間要確認","✕ 対象外")))</f>
        <v/>
      </c>
      <c r="D33" s="13">
        <f>IF(J33="計画なし","－",IF(J33="策定済","✕",IF(H33="","？",IF(AND(H33&gt;=TGT_MIN,H33&lt;=TGT_MAX),IF(J33="着手済","△","◎"),"✕"))))</f>
        <v/>
      </c>
      <c r="E33" s="13">
        <f>IF(P33="計画なし","－",IF(P33="策定済","✕",IF(N33="","？",IF(AND(N33&gt;=TGT_MIN,N33&lt;=TGT_MAX),IF(P33="着手済","△","◎"),"✕"))))</f>
        <v/>
      </c>
      <c r="F33" s="11" t="inlineStr">
        <is>
          <t>鉾田市地域公共交通計画</t>
        </is>
      </c>
      <c r="G33" s="11" t="inlineStr">
        <is>
          <t>R7〜R11</t>
        </is>
      </c>
      <c r="H33" s="13" t="n">
        <v>11</v>
      </c>
      <c r="I33" s="13" t="inlineStr">
        <is>
          <t>確認済</t>
        </is>
      </c>
      <c r="J33" s="13" t="inlineStr">
        <is>
          <t>策定済</t>
        </is>
      </c>
      <c r="K33" s="14" t="inlineStr">
        <is>
          <t>https://www.city.hokota.lg.jp/page/page007091.html</t>
        </is>
      </c>
      <c r="L33" s="11" t="inlineStr">
        <is>
          <t>鉾田市環境基本計画（改定）</t>
        </is>
      </c>
      <c r="M33" s="11" t="inlineStr">
        <is>
          <t>H29〜R8</t>
        </is>
      </c>
      <c r="N33" s="13" t="n">
        <v>8</v>
      </c>
      <c r="O33" s="13" t="inlineStr">
        <is>
          <t>確認済</t>
        </is>
      </c>
      <c r="P33" s="13" t="inlineStr">
        <is>
          <t>未確認</t>
        </is>
      </c>
      <c r="Q33" s="14" t="inlineStr">
        <is>
          <t>https://www.city.hokota.lg.jp/data/doc/1654669803_doc_37_0.pdf</t>
        </is>
      </c>
      <c r="R33" s="11" t="inlineStr">
        <is>
          <t>交通計画・環境基本計画とも検索で市の資料を確認できず（存否不明）。県の茨城県地域公共交通計画（R5〜R9、地域間幹線中心）が県全域を対象 https://www.pref.ibaraki.jp/kikaku/kotsuseisaku/chiikikoutsu/documents/2koukyoukoutuukeikaku.pdf 環境：H29〜R8（2017〜2026年度）の10年間、R4.3に中間見直し・地域気候変動適応計画(R4〜R8)を策定 https://www.city.hokota.lg.jp/page/page004956.html 。R8年度末で満了→次期計画の作業がR8に進行中の可能性大だが検索では未確認。 【追加調査 2026-10】交通：鉾田市地域公共交通計画（令和7年度から令和11年度）。前計画（地域公共交通網形成計画）がR6年度末で満了し更新。デマンド型乗合「ほこまる」等。 根拠: 鉾田市地域公共交通計画（令和7年度から令和11年度）</t>
        </is>
      </c>
      <c r="S33" s="15" t="inlineStr">
        <is>
          <t>調査済</t>
        </is>
      </c>
      <c r="T33" s="11" t="inlineStr">
        <is>
          <t>掲載</t>
        </is>
      </c>
    </row>
    <row r="34">
      <c r="A34" s="11" t="n">
        <v>31</v>
      </c>
      <c r="B34" s="11" t="inlineStr">
        <is>
          <t>つくばみらい市</t>
        </is>
      </c>
      <c r="C34" s="12">
        <f>IF(OR(D34="◎",E34="◎"),"◎ 営業",IF(OR(D34="△",E34="△"),"△ 着手済・要確認",IF(OR(D34="？",E34="？"),"？ 期間要確認","✕ 対象外")))</f>
        <v/>
      </c>
      <c r="D34" s="13">
        <f>IF(J34="計画なし","－",IF(J34="策定済","✕",IF(H34="","？",IF(AND(H34&gt;=TGT_MIN,H34&lt;=TGT_MAX),IF(J34="着手済","△","◎"),"✕"))))</f>
        <v/>
      </c>
      <c r="E34" s="13">
        <f>IF(P34="計画なし","－",IF(P34="策定済","✕",IF(N34="","？",IF(AND(N34&gt;=TGT_MIN,N34&lt;=TGT_MAX),IF(P34="着手済","△","◎"),"✕"))))</f>
        <v/>
      </c>
      <c r="F34" s="11" t="inlineStr">
        <is>
          <t>つくばみらい市地域公共交通計画</t>
        </is>
      </c>
      <c r="G34" s="11" t="inlineStr">
        <is>
          <t>R5〜R9</t>
        </is>
      </c>
      <c r="H34" s="13" t="n">
        <v>9</v>
      </c>
      <c r="I34" s="13" t="inlineStr">
        <is>
          <t>確認済</t>
        </is>
      </c>
      <c r="J34" s="13" t="inlineStr">
        <is>
          <t>未確認</t>
        </is>
      </c>
      <c r="K34" s="14" t="inlineStr">
        <is>
          <t>https://www.city.tsukubamirai.lg.jp/jyumin/shisetu-koutsu/koukyoukoutsu/page004893.html</t>
        </is>
      </c>
      <c r="L34" s="11" t="inlineStr">
        <is>
          <t>つくばみらい市環境基本計画（改訂版）</t>
        </is>
      </c>
      <c r="M34" s="11" t="inlineStr">
        <is>
          <t>H29〜R8（推定）</t>
        </is>
      </c>
      <c r="N34" s="16" t="n">
        <v>8</v>
      </c>
      <c r="O34" s="13" t="inlineStr">
        <is>
          <t>推定</t>
        </is>
      </c>
      <c r="P34" s="13" t="inlineStr">
        <is>
          <t>未確認</t>
        </is>
      </c>
      <c r="Q34" s="14" t="inlineStr">
        <is>
          <t>https://www.city.tsukubamirai.lg.jp/jyumin/gomi-kankyou-doubutsu/kankyouhozen/page000080.html</t>
        </is>
      </c>
      <c r="R34" s="11" t="inlineStr">
        <is>
          <t>交通計画・環境基本計画とも検索で市の資料を確認できず（存否不明）。県の茨城県地域公共交通計画（R5〜R9、地域間幹線中心）が県全域を対象 https://www.pref.ibaraki.jp/kikaku/kotsuseisaku/chiikikoutsu/documents/2koukyoukoutuukeikaku.pdf 環境：H19.3策定、10年経過でH28年度に見直し改訂（改訂版の期間は10年と推定＝R8終了の可能性）。区域施策編はR8.3策定・R8〜R12 https://www.city.tsukubamirai.lg.jp/data/doc/1772670871_doc_25_0.pdf 。次期環境基本計画の作業は未確認。 【追加調査 2026-10】交通：つくばみらい市地域公共交通計画、期間2023〜2027年度（R5〜R9、5年間）。H30.3策定の網形成計画を継承。R4年度にパブコメ実施 https://www.city.tsukubamirai.lg.jp/gyousei/public-comment/r04/page004683.html 計画書 https://www.city.tsukubamirai.lg.jp/data/doc/1683698412_doc_39_0.pdf 。次期計画の委託等は検索で確認できず（2026-10-02）。 計画書に「計画期間の満了時に本計画の更新を予定」。R8年度予算ページ（https://www.city.tsukubamirai.lg.jp/gyousei/zaisei/yosan/r08/page007397.html）検索でも改定予算の記述は確認できず。 根拠: 計画期間は2023年度から2027年度までの5年間</t>
        </is>
      </c>
      <c r="S34" s="15" t="inlineStr">
        <is>
          <t>調査済</t>
        </is>
      </c>
      <c r="T34" s="11" t="inlineStr">
        <is>
          <t>掲載</t>
        </is>
      </c>
    </row>
    <row r="35">
      <c r="A35" s="11" t="n">
        <v>32</v>
      </c>
      <c r="B35" s="11" t="inlineStr">
        <is>
          <t>小美玉市</t>
        </is>
      </c>
      <c r="C35" s="12">
        <f>IF(OR(D35="◎",E35="◎"),"◎ 営業",IF(OR(D35="△",E35="△"),"△ 着手済・要確認",IF(OR(D35="？",E35="？"),"？ 期間要確認","✕ 対象外")))</f>
        <v/>
      </c>
      <c r="D35" s="13">
        <f>IF(J35="計画なし","－",IF(J35="策定済","✕",IF(H35="","？",IF(AND(H35&gt;=TGT_MIN,H35&lt;=TGT_MAX),IF(J35="着手済","△","◎"),"✕"))))</f>
        <v/>
      </c>
      <c r="E35" s="13">
        <f>IF(P35="計画なし","－",IF(P35="策定済","✕",IF(N35="","？",IF(AND(N35&gt;=TGT_MIN,N35&lt;=TGT_MAX),IF(P35="着手済","△","◎"),"✕"))))</f>
        <v/>
      </c>
      <c r="F35" s="11" t="inlineStr">
        <is>
          <t>小美玉市地域公共交通計画</t>
        </is>
      </c>
      <c r="G35" s="11" t="inlineStr">
        <is>
          <t>R7〜R11</t>
        </is>
      </c>
      <c r="H35" s="13" t="n">
        <v>11</v>
      </c>
      <c r="I35" s="13" t="inlineStr">
        <is>
          <t>確認済</t>
        </is>
      </c>
      <c r="J35" s="13" t="inlineStr">
        <is>
          <t>策定済</t>
        </is>
      </c>
      <c r="K35" s="14" t="inlineStr">
        <is>
          <t>https://www.city.omitama.lg.jp/0102/info-0000010942-0.html</t>
        </is>
      </c>
      <c r="L35" s="11" t="inlineStr">
        <is>
          <t>小美玉市環境基本計画</t>
        </is>
      </c>
      <c r="M35" s="11" t="inlineStr">
        <is>
          <t>R3〜R12（推定）</t>
        </is>
      </c>
      <c r="N35" s="16" t="n">
        <v>12</v>
      </c>
      <c r="O35" s="13" t="inlineStr">
        <is>
          <t>推定</t>
        </is>
      </c>
      <c r="P35" s="13" t="inlineStr">
        <is>
          <t>未確認</t>
        </is>
      </c>
      <c r="Q35" s="14" t="inlineStr">
        <is>
          <t>https://www.city.omitama.lg.jp/manage/contents/upload/602de700e73ca.pdf</t>
        </is>
      </c>
      <c r="R35" s="11" t="inlineStr">
        <is>
          <t>交通計画・環境基本計画とも検索で市の資料を確認できず（存否不明）。県の茨城県地域公共交通計画（R5〜R9、地域間幹線中心）が県全域を対象 https://www.pref.ibaraki.jp/kikaku/kotsuseisaku/chiikikoutsu/documents/2koukyoukoutuukeikaku.pdf 環境：R3年3月策定（期間は10年と推定、原文未確認）。 【追加調査 2026-10】交通：小美玉市地域公共交通計画、期間R7〜R11（5年間）。案のパブコメ2025/1/16〜2/17 https://www.city.omitama.lg.jp/0045/info-0000011224-0.html 。R7.4からコミュニティバス「おみたん号」再編。 根拠: 令和7年度～令和11年度（5年間）</t>
        </is>
      </c>
      <c r="S35" s="15" t="inlineStr">
        <is>
          <t>調査済</t>
        </is>
      </c>
      <c r="T35" s="11" t="inlineStr">
        <is>
          <t>掲載</t>
        </is>
      </c>
    </row>
    <row r="36">
      <c r="A36" s="11" t="n">
        <v>33</v>
      </c>
      <c r="B36" s="11" t="inlineStr">
        <is>
          <t>茨城町</t>
        </is>
      </c>
      <c r="C36" s="12">
        <f>IF(OR(D36="◎",E36="◎"),"◎ 営業",IF(OR(D36="△",E36="△"),"△ 着手済・要確認",IF(OR(D36="？",E36="？"),"？ 期間要確認","✕ 対象外")))</f>
        <v/>
      </c>
      <c r="D36" s="13">
        <f>IF(J36="計画なし","－",IF(J36="策定済","✕",IF(H36="","？",IF(AND(H36&gt;=TGT_MIN,H36&lt;=TGT_MAX),IF(J36="着手済","△","◎"),"✕"))))</f>
        <v/>
      </c>
      <c r="E36" s="13">
        <f>IF(P36="計画なし","－",IF(P36="策定済","✕",IF(N36="","？",IF(AND(N36&gt;=TGT_MIN,N36&lt;=TGT_MAX),IF(P36="着手済","△","◎"),"✕"))))</f>
        <v/>
      </c>
      <c r="F36" s="11" t="n"/>
      <c r="G36" s="11" t="inlineStr">
        <is>
          <t>不明</t>
        </is>
      </c>
      <c r="H36" s="13" t="n"/>
      <c r="I36" s="13" t="inlineStr">
        <is>
          <t>不明</t>
        </is>
      </c>
      <c r="J36" s="13" t="inlineStr">
        <is>
          <t>未確認</t>
        </is>
      </c>
      <c r="K36" s="11" t="n"/>
      <c r="L36" s="11" t="inlineStr">
        <is>
          <t>茨城町環境基本計画</t>
        </is>
      </c>
      <c r="M36" s="11" t="inlineStr">
        <is>
          <t>H25〜R4</t>
        </is>
      </c>
      <c r="N36" s="13" t="n">
        <v>4</v>
      </c>
      <c r="O36" s="13" t="inlineStr">
        <is>
          <t>確認済</t>
        </is>
      </c>
      <c r="P36" s="13" t="inlineStr">
        <is>
          <t>未確認</t>
        </is>
      </c>
      <c r="Q36" s="14" t="inlineStr">
        <is>
          <t>https://www.town.ibaraki.lg.jp/gyousei/kurashitetuduki/gomirisaikle/keikaku/index.html</t>
        </is>
      </c>
      <c r="R36" s="11" t="inlineStr">
        <is>
          <t>交通計画・環境基本計画とも検索で町の資料を確認できず（存否不明）。循環型社会形成推進地域計画R2.4〜R7.3は確認 https://www.env.go.jp/recycle/waste/3r_network/5_region/project_list/08_ibaraki/09_ibarakimachi_r2.pdf 。県の茨城県地域公共交通計画（R5〜R9、地域間幹線中心）が県全域を対象 https://www.pref.ibaraki.jp/kikaku/kotsuseisaku/chiikikoutsu/documents/2koukyoukoutuukeikaku.pdf 環境：計画期間H25〜R4で満了済。後継（第2次）計画の有無・期間は検索で未確認。再生可能エネルギービジョンR6〜R15あり。</t>
        </is>
      </c>
      <c r="S36" s="18" t="inlineStr">
        <is>
          <t>環境のみ調査</t>
        </is>
      </c>
      <c r="T36" s="11" t="inlineStr">
        <is>
          <t>未掲載</t>
        </is>
      </c>
    </row>
    <row r="37">
      <c r="A37" s="11" t="n">
        <v>34</v>
      </c>
      <c r="B37" s="11" t="inlineStr">
        <is>
          <t>大洗町</t>
        </is>
      </c>
      <c r="C37" s="12">
        <f>IF(OR(D37="◎",E37="◎"),"◎ 営業",IF(OR(D37="△",E37="△"),"△ 着手済・要確認",IF(OR(D37="？",E37="？"),"？ 期間要確認","✕ 対象外")))</f>
        <v/>
      </c>
      <c r="D37" s="13">
        <f>IF(J37="計画なし","－",IF(J37="策定済","✕",IF(H37="","？",IF(AND(H37&gt;=TGT_MIN,H37&lt;=TGT_MAX),IF(J37="着手済","△","◎"),"✕"))))</f>
        <v/>
      </c>
      <c r="E37" s="13">
        <f>IF(P37="計画なし","－",IF(P37="策定済","✕",IF(N37="","？",IF(AND(N37&gt;=TGT_MIN,N37&lt;=TGT_MAX),IF(P37="着手済","△","◎"),"✕"))))</f>
        <v/>
      </c>
      <c r="F37" s="11" t="inlineStr">
        <is>
          <t>大洗町地域公共交通計画</t>
        </is>
      </c>
      <c r="G37" s="11" t="inlineStr">
        <is>
          <t>R6〜R10</t>
        </is>
      </c>
      <c r="H37" s="16" t="n">
        <v>10</v>
      </c>
      <c r="I37" s="13" t="inlineStr">
        <is>
          <t>推定</t>
        </is>
      </c>
      <c r="J37" s="13" t="inlineStr">
        <is>
          <t>着手済</t>
        </is>
      </c>
      <c r="K37" s="14" t="inlineStr">
        <is>
          <t>https://www.town.oarai.lg.jp/wp/wp-content/uploads/2023/07/%E5%A4%A7%E6%B4%97%E7%94%BA%E5%9C%B0%E5%9F%9F%E5%85%AC%E5%85%B1%E4%BA%A4%E9%80%9A%E8%A8%88%E7%94%BB.pdf</t>
        </is>
      </c>
      <c r="L37" s="11" t="inlineStr">
        <is>
          <t>第2次大洗町環境基本計画</t>
        </is>
      </c>
      <c r="M37" s="11" t="inlineStr">
        <is>
          <t>R1〜R10</t>
        </is>
      </c>
      <c r="N37" s="13" t="n">
        <v>10</v>
      </c>
      <c r="O37" s="13" t="inlineStr">
        <is>
          <t>確認済</t>
        </is>
      </c>
      <c r="P37" s="13" t="inlineStr">
        <is>
          <t>未確認</t>
        </is>
      </c>
      <c r="Q37" s="14" t="inlineStr">
        <is>
          <t>https://www.town.oarai.lg.jp/wp/wp-content/uploads/2021/03/%E7%AC%AC2%E6%AC%A1%E5%A4%A7%E6%B4%97%E7%94%BA%E7%92%B0%E5%A2%83%E5%9F%BA%E6%9C%AC%E8%A8%88%E7%94%BB%EF%BC%88PDF%EF%BC%89.pdf</t>
        </is>
      </c>
      <c r="R37" s="11" t="inlineStr">
        <is>
          <t>交通計画は2024年3月策定（期間はR6〜R10と推定、本文未確認）。町循環バス再編に伴い計画一部改定（案）のパブコメ実施・結果公表済、R8.10.1施行予定 https://www.town.oarai.lg.jp/cat1/koutsuu/ooaraimachichiikikoukyoukoutuukaigi/32819/ 。環境基本計画は第2次（2019.3策定、R1〜R10）で次期作業は未確認。</t>
        </is>
      </c>
      <c r="S37" s="15" t="inlineStr">
        <is>
          <t>調査済</t>
        </is>
      </c>
      <c r="T37" s="11" t="inlineStr">
        <is>
          <t>掲載</t>
        </is>
      </c>
    </row>
    <row r="38">
      <c r="A38" s="11" t="n">
        <v>35</v>
      </c>
      <c r="B38" s="11" t="inlineStr">
        <is>
          <t>城里町</t>
        </is>
      </c>
      <c r="C38" s="12">
        <f>IF(OR(D38="◎",E38="◎"),"◎ 営業",IF(OR(D38="△",E38="△"),"△ 着手済・要確認",IF(OR(D38="？",E38="？"),"？ 期間要確認","✕ 対象外")))</f>
        <v/>
      </c>
      <c r="D38" s="13">
        <f>IF(J38="計画なし","－",IF(J38="策定済","✕",IF(H38="","？",IF(AND(H38&gt;=TGT_MIN,H38&lt;=TGT_MAX),IF(J38="着手済","△","◎"),"✕"))))</f>
        <v/>
      </c>
      <c r="E38" s="13">
        <f>IF(P38="計画なし","－",IF(P38="策定済","✕",IF(N38="","？",IF(AND(N38&gt;=TGT_MIN,N38&lt;=TGT_MAX),IF(P38="着手済","△","◎"),"✕"))))</f>
        <v/>
      </c>
      <c r="F38" s="11" t="inlineStr">
        <is>
          <t>城里町地域公共交通計画</t>
        </is>
      </c>
      <c r="G38" s="11" t="inlineStr">
        <is>
          <t>R8〜R12</t>
        </is>
      </c>
      <c r="H38" s="16" t="n">
        <v>12</v>
      </c>
      <c r="I38" s="13" t="inlineStr">
        <is>
          <t>推定</t>
        </is>
      </c>
      <c r="J38" s="13" t="inlineStr">
        <is>
          <t>策定済</t>
        </is>
      </c>
      <c r="K38" s="14" t="inlineStr">
        <is>
          <t>https://www.town.shirosato.lg.jp/page/page006784.html</t>
        </is>
      </c>
      <c r="L38" s="11" t="inlineStr">
        <is>
          <t>城里町環境基本計画</t>
        </is>
      </c>
      <c r="M38" s="11" t="inlineStr">
        <is>
          <t>R3〜R12</t>
        </is>
      </c>
      <c r="N38" s="16" t="n">
        <v>12</v>
      </c>
      <c r="O38" s="13" t="inlineStr">
        <is>
          <t>推定</t>
        </is>
      </c>
      <c r="P38" s="13" t="inlineStr">
        <is>
          <t>未確認</t>
        </is>
      </c>
      <c r="Q38" s="14" t="inlineStr">
        <is>
          <t>https://www.town.shirosato.lg.jp/data/doc/1630301878_doc_711_0.pdf</t>
        </is>
      </c>
      <c r="R38" s="11" t="inlineStr">
        <is>
          <t>旧網形成計画（H28策定）がR7年度で満了したため、新しい地域公共交通計画を策定・公表済（期間R8〜R12はまだ推定） https://www.town.shirosato.lg.jp/page/page006764.html 。国交省関東運輸局の計画策定事業リストにも掲載あり https://wwwtb.mlit.go.jp/kanto/content/000322403.pdf 。環境基本計画はR3.3策定（期間R3〜R12は推定）。</t>
        </is>
      </c>
      <c r="S38" s="15" t="inlineStr">
        <is>
          <t>調査済</t>
        </is>
      </c>
      <c r="T38" s="11" t="inlineStr">
        <is>
          <t>掲載</t>
        </is>
      </c>
    </row>
    <row r="39">
      <c r="A39" s="11" t="n">
        <v>36</v>
      </c>
      <c r="B39" s="11" t="inlineStr">
        <is>
          <t>東海村</t>
        </is>
      </c>
      <c r="C39" s="12">
        <f>IF(OR(D39="◎",E39="◎"),"◎ 営業",IF(OR(D39="△",E39="△"),"△ 着手済・要確認",IF(OR(D39="？",E39="？"),"？ 期間要確認","✕ 対象外")))</f>
        <v/>
      </c>
      <c r="D39" s="13">
        <f>IF(J39="計画なし","－",IF(J39="策定済","✕",IF(H39="","？",IF(AND(H39&gt;=TGT_MIN,H39&lt;=TGT_MAX),IF(J39="着手済","△","◎"),"✕"))))</f>
        <v/>
      </c>
      <c r="E39" s="13">
        <f>IF(P39="計画なし","－",IF(P39="策定済","✕",IF(N39="","？",IF(AND(N39&gt;=TGT_MIN,N39&lt;=TGT_MAX),IF(P39="着手済","△","◎"),"✕"))))</f>
        <v/>
      </c>
      <c r="F39" s="11" t="inlineStr">
        <is>
          <t>東海村地域公共交通計画</t>
        </is>
      </c>
      <c r="G39" s="11" t="inlineStr">
        <is>
          <t>不明</t>
        </is>
      </c>
      <c r="H39" s="13" t="n"/>
      <c r="I39" s="13" t="inlineStr">
        <is>
          <t>不明</t>
        </is>
      </c>
      <c r="J39" s="13" t="inlineStr">
        <is>
          <t>未確認</t>
        </is>
      </c>
      <c r="K39" s="14" t="inlineStr">
        <is>
          <t>https://www.vill.tokai.ibaraki.jp/soshikikarasagasu/sangyobu/sangyoseisakuka/1/1_2/2/5673.html</t>
        </is>
      </c>
      <c r="L39" s="11" t="inlineStr">
        <is>
          <t>第4次東海村環境基本計画</t>
        </is>
      </c>
      <c r="M39" s="11" t="inlineStr">
        <is>
          <t>R8〜R17</t>
        </is>
      </c>
      <c r="N39" s="13" t="n">
        <v>17</v>
      </c>
      <c r="O39" s="13" t="inlineStr">
        <is>
          <t>確認済</t>
        </is>
      </c>
      <c r="P39" s="13" t="inlineStr">
        <is>
          <t>策定済</t>
        </is>
      </c>
      <c r="Q39" s="14" t="inlineStr">
        <is>
          <t>https://www.vill.tokai.ibaraki.jp/soshikikarasagasu/somminseikatsubu/kankyoseisakuka/1/1/4/11386.html</t>
        </is>
      </c>
      <c r="R39" s="11" t="inlineStr">
        <is>
          <t>交通計画はR3年2月にパブコメを行い策定。期間は未確認（旧網形成計画はH27〜H32）。第3次環境基本計画はR3〜R7で満了。第4次（R8〜R17）の案内ページあり https://www.vill.tokai.ibaraki.jp/soshikikarasagasu/somminseikatsubu/kankyoseisakuka/1/1/4/11386.html 。策定済と判断したが、策定時期は要確認。</t>
        </is>
      </c>
      <c r="S39" s="15" t="inlineStr">
        <is>
          <t>調査済</t>
        </is>
      </c>
      <c r="T39" s="11" t="inlineStr">
        <is>
          <t>掲載</t>
        </is>
      </c>
    </row>
    <row r="40">
      <c r="A40" s="11" t="n">
        <v>37</v>
      </c>
      <c r="B40" s="11" t="inlineStr">
        <is>
          <t>大子町</t>
        </is>
      </c>
      <c r="C40" s="12">
        <f>IF(OR(D40="◎",E40="◎"),"◎ 営業",IF(OR(D40="△",E40="△"),"△ 着手済・要確認",IF(OR(D40="？",E40="？"),"？ 期間要確認","✕ 対象外")))</f>
        <v/>
      </c>
      <c r="D40" s="13">
        <f>IF(J40="計画なし","－",IF(J40="策定済","✕",IF(H40="","？",IF(AND(H40&gt;=TGT_MIN,H40&lt;=TGT_MAX),IF(J40="着手済","△","◎"),"✕"))))</f>
        <v/>
      </c>
      <c r="E40" s="13">
        <f>IF(P40="計画なし","－",IF(P40="策定済","✕",IF(N40="","？",IF(AND(N40&gt;=TGT_MIN,N40&lt;=TGT_MAX),IF(P40="着手済","△","◎"),"✕"))))</f>
        <v/>
      </c>
      <c r="F40" s="11" t="inlineStr">
        <is>
          <t>大子町地域公共交通計画（及び大子町地域公共交通再編計画）</t>
        </is>
      </c>
      <c r="G40" s="11" t="inlineStr">
        <is>
          <t>不明</t>
        </is>
      </c>
      <c r="H40" s="13" t="n"/>
      <c r="I40" s="13" t="inlineStr">
        <is>
          <t>不明</t>
        </is>
      </c>
      <c r="J40" s="13" t="inlineStr">
        <is>
          <t>未確認</t>
        </is>
      </c>
      <c r="K40" s="14" t="inlineStr">
        <is>
          <t>https://www.town.daigo.ibaraki.jp/page/page002515.html</t>
        </is>
      </c>
      <c r="L40" s="11" t="inlineStr">
        <is>
          <t>大子町環境基本計画</t>
        </is>
      </c>
      <c r="M40" s="11" t="inlineStr">
        <is>
          <t>H30〜R9</t>
        </is>
      </c>
      <c r="N40" s="16" t="n">
        <v>9</v>
      </c>
      <c r="O40" s="13" t="inlineStr">
        <is>
          <t>推定</t>
        </is>
      </c>
      <c r="P40" s="13" t="inlineStr">
        <is>
          <t>未確認</t>
        </is>
      </c>
      <c r="Q40" s="14" t="inlineStr">
        <is>
          <t>https://www.town.daigo.ibaraki.jp/page/page003178.html</t>
        </is>
      </c>
      <c r="R40" s="11" t="inlineStr">
        <is>
          <t>検索では町独自の地域公共交通計画・環境基本計画とも確認できず（町サイトはインデックス少）。環境関連は循環型社会形成推進地域計画(H29〜R3)のみ確認 https://www.env.go.jp/recycle/waste/3r_network/5_region/project_list/08_ibaraki/10_daigo_h29.pdf 。環境基本計画は未策定の可能性。要町サイト直接確認。 【追加調査 2026-10】【2026-10-02調査】町HP「大子町地域公共交通計画及び再編計画について」 https://www.town.daigo.ibaraki.jp/page/page002515.html に、公共交通政策のマスタープランとして大子町地域公共交通計画、具体的な実施計画として再編計画を作成した旨の記載あり（検索要約ではページ日付2023/3/27との記載があるが、計画期間は本文で確認できず）。前身として地域公共交通網形成計画あり（大子町地域公共交通会議 https://www.town.daigo.ibaraki.jp/page/page000713.html 、H26.11第1回）。公共交通トップ https://www.town.daigo.ibaraki.jp/page/page001206.html 。町サイトはWebFetch不可（egress blocked）。次期計画の着手状況は未確認。関連：AI乗合タクシーたくまるR6.10リニューアル。 【追加調査 2026-10】[2026-10-02] 町サイトに『大子町環境基本計画』ページあり（H28.9制定の大子町環境基本条例に基づき策定、本編PDF・概要版あり）https://www.town.daigo.ibaraki.jp/page/page003178.html 。素案PDF『大子町環境基本計画 素案 平成30年3月』https://www.town.daigo.ibaraki.jp/data/doc/1525765232_doc_99_1.pdf 。期間は本文確認できず（町サイトWebFetch/curlブロック）、H30.3策定・10年と仮定しH30〜R9を推定（要確認）。次期計画：『第2次環境基本計画』の策定委託・審議会・パブコメは検索で見当たらず（未確認）。関連：ゼロカーボンシティ宣言(R4.8.31) https://www.town.daigo.ibaraki.jp/page/page006483.html 、大子町地域脱炭素ビジョン https://www.town.daigo.ibaraki.jp/page/page007352.html 。旧noteの『環境基本計画は未策定の可能性』は誤り。 根拠: 大子町環境基本計画 素案 平成30年3月 大子町／「大子町環境基本条例」の規定に基づき…「大子町環境基本計画」を策定しました</t>
        </is>
      </c>
      <c r="S40" s="15" t="inlineStr">
        <is>
          <t>調査済</t>
        </is>
      </c>
      <c r="T40" s="11" t="inlineStr">
        <is>
          <t>掲載</t>
        </is>
      </c>
    </row>
    <row r="41">
      <c r="A41" s="11" t="n">
        <v>38</v>
      </c>
      <c r="B41" s="11" t="inlineStr">
        <is>
          <t>美浦村</t>
        </is>
      </c>
      <c r="C41" s="12">
        <f>IF(OR(D41="◎",E41="◎"),"◎ 営業",IF(OR(D41="△",E41="△"),"△ 着手済・要確認",IF(OR(D41="？",E41="？"),"？ 期間要確認","✕ 対象外")))</f>
        <v/>
      </c>
      <c r="D41" s="13">
        <f>IF(J41="計画なし","－",IF(J41="策定済","✕",IF(H41="","？",IF(AND(H41&gt;=TGT_MIN,H41&lt;=TGT_MAX),IF(J41="着手済","△","◎"),"✕"))))</f>
        <v/>
      </c>
      <c r="E41" s="13">
        <f>IF(P41="計画なし","－",IF(P41="策定済","✕",IF(N41="","？",IF(AND(N41&gt;=TGT_MIN,N41&lt;=TGT_MAX),IF(P41="着手済","△","◎"),"✕"))))</f>
        <v/>
      </c>
      <c r="F41" s="11" t="n"/>
      <c r="G41" s="11" t="inlineStr">
        <is>
          <t>不明</t>
        </is>
      </c>
      <c r="H41" s="13" t="n"/>
      <c r="I41" s="13" t="inlineStr">
        <is>
          <t>不明</t>
        </is>
      </c>
      <c r="J41" s="13" t="inlineStr">
        <is>
          <t>未確認</t>
        </is>
      </c>
      <c r="K41" s="11" t="n"/>
      <c r="L41" s="11" t="n"/>
      <c r="M41" s="11" t="inlineStr">
        <is>
          <t>不明</t>
        </is>
      </c>
      <c r="N41" s="16" t="n"/>
      <c r="O41" s="13" t="inlineStr">
        <is>
          <t>推定</t>
        </is>
      </c>
      <c r="P41" s="13" t="inlineStr">
        <is>
          <t>計画なし</t>
        </is>
      </c>
      <c r="Q41" s="11" t="n"/>
      <c r="R41" s="11" t="inlineStr">
        <is>
          <t>村独自の地域公共交通計画・環境基本計画とも検索で確認できず（「美浦村環境基本計画」ヒットなし、未策定の可能性）。要村サイト直接確認。 【追加調査 2026-10】[2026-10-02] 村サイト(vill.miho.lg.jp)限定検索で『環境基本計画』該当ページなし。環境系は『第4次美浦村地球温暖化対策実行計画』 https://www.vill.miho.lg.jp/kurashi-kankyou/kankyou-bika/chikyuondanka/page002301.html 、美浦村環境美化条例(H26.4.1施行) https://www.vill.miho.lg.jp/page/page001333.html 、稲敷市・阿見町・美浦村 地域気候変動適応計画（共同、案の意見募集）のみ確認。環境基本条例も検索で確認できず。以上から環境基本計画は未策定と判断（村サイト・県白書はWebFetchブロックのため直接確認は未実施）。 根拠: 美浦村役場では…「第4次美浦村地球温暖化対策実行計画」を策定しました</t>
        </is>
      </c>
      <c r="S41" s="18" t="inlineStr">
        <is>
          <t>環境のみ調査</t>
        </is>
      </c>
      <c r="T41" s="11" t="inlineStr">
        <is>
          <t>未掲載</t>
        </is>
      </c>
    </row>
    <row r="42">
      <c r="A42" s="11" t="n">
        <v>39</v>
      </c>
      <c r="B42" s="11" t="inlineStr">
        <is>
          <t>阿見町</t>
        </is>
      </c>
      <c r="C42" s="12">
        <f>IF(OR(D42="◎",E42="◎"),"◎ 営業",IF(OR(D42="△",E42="△"),"△ 着手済・要確認",IF(OR(D42="？",E42="？"),"？ 期間要確認","✕ 対象外")))</f>
        <v/>
      </c>
      <c r="D42" s="13">
        <f>IF(J42="計画なし","－",IF(J42="策定済","✕",IF(H42="","？",IF(AND(H42&gt;=TGT_MIN,H42&lt;=TGT_MAX),IF(J42="着手済","△","◎"),"✕"))))</f>
        <v/>
      </c>
      <c r="E42" s="13">
        <f>IF(P42="計画なし","－",IF(P42="策定済","✕",IF(N42="","？",IF(AND(N42&gt;=TGT_MIN,N42&lt;=TGT_MAX),IF(P42="着手済","△","◎"),"✕"))))</f>
        <v/>
      </c>
      <c r="F42" s="11" t="inlineStr">
        <is>
          <t>阿見町地域公共交通計画</t>
        </is>
      </c>
      <c r="G42" s="11" t="inlineStr">
        <is>
          <t>R5〜R9</t>
        </is>
      </c>
      <c r="H42" s="16" t="n">
        <v>9</v>
      </c>
      <c r="I42" s="13" t="inlineStr">
        <is>
          <t>推定</t>
        </is>
      </c>
      <c r="J42" s="13" t="inlineStr">
        <is>
          <t>未確認</t>
        </is>
      </c>
      <c r="K42" s="14" t="inlineStr">
        <is>
          <t>https://www.town.ami.lg.jp/cmsfiles/contents/0000009/9640/keikaku.pdf</t>
        </is>
      </c>
      <c r="L42" s="11" t="inlineStr">
        <is>
          <t>第2次阿見町環境基本計画</t>
        </is>
      </c>
      <c r="M42" s="11" t="inlineStr">
        <is>
          <t>R3〜R12</t>
        </is>
      </c>
      <c r="N42" s="13" t="n">
        <v>12</v>
      </c>
      <c r="O42" s="13" t="inlineStr">
        <is>
          <t>確認済</t>
        </is>
      </c>
      <c r="P42" s="13" t="inlineStr">
        <is>
          <t>未確認</t>
        </is>
      </c>
      <c r="Q42" s="14" t="inlineStr">
        <is>
          <t>https://www.town.ami.lg.jp/cmsfiles/contents/0000012/12659/1syou.pdf</t>
        </is>
      </c>
      <c r="R42" s="11" t="inlineStr">
        <is>
          <t>交通計画はR5.2策定・R5〜R9年度でR9終了＝次期計画はR8〜R9に策定作業が必要。R8第1回活性化協議会(2026/6/1)資料 https://www.town.ami.lg.jp/cmsfiles/contents/0000009/9640/R8_dai1kaikyougikai_siryo.pdf ・会議録 R8_dai1kai_kaigiroku.pdf の検索要約ではR9確保維持事業計画が議題で、次期計画策定の明記は確認できず（資料内に含まれる可能性大、要確認）。環境基本計画は第1次がR3.3終了、第2次はR3年度から10年間。 【ファクトチェック 2026-10-01: 確認できず】確認期間: None／次期: 未確認（手がかりあり）：令和8年6月1日の令和8年度第1回阿見町地域公共交通活性化協議会で公共交通に関するアンケート調査結果を報告、R9確保維持事業計画を審議（https://www.town.ami.lg.jp/cmsfiles/cont／根拠: https://www.town.ami.lg.jp/cmsfiles/contents/0000009/9640/gaiyo.pdf 【追加調査 2026-10】【2026-10-02調査】検索4回で、町HP「阿見町の公共交通」 https://www.town.ami.lg.jp/0000009640.html にR5.2策定の記載は確認できたが、計画期間（R5〜R9）の本文抜粋は得られず推定のまま。町サイトはWebFetch不可。次期計画: R8予算の主な事業 https://www.town.ami.lg.jp/cmsfiles/contents/0000014/14878/04_R8_yosannoomonajigyo.pdf で「公共交通推進事業」（継続）28,689千円（前年23,227千円、約540万円増）、内容は公共交通推進に必要な調査研究・活性化協議会での協議と要約され、次期計画策定費を含む可能性があるが計画策定の明記は未確認。委託プロポ・パブコメは検索で見当たらず。</t>
        </is>
      </c>
      <c r="S42" s="15" t="inlineStr">
        <is>
          <t>調査済</t>
        </is>
      </c>
      <c r="T42" s="11" t="inlineStr">
        <is>
          <t>掲載</t>
        </is>
      </c>
    </row>
    <row r="43">
      <c r="A43" s="11" t="n">
        <v>40</v>
      </c>
      <c r="B43" s="11" t="inlineStr">
        <is>
          <t>河内町</t>
        </is>
      </c>
      <c r="C43" s="12">
        <f>IF(OR(D43="◎",E43="◎"),"◎ 営業",IF(OR(D43="△",E43="△"),"△ 着手済・要確認",IF(OR(D43="？",E43="？"),"？ 期間要確認","✕ 対象外")))</f>
        <v/>
      </c>
      <c r="D43" s="13">
        <f>IF(J43="計画なし","－",IF(J43="策定済","✕",IF(H43="","？",IF(AND(H43&gt;=TGT_MIN,H43&lt;=TGT_MAX),IF(J43="着手済","△","◎"),"✕"))))</f>
        <v/>
      </c>
      <c r="E43" s="13">
        <f>IF(P43="計画なし","－",IF(P43="策定済","✕",IF(N43="","？",IF(AND(N43&gt;=TGT_MIN,N43&lt;=TGT_MAX),IF(P43="着手済","△","◎"),"✕"))))</f>
        <v/>
      </c>
      <c r="F43" s="11" t="n"/>
      <c r="G43" s="11" t="inlineStr">
        <is>
          <t>不明</t>
        </is>
      </c>
      <c r="H43" s="13" t="n"/>
      <c r="I43" s="13" t="inlineStr">
        <is>
          <t>不明</t>
        </is>
      </c>
      <c r="J43" s="13" t="inlineStr">
        <is>
          <t>未確認</t>
        </is>
      </c>
      <c r="K43" s="11" t="n"/>
      <c r="L43" s="11" t="n"/>
      <c r="M43" s="11" t="inlineStr">
        <is>
          <t>不明</t>
        </is>
      </c>
      <c r="N43" s="16" t="n"/>
      <c r="O43" s="13" t="inlineStr">
        <is>
          <t>推定</t>
        </is>
      </c>
      <c r="P43" s="13" t="inlineStr">
        <is>
          <t>計画なし</t>
        </is>
      </c>
      <c r="Q43" s="11" t="n"/>
      <c r="R43" s="11" t="inlineStr">
        <is>
          <t>町独自の地域公共交通計画・環境基本計画とも検索で確認できず（県計画・地域再生計画のみヒット）。未策定の可能性。大阪府河内長野市等の誤ヒットに注意。 【追加調査 2026-10】[2026-10-02] 町サイト(town.ibaraki-kawachi.lg.jp)限定検索で『環境基本計画』『環境基本条例』該当なし。環境系計画は『河内町地球温暖化対策実行計画（事務事業編）』（2030年度に2016年度比50%削減目標）https://www.town.ibaraki-kawachi.lg.jp/page/page001685.html と『河内町ごみ処理基本計画』https://www.town.ibaraki-kawachi.lg.jp/page/page002289.html のみ確認。以上から環境基本計画は未策定と判断（町サイトの直接閲覧は未実施）。大阪府河内長野市のヒットは除外。 根拠: 河内町地球温暖化対策実行計画（事務事業編）…2030年度までに2016年度比50%削減</t>
        </is>
      </c>
      <c r="S43" s="18" t="inlineStr">
        <is>
          <t>環境のみ調査</t>
        </is>
      </c>
      <c r="T43" s="11" t="inlineStr">
        <is>
          <t>未掲載</t>
        </is>
      </c>
    </row>
    <row r="44">
      <c r="A44" s="11" t="n">
        <v>41</v>
      </c>
      <c r="B44" s="11" t="inlineStr">
        <is>
          <t>八千代町</t>
        </is>
      </c>
      <c r="C44" s="12">
        <f>IF(OR(D44="◎",E44="◎"),"◎ 営業",IF(OR(D44="△",E44="△"),"△ 着手済・要確認",IF(OR(D44="？",E44="？"),"？ 期間要確認","✕ 対象外")))</f>
        <v/>
      </c>
      <c r="D44" s="13">
        <f>IF(J44="計画なし","－",IF(J44="策定済","✕",IF(H44="","？",IF(AND(H44&gt;=TGT_MIN,H44&lt;=TGT_MAX),IF(J44="着手済","△","◎"),"✕"))))</f>
        <v/>
      </c>
      <c r="E44" s="13">
        <f>IF(P44="計画なし","－",IF(P44="策定済","✕",IF(N44="","？",IF(AND(N44&gt;=TGT_MIN,N44&lt;=TGT_MAX),IF(P44="着手済","△","◎"),"✕"))))</f>
        <v/>
      </c>
      <c r="F44" s="11" t="inlineStr">
        <is>
          <t>八千代町地域公共交通計画（策定事業・名称未確認）</t>
        </is>
      </c>
      <c r="G44" s="11" t="inlineStr">
        <is>
          <t>不明</t>
        </is>
      </c>
      <c r="H44" s="13" t="n"/>
      <c r="I44" s="13" t="inlineStr">
        <is>
          <t>不明</t>
        </is>
      </c>
      <c r="J44" s="13" t="inlineStr">
        <is>
          <t>着手済</t>
        </is>
      </c>
      <c r="K44" s="11" t="n"/>
      <c r="L44" s="11" t="n"/>
      <c r="M44" s="11" t="inlineStr">
        <is>
          <t>不明</t>
        </is>
      </c>
      <c r="N44" s="13" t="n"/>
      <c r="O44" s="13" t="inlineStr">
        <is>
          <t>不明</t>
        </is>
      </c>
      <c r="P44" s="13" t="inlineStr">
        <is>
          <t>未確認</t>
        </is>
      </c>
      <c r="Q44" s="11" t="n"/>
      <c r="R44" s="11" t="inlineStr">
        <is>
          <t>関東運輸局「地域公共交通計画策定事業」一覧に八千代町公共交通会議が掲載 https://wwwtb.mlit.go.jp/kanto/content/000322403.pdf（R6.1頃）→計画策定作業中または策定済の可能性。計画期間・本文URLは未確認。千葉県八千代市（計画R6〜R10）の誤ヒット多数に注意。環境基本計画は検索で確認できず。 【追加調査 2026-10】環境基本計画：2026-10-02 再調査（WebSearch約6回）でも茨城県八千代町（公式 https://www.town.ibaraki-yachiyo.lg.jp/ ）の環境基本計画・環境基本条例・区域施策編は検索で確認できず。総合計画ページ https://www.town.ibaraki-yachiyo.lg.jp/page/dir000252.html の検索要約では第6次総合計画（R3〜R12）、公共施設等総合管理計画、男女共同参画プラン等は掲載されるが環境基本計画の記載なし→未策定の可能性が高いが計画一覧全体は未確認のため計画なしとは断定せず。千葉県八千代市（環境保全計画・区域施策編）の誤ヒット多数に注意。町サイトは取得ブロック。</t>
        </is>
      </c>
      <c r="S44" s="18" t="inlineStr">
        <is>
          <t>交通のみ調査</t>
        </is>
      </c>
      <c r="T44" s="11" t="inlineStr">
        <is>
          <t>掲載</t>
        </is>
      </c>
    </row>
    <row r="45">
      <c r="A45" s="11" t="n">
        <v>42</v>
      </c>
      <c r="B45" s="11" t="inlineStr">
        <is>
          <t>五霞町</t>
        </is>
      </c>
      <c r="C45" s="12">
        <f>IF(OR(D45="◎",E45="◎"),"◎ 営業",IF(OR(D45="△",E45="△"),"△ 着手済・要確認",IF(OR(D45="？",E45="？"),"？ 期間要確認","✕ 対象外")))</f>
        <v/>
      </c>
      <c r="D45" s="13">
        <f>IF(J45="計画なし","－",IF(J45="策定済","✕",IF(H45="","？",IF(AND(H45&gt;=TGT_MIN,H45&lt;=TGT_MAX),IF(J45="着手済","△","◎"),"✕"))))</f>
        <v/>
      </c>
      <c r="E45" s="13">
        <f>IF(P45="計画なし","－",IF(P45="策定済","✕",IF(N45="","？",IF(AND(N45&gt;=TGT_MIN,N45&lt;=TGT_MAX),IF(P45="着手済","△","◎"),"✕"))))</f>
        <v/>
      </c>
      <c r="F45" s="11" t="inlineStr">
        <is>
          <t>五霞町地域公共交通計画</t>
        </is>
      </c>
      <c r="G45" s="11" t="inlineStr">
        <is>
          <t>R5〜R9</t>
        </is>
      </c>
      <c r="H45" s="16" t="n">
        <v>9</v>
      </c>
      <c r="I45" s="13" t="inlineStr">
        <is>
          <t>推定</t>
        </is>
      </c>
      <c r="J45" s="13" t="inlineStr">
        <is>
          <t>未確認</t>
        </is>
      </c>
      <c r="K45" s="14" t="inlineStr">
        <is>
          <t>https://www.town.goka.lg.jp/data/doc/1690350530_doc_20_0.pdf</t>
        </is>
      </c>
      <c r="L45" s="11" t="inlineStr">
        <is>
          <t>五霞町環境基本計画（改定版）</t>
        </is>
      </c>
      <c r="M45" s="11" t="inlineStr">
        <is>
          <t>R5〜R14</t>
        </is>
      </c>
      <c r="N45" s="13" t="n">
        <v>14</v>
      </c>
      <c r="O45" s="13" t="inlineStr">
        <is>
          <t>確認済</t>
        </is>
      </c>
      <c r="P45" s="13" t="inlineStr">
        <is>
          <t>未確認</t>
        </is>
      </c>
      <c r="Q45" s="14" t="inlineStr">
        <is>
          <t>https://www.town.goka.lg.jp/data/doc/1684388643_doc_20_0.pdf</t>
        </is>
      </c>
      <c r="R45" s="11" t="inlineStr">
        <is>
          <t>交通計画はR5.3策定・R6.5変更（変更版とみられるPDF https://www.town.goka.lg.jp/data/doc/1737593680_doc_20_0.pdf ）。期間は5年と推定しR9終了の可能性→要確認。前身はH26網形成計画。環境基本計画はH25版を改定しR5〜R14の10年間（検索要約で確認、根拠PDFはgoka.lg.jp内の候補の一つで特定不十分）。 【ファクトチェック 2026-10-01: 確認できず】確認期間: None／次期: 確認できず／根拠: https://www.town.goka.lg.jp/kurashi-machi-shigoto/kurashi/kurashi-tetsuzuki/lifeline/koukyoukoutsuu/page005231.html 【追加調査 2026-10】【2026-10-02調査】検索3回で「五霞町地域公共交通計画を策定しました」の存在は確認できたが、計画期間の本文抜粋は得られず推定のまま（検索要約に出た2025/4/1〜2030/3/31は第2期まち・ひと・しごと創生推進計画（地域再生計画）の期間で交通計画ではない）。町サイトはWebFetch不可。関連: ごかりん号にR6.1新たな移動サービス導入 https://www.town.goka.lg.jp/page/page005160.html 。次期計画の委託・パブコメ等は検索で見当たらず。</t>
        </is>
      </c>
      <c r="S45" s="15" t="inlineStr">
        <is>
          <t>調査済</t>
        </is>
      </c>
      <c r="T45" s="11" t="inlineStr">
        <is>
          <t>掲載</t>
        </is>
      </c>
    </row>
    <row r="46">
      <c r="A46" s="11" t="n">
        <v>43</v>
      </c>
      <c r="B46" s="11" t="inlineStr">
        <is>
          <t>境町</t>
        </is>
      </c>
      <c r="C46" s="12">
        <f>IF(OR(D46="◎",E46="◎"),"◎ 営業",IF(OR(D46="△",E46="△"),"△ 着手済・要確認",IF(OR(D46="？",E46="？"),"？ 期間要確認","✕ 対象外")))</f>
        <v/>
      </c>
      <c r="D46" s="13">
        <f>IF(J46="計画なし","－",IF(J46="策定済","✕",IF(H46="","？",IF(AND(H46&gt;=TGT_MIN,H46&lt;=TGT_MAX),IF(J46="着手済","△","◎"),"✕"))))</f>
        <v/>
      </c>
      <c r="E46" s="13">
        <f>IF(P46="計画なし","－",IF(P46="策定済","✕",IF(N46="","？",IF(AND(N46&gt;=TGT_MIN,N46&lt;=TGT_MAX),IF(P46="着手済","△","◎"),"✕"))))</f>
        <v/>
      </c>
      <c r="F46" s="11" t="n"/>
      <c r="G46" s="11" t="inlineStr">
        <is>
          <t>不明</t>
        </is>
      </c>
      <c r="H46" s="13" t="n"/>
      <c r="I46" s="13" t="inlineStr">
        <is>
          <t>不明</t>
        </is>
      </c>
      <c r="J46" s="13" t="inlineStr">
        <is>
          <t>未確認</t>
        </is>
      </c>
      <c r="K46" s="11" t="n"/>
      <c r="L46" s="11" t="n"/>
      <c r="M46" s="11" t="inlineStr">
        <is>
          <t>不明</t>
        </is>
      </c>
      <c r="N46" s="13" t="n"/>
      <c r="O46" s="13" t="inlineStr">
        <is>
          <t>不明</t>
        </is>
      </c>
      <c r="P46" s="13" t="inlineStr">
        <is>
          <t>未確認</t>
        </is>
      </c>
      <c r="Q46" s="11" t="n"/>
      <c r="R46" s="11" t="inlineStr">
        <is>
          <t>茨城県猿島郡境町。町独自の地域公共交通計画・環境基本計画とも検索で確認できず。自動運転バス定常運行(2020.11〜)の先進事例だが法定計画は未確認。鳥取県境港市・大阪府堺市の誤ヒットに注意。 【追加調査 2026-10】環境基本計画：2026-10-02 再調査（WebSearch約6回）でも茨城県境町の環境基本計画・環境基本条例は確認できず。町の「環境」カテゴリ https://www.town.ibaraki-sakai.lg.jp/page/dir000035.html ・「環境について」 https://www.town.ibaraki-sakai.lg.jp/page/page000392.html の検索要約ではキョン目撃情報、野焼き禁止、ゼロカーボンシティ宣言、太陽光発電設備の適正設置条例等のみで環境基本計画の掲載なし（担当は環境対策室）。第6次境町総合計画（2019〜2030）第3部第3章「環境づくり」が環境施策の上位計画。未策定の可能性が高いが断定根拠不足のため未確認のまま。鳥取県境港市・大阪府堺市の誤ヒットに注意。町サイトは取得ブロック。</t>
        </is>
      </c>
      <c r="S46" s="18" t="inlineStr">
        <is>
          <t>未調査</t>
        </is>
      </c>
      <c r="T46" s="11" t="inlineStr">
        <is>
          <t>未掲載</t>
        </is>
      </c>
    </row>
    <row r="47">
      <c r="A47" s="11" t="n">
        <v>44</v>
      </c>
      <c r="B47" s="11" t="inlineStr">
        <is>
          <t>利根町</t>
        </is>
      </c>
      <c r="C47" s="12">
        <f>IF(OR(D47="◎",E47="◎"),"◎ 営業",IF(OR(D47="△",E47="△"),"△ 着手済・要確認",IF(OR(D47="？",E47="？"),"？ 期間要確認","✕ 対象外")))</f>
        <v/>
      </c>
      <c r="D47" s="13">
        <f>IF(J47="計画なし","－",IF(J47="策定済","✕",IF(H47="","？",IF(AND(H47&gt;=TGT_MIN,H47&lt;=TGT_MAX),IF(J47="着手済","△","◎"),"✕"))))</f>
        <v/>
      </c>
      <c r="E47" s="13">
        <f>IF(P47="計画なし","－",IF(P47="策定済","✕",IF(N47="","？",IF(AND(N47&gt;=TGT_MIN,N47&lt;=TGT_MAX),IF(P47="着手済","△","◎"),"✕"))))</f>
        <v/>
      </c>
      <c r="F47" s="11" t="inlineStr">
        <is>
          <t>利根町地域公共交通計画（策定事業・名称未確認）</t>
        </is>
      </c>
      <c r="G47" s="11" t="inlineStr">
        <is>
          <t>不明</t>
        </is>
      </c>
      <c r="H47" s="13" t="n"/>
      <c r="I47" s="13" t="inlineStr">
        <is>
          <t>不明</t>
        </is>
      </c>
      <c r="J47" s="13" t="inlineStr">
        <is>
          <t>着手済</t>
        </is>
      </c>
      <c r="K47" s="11" t="n"/>
      <c r="L47" s="11" t="inlineStr">
        <is>
          <t>利根町環境基本計画（R7案公表・初の計画）</t>
        </is>
      </c>
      <c r="M47" s="11" t="inlineStr">
        <is>
          <t>R8〜R17</t>
        </is>
      </c>
      <c r="N47" s="16" t="n">
        <v>17</v>
      </c>
      <c r="O47" s="13" t="inlineStr">
        <is>
          <t>推定</t>
        </is>
      </c>
      <c r="P47" s="13" t="inlineStr">
        <is>
          <t>着手済</t>
        </is>
      </c>
      <c r="Q47" s="14" t="inlineStr">
        <is>
          <t>https://www.town.tone.ibaraki.jp/data/doc/1766025418_doc_182_0.pdf</t>
        </is>
      </c>
      <c r="R47" s="11" t="inlineStr">
        <is>
          <t>関東運輸局「地域公共交通計画策定事業」一覧(R6.1.26付)に利根町地域公共交通活性化協議会が掲載 https://wwwtb.mlit.go.jp/kanto/content/000322403.pdf →R6〜R7頃に計画策定作業（策定済の可能性あり）。計画期間・本文URLは未確認。環境基本計画は検索で確認できず。 【追加調査 2026-10】環境基本計画：利根町環境基本条例（R5.9.19制定、条例案パブコメ https://www.town.tone.ibaraki.jp/page/page005600.html ）第8条に基づく初の環境基本計画。「利根町環境基本計画(案)」PDF https://www.town.tone.ibaraki.jp/data/doc/1766025418_doc_182_0.pdf が検索に出現（ファイルID時刻から2025年12月頃公表、パブコメ用と推定）。検索要約で計画期間R8〜R17（10年間）。R8.3策定済かは確認できず（パブコメ結果一覧 https://www.town.tone.ibaraki.jp/chosei/kouhou-kouchou/kouhou-publiccomment/publiccomment-keeka/ 未取得）→確定版が出ていれば策定済に更新要。担当は環境対策課。確認日2026-10-02。 根拠: 計画期間は令和8(2026)年度から令和17(2035)年度までの10年間（検索要約・案PDF）</t>
        </is>
      </c>
      <c r="S47" s="15" t="inlineStr">
        <is>
          <t>調査済</t>
        </is>
      </c>
      <c r="T47" s="11" t="inlineStr">
        <is>
          <t>掲載</t>
        </is>
      </c>
    </row>
  </sheetData>
  <autoFilter ref="A3:T47"/>
  <conditionalFormatting sqref="A4:T47">
    <cfRule type="expression" priority="5" dxfId="0">
      <formula>LEFT($C4,1)="◎"</formula>
    </cfRule>
    <cfRule type="expression" priority="6" dxfId="1">
      <formula>LEFT($C4,1)="△"</formula>
    </cfRule>
    <cfRule type="expression" priority="7" dxfId="2">
      <formula>LEFT($C4,1)="？"</formula>
    </cfRule>
    <cfRule type="expression" priority="8" dxfId="3">
      <formula>LEFT($C4,1)="✕"</formula>
    </cfRule>
  </conditionalFormatting>
  <conditionalFormatting sqref="H4:H47">
    <cfRule type="expression" priority="1" dxfId="4" stopIfTrue="1">
      <formula>AND(ISNUMBER(H4),H4&gt;=TGT_MIN,H4&lt;=TGT_MAX)</formula>
    </cfRule>
    <cfRule type="expression" priority="2" dxfId="5">
      <formula>AND(ISNUMBER(H4),H4=TGT_MAX+1)</formula>
    </cfRule>
  </conditionalFormatting>
  <conditionalFormatting sqref="N4:N47">
    <cfRule type="expression" priority="3" dxfId="4" stopIfTrue="1">
      <formula>AND(ISNUMBER(N4),N4&gt;=TGT_MIN,N4&lt;=TGT_MAX)</formula>
    </cfRule>
    <cfRule type="expression" priority="4" dxfId="5">
      <formula>AND(ISNUMBER(N4),N4=TGT_MAX+1)</formula>
    </cfRule>
  </conditionalFormatting>
  <dataValidations count="1">
    <dataValidation sqref="J4:J47 P4:P47" showDropDown="0" showInputMessage="0" showErrorMessage="0" allowBlank="1" type="list">
      <formula1>"未確認,着手済,策定済,計画なし"</formula1>
    </dataValidation>
  </dataValidations>
  <hyperlinks>
    <hyperlink xmlns:r="http://schemas.openxmlformats.org/officeDocument/2006/relationships" ref="K4" r:id="rId1"/>
    <hyperlink xmlns:r="http://schemas.openxmlformats.org/officeDocument/2006/relationships" ref="Q4" r:id="rId2"/>
    <hyperlink xmlns:r="http://schemas.openxmlformats.org/officeDocument/2006/relationships" ref="K5" r:id="rId3"/>
    <hyperlink xmlns:r="http://schemas.openxmlformats.org/officeDocument/2006/relationships" ref="Q5" r:id="rId4"/>
    <hyperlink xmlns:r="http://schemas.openxmlformats.org/officeDocument/2006/relationships" ref="K6" r:id="rId5"/>
    <hyperlink xmlns:r="http://schemas.openxmlformats.org/officeDocument/2006/relationships" ref="Q6" r:id="rId6"/>
    <hyperlink xmlns:r="http://schemas.openxmlformats.org/officeDocument/2006/relationships" ref="K7" r:id="rId7"/>
    <hyperlink xmlns:r="http://schemas.openxmlformats.org/officeDocument/2006/relationships" ref="Q7" r:id="rId8"/>
    <hyperlink xmlns:r="http://schemas.openxmlformats.org/officeDocument/2006/relationships" ref="K8" r:id="rId9"/>
    <hyperlink xmlns:r="http://schemas.openxmlformats.org/officeDocument/2006/relationships" ref="Q8" r:id="rId10"/>
    <hyperlink xmlns:r="http://schemas.openxmlformats.org/officeDocument/2006/relationships" ref="K9" r:id="rId11"/>
    <hyperlink xmlns:r="http://schemas.openxmlformats.org/officeDocument/2006/relationships" ref="Q9" r:id="rId12"/>
    <hyperlink xmlns:r="http://schemas.openxmlformats.org/officeDocument/2006/relationships" ref="K10" r:id="rId13"/>
    <hyperlink xmlns:r="http://schemas.openxmlformats.org/officeDocument/2006/relationships" ref="Q10" r:id="rId14"/>
    <hyperlink xmlns:r="http://schemas.openxmlformats.org/officeDocument/2006/relationships" ref="K13" r:id="rId15"/>
    <hyperlink xmlns:r="http://schemas.openxmlformats.org/officeDocument/2006/relationships" ref="Q13" r:id="rId16"/>
    <hyperlink xmlns:r="http://schemas.openxmlformats.org/officeDocument/2006/relationships" ref="K14" r:id="rId17"/>
    <hyperlink xmlns:r="http://schemas.openxmlformats.org/officeDocument/2006/relationships" ref="Q14" r:id="rId18"/>
    <hyperlink xmlns:r="http://schemas.openxmlformats.org/officeDocument/2006/relationships" ref="K15" r:id="rId19"/>
    <hyperlink xmlns:r="http://schemas.openxmlformats.org/officeDocument/2006/relationships" ref="Q15" r:id="rId20"/>
    <hyperlink xmlns:r="http://schemas.openxmlformats.org/officeDocument/2006/relationships" ref="K16" r:id="rId21"/>
    <hyperlink xmlns:r="http://schemas.openxmlformats.org/officeDocument/2006/relationships" ref="Q16" r:id="rId22"/>
    <hyperlink xmlns:r="http://schemas.openxmlformats.org/officeDocument/2006/relationships" ref="K17" r:id="rId23"/>
    <hyperlink xmlns:r="http://schemas.openxmlformats.org/officeDocument/2006/relationships" ref="Q17" r:id="rId24"/>
    <hyperlink xmlns:r="http://schemas.openxmlformats.org/officeDocument/2006/relationships" ref="K18" r:id="rId25"/>
    <hyperlink xmlns:r="http://schemas.openxmlformats.org/officeDocument/2006/relationships" ref="Q18" r:id="rId26"/>
    <hyperlink xmlns:r="http://schemas.openxmlformats.org/officeDocument/2006/relationships" ref="Q19" r:id="rId27"/>
    <hyperlink xmlns:r="http://schemas.openxmlformats.org/officeDocument/2006/relationships" ref="K20" r:id="rId28"/>
    <hyperlink xmlns:r="http://schemas.openxmlformats.org/officeDocument/2006/relationships" ref="Q20" r:id="rId29"/>
    <hyperlink xmlns:r="http://schemas.openxmlformats.org/officeDocument/2006/relationships" ref="K21" r:id="rId30"/>
    <hyperlink xmlns:r="http://schemas.openxmlformats.org/officeDocument/2006/relationships" ref="Q21" r:id="rId31"/>
    <hyperlink xmlns:r="http://schemas.openxmlformats.org/officeDocument/2006/relationships" ref="K22" r:id="rId32"/>
    <hyperlink xmlns:r="http://schemas.openxmlformats.org/officeDocument/2006/relationships" ref="K23" r:id="rId33"/>
    <hyperlink xmlns:r="http://schemas.openxmlformats.org/officeDocument/2006/relationships" ref="Q23" r:id="rId34"/>
    <hyperlink xmlns:r="http://schemas.openxmlformats.org/officeDocument/2006/relationships" ref="K24" r:id="rId35"/>
    <hyperlink xmlns:r="http://schemas.openxmlformats.org/officeDocument/2006/relationships" ref="Q24" r:id="rId36"/>
    <hyperlink xmlns:r="http://schemas.openxmlformats.org/officeDocument/2006/relationships" ref="K25" r:id="rId37"/>
    <hyperlink xmlns:r="http://schemas.openxmlformats.org/officeDocument/2006/relationships" ref="Q25" r:id="rId38"/>
    <hyperlink xmlns:r="http://schemas.openxmlformats.org/officeDocument/2006/relationships" ref="K26" r:id="rId39"/>
    <hyperlink xmlns:r="http://schemas.openxmlformats.org/officeDocument/2006/relationships" ref="K27" r:id="rId40"/>
    <hyperlink xmlns:r="http://schemas.openxmlformats.org/officeDocument/2006/relationships" ref="Q27" r:id="rId41"/>
    <hyperlink xmlns:r="http://schemas.openxmlformats.org/officeDocument/2006/relationships" ref="K28" r:id="rId42"/>
    <hyperlink xmlns:r="http://schemas.openxmlformats.org/officeDocument/2006/relationships" ref="Q28" r:id="rId43"/>
    <hyperlink xmlns:r="http://schemas.openxmlformats.org/officeDocument/2006/relationships" ref="K29" r:id="rId44"/>
    <hyperlink xmlns:r="http://schemas.openxmlformats.org/officeDocument/2006/relationships" ref="Q29" r:id="rId45"/>
    <hyperlink xmlns:r="http://schemas.openxmlformats.org/officeDocument/2006/relationships" ref="K30" r:id="rId46"/>
    <hyperlink xmlns:r="http://schemas.openxmlformats.org/officeDocument/2006/relationships" ref="Q30" r:id="rId47"/>
    <hyperlink xmlns:r="http://schemas.openxmlformats.org/officeDocument/2006/relationships" ref="K31" r:id="rId48"/>
    <hyperlink xmlns:r="http://schemas.openxmlformats.org/officeDocument/2006/relationships" ref="Q31" r:id="rId49"/>
    <hyperlink xmlns:r="http://schemas.openxmlformats.org/officeDocument/2006/relationships" ref="Q32" r:id="rId50"/>
    <hyperlink xmlns:r="http://schemas.openxmlformats.org/officeDocument/2006/relationships" ref="K33" r:id="rId51"/>
    <hyperlink xmlns:r="http://schemas.openxmlformats.org/officeDocument/2006/relationships" ref="Q33" r:id="rId52"/>
    <hyperlink xmlns:r="http://schemas.openxmlformats.org/officeDocument/2006/relationships" ref="K34" r:id="rId53"/>
    <hyperlink xmlns:r="http://schemas.openxmlformats.org/officeDocument/2006/relationships" ref="Q34" r:id="rId54"/>
    <hyperlink xmlns:r="http://schemas.openxmlformats.org/officeDocument/2006/relationships" ref="K35" r:id="rId55"/>
    <hyperlink xmlns:r="http://schemas.openxmlformats.org/officeDocument/2006/relationships" ref="Q35" r:id="rId56"/>
    <hyperlink xmlns:r="http://schemas.openxmlformats.org/officeDocument/2006/relationships" ref="Q36" r:id="rId57"/>
    <hyperlink xmlns:r="http://schemas.openxmlformats.org/officeDocument/2006/relationships" ref="K37" r:id="rId58"/>
    <hyperlink xmlns:r="http://schemas.openxmlformats.org/officeDocument/2006/relationships" ref="Q37" r:id="rId59"/>
    <hyperlink xmlns:r="http://schemas.openxmlformats.org/officeDocument/2006/relationships" ref="K38" r:id="rId60"/>
    <hyperlink xmlns:r="http://schemas.openxmlformats.org/officeDocument/2006/relationships" ref="Q38" r:id="rId61"/>
    <hyperlink xmlns:r="http://schemas.openxmlformats.org/officeDocument/2006/relationships" ref="K39" r:id="rId62"/>
    <hyperlink xmlns:r="http://schemas.openxmlformats.org/officeDocument/2006/relationships" ref="Q39" r:id="rId63"/>
    <hyperlink xmlns:r="http://schemas.openxmlformats.org/officeDocument/2006/relationships" ref="K40" r:id="rId64"/>
    <hyperlink xmlns:r="http://schemas.openxmlformats.org/officeDocument/2006/relationships" ref="Q40" r:id="rId65"/>
    <hyperlink xmlns:r="http://schemas.openxmlformats.org/officeDocument/2006/relationships" ref="K42" r:id="rId66"/>
    <hyperlink xmlns:r="http://schemas.openxmlformats.org/officeDocument/2006/relationships" ref="Q42" r:id="rId67"/>
    <hyperlink xmlns:r="http://schemas.openxmlformats.org/officeDocument/2006/relationships" ref="K45" r:id="rId68"/>
    <hyperlink xmlns:r="http://schemas.openxmlformats.org/officeDocument/2006/relationships" ref="Q45" r:id="rId69"/>
    <hyperlink xmlns:r="http://schemas.openxmlformats.org/officeDocument/2006/relationships" ref="Q47" r:id="rId7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2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6" customWidth="1" min="3" max="3"/>
    <col width="7" customWidth="1" min="4" max="4"/>
    <col width="7" customWidth="1" min="5" max="5"/>
    <col width="30" customWidth="1" min="6" max="6"/>
    <col width="15" customWidth="1" min="7" max="7"/>
    <col width="9" customWidth="1" min="8" max="8"/>
    <col width="8" customWidth="1" min="9" max="9"/>
    <col width="9" customWidth="1" min="10" max="10"/>
    <col width="34" customWidth="1" min="11" max="11"/>
    <col width="30" customWidth="1" min="12" max="12"/>
    <col width="15" customWidth="1" min="13" max="13"/>
    <col width="9" customWidth="1" min="14" max="14"/>
    <col width="8" customWidth="1" min="15" max="15"/>
    <col width="9" customWidth="1" min="16" max="16"/>
    <col width="34" customWidth="1" min="17" max="17"/>
    <col width="55" customWidth="1" min="18" max="18"/>
    <col width="14" customWidth="1" min="19" max="19"/>
    <col width="24" customWidth="1" min="20" max="20"/>
  </cols>
  <sheetData>
    <row r="1">
      <c r="A1" s="1" t="inlineStr">
        <is>
          <t>栃木県　地域公共交通計画・環境基本計画の終期一覧（2026年9月30日時点の調査）</t>
        </is>
      </c>
    </row>
    <row r="2">
      <c r="A2" s="9">
        <f>"営業判定の対象：終期 R"&amp;TGT_MIN&amp;"〜R"&amp;TGT_MAX&amp;"年度 →◎（着手済は△、期間不明は？）。終期セルの色：緑＝対象年度／橙＝その翌年度（次の候補）。対象年度は「集計・設定」シートのC4・C5のプルダウンで切替。"</f>
        <v/>
      </c>
    </row>
    <row r="3" ht="32" customHeight="1">
      <c r="A3" s="10" t="inlineStr">
        <is>
          <t>No</t>
        </is>
      </c>
      <c r="B3" s="10" t="inlineStr">
        <is>
          <t>市町村</t>
        </is>
      </c>
      <c r="C3" s="10" t="inlineStr">
        <is>
          <t>営業判定</t>
        </is>
      </c>
      <c r="D3" s="10" t="inlineStr">
        <is>
          <t>交通判定</t>
        </is>
      </c>
      <c r="E3" s="10" t="inlineStr">
        <is>
          <t>環境判定</t>
        </is>
      </c>
      <c r="F3" s="10" t="inlineStr">
        <is>
          <t>地域公共交通計画</t>
        </is>
      </c>
      <c r="G3" s="10" t="inlineStr">
        <is>
          <t>交通 計画期間</t>
        </is>
      </c>
      <c r="H3" s="10" t="inlineStr">
        <is>
          <t>交通 終期(令和年度)</t>
        </is>
      </c>
      <c r="I3" s="10" t="inlineStr">
        <is>
          <t>交通 確度</t>
        </is>
      </c>
      <c r="J3" s="10" t="inlineStr">
        <is>
          <t>交通 改定状況</t>
        </is>
      </c>
      <c r="K3" s="10" t="inlineStr">
        <is>
          <t>交通 計画リンク（エビデンス）</t>
        </is>
      </c>
      <c r="L3" s="10" t="inlineStr">
        <is>
          <t>環境基本計画</t>
        </is>
      </c>
      <c r="M3" s="10" t="inlineStr">
        <is>
          <t>環境 計画期間</t>
        </is>
      </c>
      <c r="N3" s="10" t="inlineStr">
        <is>
          <t>環境 終期(令和年度)</t>
        </is>
      </c>
      <c r="O3" s="10" t="inlineStr">
        <is>
          <t>環境 確度</t>
        </is>
      </c>
      <c r="P3" s="10" t="inlineStr">
        <is>
          <t>環境 改定状況</t>
        </is>
      </c>
      <c r="Q3" s="10" t="inlineStr">
        <is>
          <t>環境 計画リンク（エビデンス）</t>
        </is>
      </c>
      <c r="R3" s="10" t="inlineStr">
        <is>
          <t>注釈（改定作業の状況など）</t>
        </is>
      </c>
      <c r="S3" s="10" t="inlineStr">
        <is>
          <t>調査状況</t>
        </is>
      </c>
      <c r="T3" s="10" t="inlineStr">
        <is>
          <t>国交省一覧(R8.5末)</t>
        </is>
      </c>
    </row>
    <row r="4">
      <c r="A4" s="11" t="n">
        <v>1</v>
      </c>
      <c r="B4" s="11" t="inlineStr">
        <is>
          <t>宇都宮市</t>
        </is>
      </c>
      <c r="C4" s="12">
        <f>IF(OR(D4="◎",E4="◎"),"◎ 営業",IF(OR(D4="△",E4="△"),"△ 着手済・要確認",IF(OR(D4="？",E4="？"),"？ 期間要確認","✕ 対象外")))</f>
        <v/>
      </c>
      <c r="D4" s="13">
        <f>IF(J4="計画なし","－",IF(J4="策定済","✕",IF(H4="","？",IF(AND(H4&gt;=TGT_MIN,H4&lt;=TGT_MAX),IF(J4="着手済","△","◎"),"✕"))))</f>
        <v/>
      </c>
      <c r="E4" s="13">
        <f>IF(P4="計画なし","－",IF(P4="策定済","✕",IF(N4="","？",IF(AND(N4&gt;=TGT_MIN,N4&lt;=TGT_MAX),IF(P4="着手済","△","◎"),"✕"))))</f>
        <v/>
      </c>
      <c r="F4" s="11" t="inlineStr">
        <is>
          <t>芳賀・宇都宮地域公共交通計画（芳賀町と共同）</t>
        </is>
      </c>
      <c r="G4" s="11" t="inlineStr">
        <is>
          <t>R6〜R15</t>
        </is>
      </c>
      <c r="H4" s="13" t="n">
        <v>15</v>
      </c>
      <c r="I4" s="13" t="inlineStr">
        <is>
          <t>確認済</t>
        </is>
      </c>
      <c r="J4" s="13" t="inlineStr">
        <is>
          <t>未確認</t>
        </is>
      </c>
      <c r="K4" s="14" t="inlineStr">
        <is>
          <t>https://www.city.utsunomiya.lg.jp/_res/projects/default_project/_page_/001/035/885/chiikikeikaku.pdf</t>
        </is>
      </c>
      <c r="L4" s="11" t="inlineStr">
        <is>
          <t>第4次宇都宮市環境基本計画</t>
        </is>
      </c>
      <c r="M4" s="11" t="inlineStr">
        <is>
          <t>R8〜R12</t>
        </is>
      </c>
      <c r="N4" s="13" t="n">
        <v>12</v>
      </c>
      <c r="O4" s="13" t="inlineStr">
        <is>
          <t>確認済</t>
        </is>
      </c>
      <c r="P4" s="13" t="inlineStr">
        <is>
          <t>策定済</t>
        </is>
      </c>
      <c r="Q4" s="14" t="inlineStr">
        <is>
          <t>https://www.city.utsunomiya.lg.jp/_res/projects/default_project/_page_/001/045/465/4ji_sasshi.pdf</t>
        </is>
      </c>
      <c r="R4" s="11" t="inlineStr">
        <is>
          <t>環境：第4次をR8.3策定済（R7.6諮問）。交通：R15まで、改定の動きなし。</t>
        </is>
      </c>
      <c r="S4" s="15" t="inlineStr">
        <is>
          <t>調査済</t>
        </is>
      </c>
      <c r="T4" s="11" t="inlineStr">
        <is>
          <t>掲載（広域：芳賀・宇都宮）</t>
        </is>
      </c>
    </row>
    <row r="5">
      <c r="A5" s="11" t="n">
        <v>2</v>
      </c>
      <c r="B5" s="11" t="inlineStr">
        <is>
          <t>足利市</t>
        </is>
      </c>
      <c r="C5" s="12">
        <f>IF(OR(D5="◎",E5="◎"),"◎ 営業",IF(OR(D5="△",E5="△"),"△ 着手済・要確認",IF(OR(D5="？",E5="？"),"？ 期間要確認","✕ 対象外")))</f>
        <v/>
      </c>
      <c r="D5" s="13">
        <f>IF(J5="計画なし","－",IF(J5="策定済","✕",IF(H5="","？",IF(AND(H5&gt;=TGT_MIN,H5&lt;=TGT_MAX),IF(J5="着手済","△","◎"),"✕"))))</f>
        <v/>
      </c>
      <c r="E5" s="13">
        <f>IF(P5="計画なし","－",IF(P5="策定済","✕",IF(N5="","？",IF(AND(N5&gt;=TGT_MIN,N5&lt;=TGT_MAX),IF(P5="着手済","△","◎"),"✕"))))</f>
        <v/>
      </c>
      <c r="F5" s="11" t="inlineStr">
        <is>
          <t>足利市地域公共交通計画</t>
        </is>
      </c>
      <c r="G5" s="11" t="inlineStr">
        <is>
          <t>R5〜R11</t>
        </is>
      </c>
      <c r="H5" s="13" t="n">
        <v>11</v>
      </c>
      <c r="I5" s="13" t="inlineStr">
        <is>
          <t>確認済</t>
        </is>
      </c>
      <c r="J5" s="13" t="inlineStr">
        <is>
          <t>未確認</t>
        </is>
      </c>
      <c r="K5" s="14" t="inlineStr">
        <is>
          <t>https://www.city.ashikaga.tochigi.jp/manage/contents/upload/64dc71a539bc0.pdf</t>
        </is>
      </c>
      <c r="L5" s="11" t="inlineStr">
        <is>
          <t>第3次足利市環境基本計画</t>
        </is>
      </c>
      <c r="M5" s="11" t="inlineStr">
        <is>
          <t>R4〜R11</t>
        </is>
      </c>
      <c r="N5" s="13" t="n">
        <v>11</v>
      </c>
      <c r="O5" s="13" t="inlineStr">
        <is>
          <t>確認済</t>
        </is>
      </c>
      <c r="P5" s="13" t="inlineStr">
        <is>
          <t>未確認</t>
        </is>
      </c>
      <c r="Q5" s="14" t="inlineStr">
        <is>
          <t>https://www.city.ashikaga.tochigi.jp/manage/contents/upload/633fd39cd506a.pdf</t>
        </is>
      </c>
      <c r="R5" s="11" t="inlineStr">
        <is>
          <t>どちらもR11まで。改定の動きは見つからず。</t>
        </is>
      </c>
      <c r="S5" s="15" t="inlineStr">
        <is>
          <t>調査済</t>
        </is>
      </c>
      <c r="T5" s="11" t="inlineStr">
        <is>
          <t>掲載</t>
        </is>
      </c>
    </row>
    <row r="6">
      <c r="A6" s="11" t="n">
        <v>3</v>
      </c>
      <c r="B6" s="11" t="inlineStr">
        <is>
          <t>栃木市</t>
        </is>
      </c>
      <c r="C6" s="12">
        <f>IF(OR(D6="◎",E6="◎"),"◎ 営業",IF(OR(D6="△",E6="△"),"△ 着手済・要確認",IF(OR(D6="？",E6="？"),"？ 期間要確認","✕ 対象外")))</f>
        <v/>
      </c>
      <c r="D6" s="13">
        <f>IF(J6="計画なし","－",IF(J6="策定済","✕",IF(H6="","？",IF(AND(H6&gt;=TGT_MIN,H6&lt;=TGT_MAX),IF(J6="着手済","△","◎"),"✕"))))</f>
        <v/>
      </c>
      <c r="E6" s="13">
        <f>IF(P6="計画なし","－",IF(P6="策定済","✕",IF(N6="","？",IF(AND(N6&gt;=TGT_MIN,N6&lt;=TGT_MAX),IF(P6="着手済","△","◎"),"✕"))))</f>
        <v/>
      </c>
      <c r="F6" s="11" t="inlineStr">
        <is>
          <t>栃木市地域公共交通計画（R6.6改定）</t>
        </is>
      </c>
      <c r="G6" s="11" t="inlineStr">
        <is>
          <t>R6.6〜R9</t>
        </is>
      </c>
      <c r="H6" s="13" t="n">
        <v>9</v>
      </c>
      <c r="I6" s="13" t="inlineStr">
        <is>
          <t>確認済</t>
        </is>
      </c>
      <c r="J6" s="13" t="inlineStr">
        <is>
          <t>着手済</t>
        </is>
      </c>
      <c r="K6" s="14" t="inlineStr">
        <is>
          <t>https://www.city.tochigi.lg.jp/uploaded/attachment/56361.pdf</t>
        </is>
      </c>
      <c r="L6" s="11" t="inlineStr">
        <is>
          <t>第2次栃木市環境基本計画</t>
        </is>
      </c>
      <c r="M6" s="11" t="inlineStr">
        <is>
          <t>R5〜R14</t>
        </is>
      </c>
      <c r="N6" s="13" t="n">
        <v>14</v>
      </c>
      <c r="O6" s="13" t="inlineStr">
        <is>
          <t>確認済</t>
        </is>
      </c>
      <c r="P6" s="13" t="inlineStr">
        <is>
          <t>未確認</t>
        </is>
      </c>
      <c r="Q6" s="14" t="inlineStr">
        <is>
          <t>https://www.city.tochigi.lg.jp/uploaded/attachment/60576.pdf</t>
        </is>
      </c>
      <c r="R6" s="11" t="inlineStr">
        <is>
          <t>交通：次期「第2次」をR10〜R14で予定。策定業務の公告はまだ見つからず。 【ファクトチェック 2026-10-01: 正しい】確認期間: 令和6年6月24日（改訂）〜令和9年度末（2028年3月）／次期: 着手済：令和7年度に第2次栃木市地域公共交通計画（R10〜R14予定）の策定を進行。令和7年5月に策定業務を入札で特定非営利活動法人まちづくり支援センターに委託、令和7年度第4回栃木市地域公共交通会議で進捗報告（https://www.ci／根拠: https://www.city.tochigi.lg.jp/uploaded/attachment/63013.pdf</t>
        </is>
      </c>
      <c r="S6" s="15" t="inlineStr">
        <is>
          <t>調査済</t>
        </is>
      </c>
      <c r="T6" s="11" t="inlineStr">
        <is>
          <t>掲載</t>
        </is>
      </c>
    </row>
    <row r="7">
      <c r="A7" s="11" t="n">
        <v>4</v>
      </c>
      <c r="B7" s="11" t="inlineStr">
        <is>
          <t>佐野市</t>
        </is>
      </c>
      <c r="C7" s="12">
        <f>IF(OR(D7="◎",E7="◎"),"◎ 営業",IF(OR(D7="△",E7="△"),"△ 着手済・要確認",IF(OR(D7="？",E7="？"),"？ 期間要確認","✕ 対象外")))</f>
        <v/>
      </c>
      <c r="D7" s="13">
        <f>IF(J7="計画なし","－",IF(J7="策定済","✕",IF(H7="","？",IF(AND(H7&gt;=TGT_MIN,H7&lt;=TGT_MAX),IF(J7="着手済","△","◎"),"✕"))))</f>
        <v/>
      </c>
      <c r="E7" s="13">
        <f>IF(P7="計画なし","－",IF(P7="策定済","✕",IF(N7="","？",IF(AND(N7&gt;=TGT_MIN,N7&lt;=TGT_MAX),IF(P7="着手済","△","◎"),"✕"))))</f>
        <v/>
      </c>
      <c r="F7" s="11" t="inlineStr">
        <is>
          <t>第2次佐野市地域公共交通計画</t>
        </is>
      </c>
      <c r="G7" s="11" t="inlineStr">
        <is>
          <t>R8〜R12</t>
        </is>
      </c>
      <c r="H7" s="13" t="n">
        <v>12</v>
      </c>
      <c r="I7" s="13" t="inlineStr">
        <is>
          <t>確認済</t>
        </is>
      </c>
      <c r="J7" s="13" t="inlineStr">
        <is>
          <t>策定済</t>
        </is>
      </c>
      <c r="K7" s="14" t="inlineStr">
        <is>
          <t>https://www.city.sano.lg.jp/material/files/group/1/koutuukeikaku2.pdf</t>
        </is>
      </c>
      <c r="L7" s="11" t="inlineStr">
        <is>
          <t>第2次佐野市環境基本計画（後期計画）</t>
        </is>
      </c>
      <c r="M7" s="11" t="inlineStr">
        <is>
          <t>R8〜R11</t>
        </is>
      </c>
      <c r="N7" s="13" t="n">
        <v>11</v>
      </c>
      <c r="O7" s="13" t="inlineStr">
        <is>
          <t>確認済</t>
        </is>
      </c>
      <c r="P7" s="13" t="inlineStr">
        <is>
          <t>策定済</t>
        </is>
      </c>
      <c r="Q7" s="14" t="inlineStr">
        <is>
          <t>https://www.city.sano.lg.jp/material/files/group/1/kankyoukouki2.pdf</t>
        </is>
      </c>
      <c r="R7" s="11" t="inlineStr">
        <is>
          <t>交通・環境とも新計画をR8.3策定済。</t>
        </is>
      </c>
      <c r="S7" s="15" t="inlineStr">
        <is>
          <t>調査済</t>
        </is>
      </c>
      <c r="T7" s="11" t="inlineStr">
        <is>
          <t>掲載</t>
        </is>
      </c>
    </row>
    <row r="8">
      <c r="A8" s="11" t="n">
        <v>5</v>
      </c>
      <c r="B8" s="11" t="inlineStr">
        <is>
          <t>鹿沼市</t>
        </is>
      </c>
      <c r="C8" s="12">
        <f>IF(OR(D8="◎",E8="◎"),"◎ 営業",IF(OR(D8="△",E8="△"),"△ 着手済・要確認",IF(OR(D8="？",E8="？"),"？ 期間要確認","✕ 対象外")))</f>
        <v/>
      </c>
      <c r="D8" s="13">
        <f>IF(J8="計画なし","－",IF(J8="策定済","✕",IF(H8="","？",IF(AND(H8&gt;=TGT_MIN,H8&lt;=TGT_MAX),IF(J8="着手済","△","◎"),"✕"))))</f>
        <v/>
      </c>
      <c r="E8" s="13">
        <f>IF(P8="計画なし","－",IF(P8="策定済","✕",IF(N8="","？",IF(AND(N8&gt;=TGT_MIN,N8&lt;=TGT_MAX),IF(P8="着手済","△","◎"),"✕"))))</f>
        <v/>
      </c>
      <c r="F8" s="11" t="inlineStr">
        <is>
          <t>鹿沼市地域公共交通計画</t>
        </is>
      </c>
      <c r="G8" s="11" t="inlineStr">
        <is>
          <t>R4〜R9</t>
        </is>
      </c>
      <c r="H8" s="13" t="n">
        <v>9</v>
      </c>
      <c r="I8" s="13" t="inlineStr">
        <is>
          <t>確認済</t>
        </is>
      </c>
      <c r="J8" s="13" t="inlineStr">
        <is>
          <t>未確認</t>
        </is>
      </c>
      <c r="K8" s="14" t="inlineStr">
        <is>
          <t>https://www.city.kanuma.tochigi.jp/manage/contents/upload/623824c0af645.pdf</t>
        </is>
      </c>
      <c r="L8" s="11" t="inlineStr">
        <is>
          <t>第5次鹿沼市環境基本計画</t>
        </is>
      </c>
      <c r="M8" s="11" t="inlineStr">
        <is>
          <t>R4〜R8</t>
        </is>
      </c>
      <c r="N8" s="13" t="n">
        <v>8</v>
      </c>
      <c r="O8" s="13" t="inlineStr">
        <is>
          <t>確認済</t>
        </is>
      </c>
      <c r="P8" s="13" t="inlineStr">
        <is>
          <t>未確認</t>
        </is>
      </c>
      <c r="Q8" s="14" t="inlineStr">
        <is>
          <t>https://www.city.kanuma.tochigi.jp/0097/info-0000007871-1.html</t>
        </is>
      </c>
      <c r="R8" s="11" t="inlineStr">
        <is>
          <t>環境は今年度（R8）で終了。第6次の業務委託・パブコメ等は見つからず（延長の可能性もあり、環境課に要確認）。交通は予約バス運行事業者選定プロポ（R9〜R11）のみ。 【ファクトチェック 2026-10-01: 正しい】確認期間: R4年度〜R9年度（6年間。R6.10・R8.6に一部改定）／次期: 確認できず（次期計画策定支援業務の公告・地域公共交通会議での次期計画審議は検索で見当たらず）／根拠: https://www.city.kanuma.tochigi.jp/manage/contents/upload/6a3b627349ac7.pdf 【ファクトチェック 2026-10-01: 正しい】確認期間: R4年度〜R8年度／次期: 確認できず（第6次計画の策定支援業務プロポ/入札、環境審議会への諮問、市民アンケート、パブコメはいずれも検索で見当たらず。延長の記述も見当たらず）／根拠: https://www.city.kanuma.tochigi.jp/manage/contents/upload/6976cd070c260.pdf</t>
        </is>
      </c>
      <c r="S8" s="15" t="inlineStr">
        <is>
          <t>調査済</t>
        </is>
      </c>
      <c r="T8" s="11" t="inlineStr">
        <is>
          <t>掲載</t>
        </is>
      </c>
    </row>
    <row r="9">
      <c r="A9" s="11" t="n">
        <v>6</v>
      </c>
      <c r="B9" s="11" t="inlineStr">
        <is>
          <t>日光市</t>
        </is>
      </c>
      <c r="C9" s="12">
        <f>IF(OR(D9="◎",E9="◎"),"◎ 営業",IF(OR(D9="△",E9="△"),"△ 着手済・要確認",IF(OR(D9="？",E9="？"),"？ 期間要確認","✕ 対象外")))</f>
        <v/>
      </c>
      <c r="D9" s="13">
        <f>IF(J9="計画なし","－",IF(J9="策定済","✕",IF(H9="","？",IF(AND(H9&gt;=TGT_MIN,H9&lt;=TGT_MAX),IF(J9="着手済","△","◎"),"✕"))))</f>
        <v/>
      </c>
      <c r="E9" s="13">
        <f>IF(P9="計画なし","－",IF(P9="策定済","✕",IF(N9="","？",IF(AND(N9&gt;=TGT_MIN,N9&lt;=TGT_MAX),IF(P9="着手済","△","◎"),"✕"))))</f>
        <v/>
      </c>
      <c r="F9" s="11" t="inlineStr">
        <is>
          <t>日光市地域公共交通計画</t>
        </is>
      </c>
      <c r="G9" s="11" t="inlineStr">
        <is>
          <t>R5.4〜R10.3</t>
        </is>
      </c>
      <c r="H9" s="13" t="n">
        <v>9</v>
      </c>
      <c r="I9" s="13" t="inlineStr">
        <is>
          <t>確認済</t>
        </is>
      </c>
      <c r="J9" s="13" t="inlineStr">
        <is>
          <t>未確認</t>
        </is>
      </c>
      <c r="K9" s="14" t="inlineStr">
        <is>
          <t>https://www.city.nikko.lg.jp/material/files/group/33/tiikikoukyoukoutuukeikaku.pdf</t>
        </is>
      </c>
      <c r="L9" s="11" t="inlineStr">
        <is>
          <t>第2次日光市環境基本計画（R1.12策定）</t>
        </is>
      </c>
      <c r="M9" s="11" t="inlineStr">
        <is>
          <t>R2〜R11（推定）</t>
        </is>
      </c>
      <c r="N9" s="16" t="n">
        <v>11</v>
      </c>
      <c r="O9" s="13" t="inlineStr">
        <is>
          <t>推定</t>
        </is>
      </c>
      <c r="P9" s="13" t="inlineStr">
        <is>
          <t>未確認</t>
        </is>
      </c>
      <c r="Q9" s="14" t="inlineStr">
        <is>
          <t>https://www.city.nikko.lg.jp/soshiki/6/1031/5/1/1/125.html</t>
        </is>
      </c>
      <c r="R9" s="11" t="inlineStr">
        <is>
          <t>交通：R8施政方針は現計画の継続のみ。次期計画の業務委託は見つからず。 【ファクトチェック 2026-10-01: 確認できず】確認期間: R5.4〜R10.3（5ヵ年）※検索要約1回のみ／次期: 確認できず（策定支援業務プロポ・協議会での次期計画審議は検索で見当たらず）／根拠: https://www.city.nikko.lg.jp/material/files/group/33/tiikikoukyoukoutuukeikaku.pdf</t>
        </is>
      </c>
      <c r="S9" s="15" t="inlineStr">
        <is>
          <t>調査済</t>
        </is>
      </c>
      <c r="T9" s="11" t="inlineStr">
        <is>
          <t>掲載</t>
        </is>
      </c>
    </row>
    <row r="10">
      <c r="A10" s="11" t="n">
        <v>7</v>
      </c>
      <c r="B10" s="11" t="inlineStr">
        <is>
          <t>小山市</t>
        </is>
      </c>
      <c r="C10" s="12">
        <f>IF(OR(D10="◎",E10="◎"),"◎ 営業",IF(OR(D10="△",E10="△"),"△ 着手済・要確認",IF(OR(D10="？",E10="？"),"？ 期間要確認","✕ 対象外")))</f>
        <v/>
      </c>
      <c r="D10" s="13">
        <f>IF(J10="計画なし","－",IF(J10="策定済","✕",IF(H10="","？",IF(AND(H10&gt;=TGT_MIN,H10&lt;=TGT_MAX),IF(J10="着手済","△","◎"),"✕"))))</f>
        <v/>
      </c>
      <c r="E10" s="13">
        <f>IF(P10="計画なし","－",IF(P10="策定済","✕",IF(N10="","？",IF(AND(N10&gt;=TGT_MIN,N10&lt;=TGT_MAX),IF(P10="着手済","△","◎"),"✕"))))</f>
        <v/>
      </c>
      <c r="F10" s="11" t="inlineStr">
        <is>
          <t>小山市地域公共交通計画</t>
        </is>
      </c>
      <c r="G10" s="11" t="inlineStr">
        <is>
          <t>R5.10〜R8.9</t>
        </is>
      </c>
      <c r="H10" s="13" t="n">
        <v>8</v>
      </c>
      <c r="I10" s="13" t="inlineStr">
        <is>
          <t>確認済</t>
        </is>
      </c>
      <c r="J10" s="13" t="inlineStr">
        <is>
          <t>着手済</t>
        </is>
      </c>
      <c r="K10" s="14" t="inlineStr">
        <is>
          <t>https://www.city.oyama.tochigi.jp/o-bus/news/page011195.html</t>
        </is>
      </c>
      <c r="L10" s="11" t="inlineStr">
        <is>
          <t>第4次小山市環境基本計画</t>
        </is>
      </c>
      <c r="M10" s="11" t="inlineStr">
        <is>
          <t>R5〜R14</t>
        </is>
      </c>
      <c r="N10" s="13" t="n">
        <v>14</v>
      </c>
      <c r="O10" s="13" t="inlineStr">
        <is>
          <t>確認済</t>
        </is>
      </c>
      <c r="P10" s="13" t="inlineStr">
        <is>
          <t>未確認</t>
        </is>
      </c>
      <c r="Q10" s="14" t="inlineStr">
        <is>
          <t>https://www.city.oyama.tochigi.jp/data/doc/1700382745_doc_21_0.pdf</t>
        </is>
      </c>
      <c r="R10" s="11" t="inlineStr">
        <is>
          <t>【改定作業中】交通：改訂支援業務をR7.6に公告、R8.5〜6に案のパブコメ。次期計画はR8.10〜R14.3。委託先は決定済。</t>
        </is>
      </c>
      <c r="S10" s="15" t="inlineStr">
        <is>
          <t>調査済</t>
        </is>
      </c>
      <c r="T10" s="11" t="inlineStr">
        <is>
          <t>掲載</t>
        </is>
      </c>
    </row>
    <row r="11">
      <c r="A11" s="11" t="n">
        <v>8</v>
      </c>
      <c r="B11" s="11" t="inlineStr">
        <is>
          <t>真岡市</t>
        </is>
      </c>
      <c r="C11" s="12">
        <f>IF(OR(D11="◎",E11="◎"),"◎ 営業",IF(OR(D11="△",E11="△"),"△ 着手済・要確認",IF(OR(D11="？",E11="？"),"？ 期間要確認","✕ 対象外")))</f>
        <v/>
      </c>
      <c r="D11" s="13">
        <f>IF(J11="計画なし","－",IF(J11="策定済","✕",IF(H11="","？",IF(AND(H11&gt;=TGT_MIN,H11&lt;=TGT_MAX),IF(J11="着手済","△","◎"),"✕"))))</f>
        <v/>
      </c>
      <c r="E11" s="13">
        <f>IF(P11="計画なし","－",IF(P11="策定済","✕",IF(N11="","？",IF(AND(N11&gt;=TGT_MIN,N11&lt;=TGT_MAX),IF(P11="着手済","△","◎"),"✕"))))</f>
        <v/>
      </c>
      <c r="F11" s="11" t="inlineStr">
        <is>
          <t>真岡市地域公共交通計画（R8.3策定）</t>
        </is>
      </c>
      <c r="G11" s="11" t="inlineStr">
        <is>
          <t>R8〜R12</t>
        </is>
      </c>
      <c r="H11" s="13" t="n">
        <v>12</v>
      </c>
      <c r="I11" s="13" t="inlineStr">
        <is>
          <t>確認済</t>
        </is>
      </c>
      <c r="J11" s="13" t="inlineStr">
        <is>
          <t>策定済</t>
        </is>
      </c>
      <c r="K11" s="14" t="inlineStr">
        <is>
          <t>https://www.city.moka.lg.jp/material/files/group/47/kotsu_plan_r8.pdf</t>
        </is>
      </c>
      <c r="L11" s="11" t="inlineStr">
        <is>
          <t>第3次真岡市環境基本計画</t>
        </is>
      </c>
      <c r="M11" s="11" t="inlineStr">
        <is>
          <t>R8〜R17</t>
        </is>
      </c>
      <c r="N11" s="13" t="n">
        <v>17</v>
      </c>
      <c r="O11" s="13" t="inlineStr">
        <is>
          <t>確認済</t>
        </is>
      </c>
      <c r="P11" s="13" t="inlineStr">
        <is>
          <t>策定済</t>
        </is>
      </c>
      <c r="Q11" s="14" t="inlineStr">
        <is>
          <t>https://www.city.moka.lg.jp/material/files/group/22/20260416kankyougaiyouban.pdf</t>
        </is>
      </c>
      <c r="R11" s="11" t="inlineStr">
        <is>
          <t>交通・環境とも新計画をR8策定済。</t>
        </is>
      </c>
      <c r="S11" s="15" t="inlineStr">
        <is>
          <t>調査済</t>
        </is>
      </c>
      <c r="T11" s="11" t="inlineStr">
        <is>
          <t>掲載</t>
        </is>
      </c>
    </row>
    <row r="12">
      <c r="A12" s="11" t="n">
        <v>9</v>
      </c>
      <c r="B12" s="11" t="inlineStr">
        <is>
          <t>大田原市</t>
        </is>
      </c>
      <c r="C12" s="12">
        <f>IF(OR(D12="◎",E12="◎"),"◎ 営業",IF(OR(D12="△",E12="△"),"△ 着手済・要確認",IF(OR(D12="？",E12="？"),"？ 期間要確認","✕ 対象外")))</f>
        <v/>
      </c>
      <c r="D12" s="13">
        <f>IF(J12="計画なし","－",IF(J12="策定済","✕",IF(H12="","？",IF(AND(H12&gt;=TGT_MIN,H12&lt;=TGT_MAX),IF(J12="着手済","△","◎"),"✕"))))</f>
        <v/>
      </c>
      <c r="E12" s="13">
        <f>IF(P12="計画なし","－",IF(P12="策定済","✕",IF(N12="","？",IF(AND(N12&gt;=TGT_MIN,N12&lt;=TGT_MAX),IF(P12="着手済","△","◎"),"✕"))))</f>
        <v/>
      </c>
      <c r="F12" s="11" t="inlineStr">
        <is>
          <t>大田原市地域公共交通計画</t>
        </is>
      </c>
      <c r="G12" s="11" t="inlineStr">
        <is>
          <t>R4〜R9</t>
        </is>
      </c>
      <c r="H12" s="13" t="n">
        <v>9</v>
      </c>
      <c r="I12" s="13" t="inlineStr">
        <is>
          <t>確認済</t>
        </is>
      </c>
      <c r="J12" s="13" t="inlineStr">
        <is>
          <t>着手済</t>
        </is>
      </c>
      <c r="K12" s="14" t="inlineStr">
        <is>
          <t>https://www.city.ohtawara.tochigi.jp/docs/2026073100056</t>
        </is>
      </c>
      <c r="L12" s="11" t="inlineStr">
        <is>
          <t>大田原市環境基本計画（第三次計画）</t>
        </is>
      </c>
      <c r="M12" s="11" t="inlineStr">
        <is>
          <t>R8〜（終期はR17と推定）</t>
        </is>
      </c>
      <c r="N12" s="16" t="n">
        <v>17</v>
      </c>
      <c r="O12" s="13" t="inlineStr">
        <is>
          <t>推定</t>
        </is>
      </c>
      <c r="P12" s="13" t="inlineStr">
        <is>
          <t>策定済</t>
        </is>
      </c>
      <c r="Q12" s="14" t="inlineStr">
        <is>
          <t>https://www.city.ohtawara.tochigi.jp/docs/2026013000019</t>
        </is>
      </c>
      <c r="R12" s="11" t="inlineStr">
        <is>
          <t>【改定作業中】交通：次期計画（R10〜5年間）の策定調査業務の公募型プロポを2026-07-31に公告。環境：第三次をR8策定済。 【ファクトチェック 2026-10-01: 正しい】確認期間: R4〜R9（令和4(2022)年度〜令和9(2027)年度の6か年）／次期: 着手済: 次期計画策定調査業務委託の公募型プロポーザル（公告ページ https://www.city.ohtawara.tochigi.jp/docs/2026073100056 、ID上2026-07-31）→審査結果公表 https:/／根拠: https://www.city.ohtawara.tochigi.jp/docs/2022032900019/</t>
        </is>
      </c>
      <c r="S12" s="15" t="inlineStr">
        <is>
          <t>調査済</t>
        </is>
      </c>
      <c r="T12" s="11" t="inlineStr">
        <is>
          <t>掲載（広域：第2次那須地域定住自立圏）</t>
        </is>
      </c>
    </row>
    <row r="13">
      <c r="A13" s="11" t="n">
        <v>10</v>
      </c>
      <c r="B13" s="11" t="inlineStr">
        <is>
          <t>矢板市</t>
        </is>
      </c>
      <c r="C13" s="12">
        <f>IF(OR(D13="◎",E13="◎"),"◎ 営業",IF(OR(D13="△",E13="△"),"△ 着手済・要確認",IF(OR(D13="？",E13="？"),"？ 期間要確認","✕ 対象外")))</f>
        <v/>
      </c>
      <c r="D13" s="13">
        <f>IF(J13="計画なし","－",IF(J13="策定済","✕",IF(H13="","？",IF(AND(H13&gt;=TGT_MIN,H13&lt;=TGT_MAX),IF(J13="着手済","△","◎"),"✕"))))</f>
        <v/>
      </c>
      <c r="E13" s="13">
        <f>IF(P13="計画なし","－",IF(P13="策定済","✕",IF(N13="","？",IF(AND(N13&gt;=TGT_MIN,N13&lt;=TGT_MAX),IF(P13="着手済","△","◎"),"✕"))))</f>
        <v/>
      </c>
      <c r="F13" s="11" t="inlineStr">
        <is>
          <t>矢板市地域公共交通計画（R8.4策定）</t>
        </is>
      </c>
      <c r="G13" s="11" t="inlineStr">
        <is>
          <t>R8〜（終期不明）</t>
        </is>
      </c>
      <c r="H13" s="13" t="n"/>
      <c r="I13" s="13" t="inlineStr">
        <is>
          <t>不明</t>
        </is>
      </c>
      <c r="J13" s="13" t="inlineStr">
        <is>
          <t>策定済</t>
        </is>
      </c>
      <c r="K13" s="14" t="inlineStr">
        <is>
          <t>https://www.city.yaita.tochigi.jp/soshiki/toshiseibi/koukyoukoutsu-plan.html</t>
        </is>
      </c>
      <c r="L13" s="11" t="inlineStr">
        <is>
          <t>矢板市環境基本計画（R4.3策定）</t>
        </is>
      </c>
      <c r="M13" s="11" t="inlineStr">
        <is>
          <t>R4〜R13</t>
        </is>
      </c>
      <c r="N13" s="16" t="n">
        <v>13</v>
      </c>
      <c r="O13" s="13" t="inlineStr">
        <is>
          <t>推定</t>
        </is>
      </c>
      <c r="P13" s="13" t="inlineStr">
        <is>
          <t>未確認</t>
        </is>
      </c>
      <c r="Q13" s="14" t="inlineStr">
        <is>
          <t>https://www.city.yaita.tochigi.jp/soshiki/seikatsukankyou/kankyo-kihon.html</t>
        </is>
      </c>
      <c r="R13" s="11" t="inlineStr">
        <is>
          <t>交通：新計画をR8.4策定済。環境：期間を確認できず（温暖化対策は別の気候変動対策計画 R5〜R13）。 【追加調査 2026-10】環境基本計画：公式ページ https://www.city.yaita.tochigi.jp/soshiki/seikatsukankyou/kankyo-kihon.html の検索要約（1回のみ）で、気候変動・2050カーボンニュートラル対応のため大幅見直しを行いR4.3に新計画策定、計画期間R4〜R13の10年間、将来像「環境にやさしい人と自然が調和した持続可能なまち」。終期R13のため次期計画調査は対象外。温暖化対策は別の矢板市気候変動対策計画（R5.3）https://www.city.yaita.tochigi.jp/uploaded/attachment/16968.pdf 。市サイトはWebFetchブロックのため本文直接確認できず推定扱い。確認日2026-10-02。 根拠: 計画期間は令和4年度（2022年度）から令和13年度（2031年度）までの10年間（検索要約）</t>
        </is>
      </c>
      <c r="S13" s="15" t="inlineStr">
        <is>
          <t>調査済</t>
        </is>
      </c>
      <c r="T13" s="11" t="inlineStr">
        <is>
          <t>掲載</t>
        </is>
      </c>
    </row>
    <row r="14">
      <c r="A14" s="11" t="n">
        <v>11</v>
      </c>
      <c r="B14" s="11" t="inlineStr">
        <is>
          <t>那須塩原市</t>
        </is>
      </c>
      <c r="C14" s="12">
        <f>IF(OR(D14="◎",E14="◎"),"◎ 営業",IF(OR(D14="△",E14="△"),"△ 着手済・要確認",IF(OR(D14="？",E14="？"),"？ 期間要確認","✕ 対象外")))</f>
        <v/>
      </c>
      <c r="D14" s="13">
        <f>IF(J14="計画なし","－",IF(J14="策定済","✕",IF(H14="","？",IF(AND(H14&gt;=TGT_MIN,H14&lt;=TGT_MAX),IF(J14="着手済","△","◎"),"✕"))))</f>
        <v/>
      </c>
      <c r="E14" s="13">
        <f>IF(P14="計画なし","－",IF(P14="策定済","✕",IF(N14="","？",IF(AND(N14&gt;=TGT_MIN,N14&lt;=TGT_MAX),IF(P14="着手済","△","◎"),"✕"))))</f>
        <v/>
      </c>
      <c r="F14" s="11" t="inlineStr">
        <is>
          <t>第2次那須塩原市地域公共交通計画／那須地域定住自立圏計画</t>
        </is>
      </c>
      <c r="G14" s="11" t="inlineStr">
        <is>
          <t>R5〜R9</t>
        </is>
      </c>
      <c r="H14" s="13" t="n">
        <v>9</v>
      </c>
      <c r="I14" s="13" t="inlineStr">
        <is>
          <t>確認済</t>
        </is>
      </c>
      <c r="J14" s="13" t="inlineStr">
        <is>
          <t>未確認</t>
        </is>
      </c>
      <c r="K14" s="14" t="inlineStr">
        <is>
          <t>https://www.city.nasushiobara.tochigi.jp/material/files/group/15/nasushiobaracity_2nd_publictransportation.pdf</t>
        </is>
      </c>
      <c r="L14" s="11" t="inlineStr">
        <is>
          <t>第2期那須塩原市環境基本計画【改定版】</t>
        </is>
      </c>
      <c r="M14" s="11" t="inlineStr">
        <is>
          <t>H29〜R12（延長）</t>
        </is>
      </c>
      <c r="N14" s="13" t="n">
        <v>12</v>
      </c>
      <c r="O14" s="13" t="inlineStr">
        <is>
          <t>確認済</t>
        </is>
      </c>
      <c r="P14" s="13" t="inlineStr">
        <is>
          <t>策定済</t>
        </is>
      </c>
      <c r="Q14" s="14" t="inlineStr">
        <is>
          <t>https://www.city.nasushiobara.tochigi.jp/material/files/group/13/dai2ki_kankyokihonkeikaku_an.pdf</t>
        </is>
      </c>
      <c r="R14" s="11" t="inlineStr">
        <is>
          <t>環境：改定版で終期をR9からR12へ延長（R7.11審議会報告。最終策定は要確認）。交通：第3次の策定業務は見つからず。定住自立圏計画（4市町共同）もR9で終了。 【ファクトチェック 2026-10-01: 正しい】確認期間: R5〜R9（令和5年4月〜令和10年3月の5年間）／次期: 確認できず（次期=第3次の策定支援プロポ等は検索で見当たらず。R5・R7に「那須地域定住自立圏及び那須塩原市地域公共交通計画推進(等)支援業務」の公募あり https://labid.jp/projects/ad86a7ca-1570-43／根拠: https://www.city.nasushiobara.tochigi.jp/soshikikarasagasu/kb/shinoseisakutokeikaku/1/5506.html 【ファクトチェック 2026-10-01: 確認できず】確認期間: H29〜R12（2017〜2030年度）※改定版（案）段階の記述。最終策定は未確認／次期: 改定作業中: R7年度環境審議会（第1回9/3、第2回11/27）で改定版（案）とパブコメ結果を審議 https://www.city.nasushiobara.tochigi.jp/shiseijoho/shingikai/8439.ht／根拠: https://www.city.nasushiobara.tochigi.jp/material/files/group/13/dai2ki_kankyokihonkeikaku_an.pdf</t>
        </is>
      </c>
      <c r="S14" s="15" t="inlineStr">
        <is>
          <t>調査済</t>
        </is>
      </c>
      <c r="T14" s="11" t="inlineStr">
        <is>
          <t>掲載（広域：第2次那須地域定住自立圏）</t>
        </is>
      </c>
    </row>
    <row r="15">
      <c r="A15" s="11" t="n">
        <v>12</v>
      </c>
      <c r="B15" s="11" t="inlineStr">
        <is>
          <t>さくら市</t>
        </is>
      </c>
      <c r="C15" s="12">
        <f>IF(OR(D15="◎",E15="◎"),"◎ 営業",IF(OR(D15="△",E15="△"),"△ 着手済・要確認",IF(OR(D15="？",E15="？"),"？ 期間要確認","✕ 対象外")))</f>
        <v/>
      </c>
      <c r="D15" s="13">
        <f>IF(J15="計画なし","－",IF(J15="策定済","✕",IF(H15="","？",IF(AND(H15&gt;=TGT_MIN,H15&lt;=TGT_MAX),IF(J15="着手済","△","◎"),"✕"))))</f>
        <v/>
      </c>
      <c r="E15" s="13">
        <f>IF(P15="計画なし","－",IF(P15="策定済","✕",IF(N15="","？",IF(AND(N15&gt;=TGT_MIN,N15&lt;=TGT_MAX),IF(P15="着手済","△","◎"),"✕"))))</f>
        <v/>
      </c>
      <c r="F15" s="11" t="inlineStr">
        <is>
          <t>さくら市地域公共交通計画（R6.3策定）</t>
        </is>
      </c>
      <c r="G15" s="11" t="inlineStr">
        <is>
          <t>R6〜R10（推定）</t>
        </is>
      </c>
      <c r="H15" s="16" t="n">
        <v>10</v>
      </c>
      <c r="I15" s="13" t="inlineStr">
        <is>
          <t>推定</t>
        </is>
      </c>
      <c r="J15" s="13" t="inlineStr">
        <is>
          <t>未確認</t>
        </is>
      </c>
      <c r="K15" s="14" t="inlineStr">
        <is>
          <t>https://www.city.tochigi-sakura.lg.jp/life/000017/p003140.html</t>
        </is>
      </c>
      <c r="L15" s="11" t="inlineStr">
        <is>
          <t>第2次さくら市環境基本計画</t>
        </is>
      </c>
      <c r="M15" s="11" t="inlineStr">
        <is>
          <t>H30〜R9</t>
        </is>
      </c>
      <c r="N15" s="13" t="n">
        <v>9</v>
      </c>
      <c r="O15" s="13" t="inlineStr">
        <is>
          <t>確認済</t>
        </is>
      </c>
      <c r="P15" s="13" t="inlineStr">
        <is>
          <t>未確認</t>
        </is>
      </c>
      <c r="Q15" s="14" t="inlineStr">
        <is>
          <t>https://www.city.tochigi-sakura.lg.jp/life/000014/000121/000403/p001957.html</t>
        </is>
      </c>
      <c r="R15" s="11" t="inlineStr">
        <is>
          <t>環境はR9で終了。第3次の業務委託・アンケートは見つからず。 【ファクトチェック 2026-10-01: 正しい】確認期間: H30年度〜R9年度（10年間）／次期: 確認できず（第3次さくら市環境基本計画・策定支援業務プロポの情報は検索で見当たらず）／根拠: https://www.city.tochigi-sakura.lg.jp/life/000014/000121/000403/p001957.html</t>
        </is>
      </c>
      <c r="S15" s="15" t="inlineStr">
        <is>
          <t>調査済</t>
        </is>
      </c>
      <c r="T15" s="11" t="inlineStr">
        <is>
          <t>掲載</t>
        </is>
      </c>
    </row>
    <row r="16">
      <c r="A16" s="11" t="n">
        <v>13</v>
      </c>
      <c r="B16" s="11" t="inlineStr">
        <is>
          <t>那須烏山市</t>
        </is>
      </c>
      <c r="C16" s="12">
        <f>IF(OR(D16="◎",E16="◎"),"◎ 営業",IF(OR(D16="△",E16="△"),"△ 着手済・要確認",IF(OR(D16="？",E16="？"),"？ 期間要確認","✕ 対象外")))</f>
        <v/>
      </c>
      <c r="D16" s="13">
        <f>IF(J16="計画なし","－",IF(J16="策定済","✕",IF(H16="","？",IF(AND(H16&gt;=TGT_MIN,H16&lt;=TGT_MAX),IF(J16="着手済","△","◎"),"✕"))))</f>
        <v/>
      </c>
      <c r="E16" s="13">
        <f>IF(P16="計画なし","－",IF(P16="策定済","✕",IF(N16="","？",IF(AND(N16&gt;=TGT_MIN,N16&lt;=TGT_MAX),IF(P16="着手済","△","◎"),"✕"))))</f>
        <v/>
      </c>
      <c r="F16" s="11" t="inlineStr">
        <is>
          <t>那須烏山市地域公共交通計画</t>
        </is>
      </c>
      <c r="G16" s="11" t="inlineStr">
        <is>
          <t>R3〜R7（推定）</t>
        </is>
      </c>
      <c r="H16" s="16" t="n">
        <v>7</v>
      </c>
      <c r="I16" s="13" t="inlineStr">
        <is>
          <t>推定</t>
        </is>
      </c>
      <c r="J16" s="13" t="inlineStr">
        <is>
          <t>未確認</t>
        </is>
      </c>
      <c r="K16" s="14" t="inlineStr">
        <is>
          <t>https://www.city.nasukarasuyama.lg.jp/page/page000722.html</t>
        </is>
      </c>
      <c r="L16" s="11" t="inlineStr">
        <is>
          <t>第3次那須烏山市環境基本計画</t>
        </is>
      </c>
      <c r="M16" s="11" t="inlineStr">
        <is>
          <t>R6〜R10（推定）</t>
        </is>
      </c>
      <c r="N16" s="16" t="n">
        <v>10</v>
      </c>
      <c r="O16" s="13" t="inlineStr">
        <is>
          <t>推定</t>
        </is>
      </c>
      <c r="P16" s="13" t="inlineStr">
        <is>
          <t>未確認</t>
        </is>
      </c>
      <c r="Q16" s="14" t="inlineStr">
        <is>
          <t>https://www.city.nasukarasuyama.lg.jp/page/page000773.html</t>
        </is>
      </c>
      <c r="R16" s="11" t="inlineStr">
        <is>
          <t>交通：R7で終了とみられるが、次の計画の状況（策定済・延長・作業中）を確認できず。直接確認が必要。 【追加調査 2026-10】[2026-10-02 task3] 現行は第2次ではなく第3次計画。市サイト検索結果で『第3次那須烏山市環境基本計画（原案）パブコメ R6年1〜2月実施』『第3次計画を公表（本編・概要版PDF）』を確認（https://www.city.nasukarasuyama.lg.jp/page/page000160.html , https://www.city.nasukarasuyama.lg.jp/page/page000773.html）。過去: 第1次改訂版H26〜H30（5年）、第2次素案パブコメH31.1〜2月→5年周期とみられる。期間R6〜R10は検索要約（第3次一般廃棄物処理基本計画R8.3 https://www.city.nasukarasuyama.lg.jp/data/doc/1774918237_doc_65_0.pdf 関連）に出たのみで本文未確認のため推定。終期R10のため次期計画調査は対象外。市サイトはWebFetchブロック。 根拠: 第3次那須烏山市環境基本計画（原案）は令和6年1月から2月までパブリックコメント実施（検索要約）／計画期間 令和6(2024)年度〜令和10(2028)年度（検索要約・未確認）</t>
        </is>
      </c>
      <c r="S16" s="15" t="inlineStr">
        <is>
          <t>調査済</t>
        </is>
      </c>
      <c r="T16" s="11" t="inlineStr">
        <is>
          <t>掲載</t>
        </is>
      </c>
    </row>
    <row r="17">
      <c r="A17" s="11" t="n">
        <v>14</v>
      </c>
      <c r="B17" s="11" t="inlineStr">
        <is>
          <t>下野市</t>
        </is>
      </c>
      <c r="C17" s="12">
        <f>IF(OR(D17="◎",E17="◎"),"◎ 営業",IF(OR(D17="△",E17="△"),"△ 着手済・要確認",IF(OR(D17="？",E17="？"),"？ 期間要確認","✕ 対象外")))</f>
        <v/>
      </c>
      <c r="D17" s="13">
        <f>IF(J17="計画なし","－",IF(J17="策定済","✕",IF(H17="","？",IF(AND(H17&gt;=TGT_MIN,H17&lt;=TGT_MAX),IF(J17="着手済","△","◎"),"✕"))))</f>
        <v/>
      </c>
      <c r="E17" s="13">
        <f>IF(P17="計画なし","－",IF(P17="策定済","✕",IF(N17="","？",IF(AND(N17&gt;=TGT_MIN,N17&lt;=TGT_MAX),IF(P17="着手済","△","◎"),"✕"))))</f>
        <v/>
      </c>
      <c r="F17" s="11" t="inlineStr">
        <is>
          <t>下野市地域公共交通計画（R8.3策定）</t>
        </is>
      </c>
      <c r="G17" s="11" t="inlineStr">
        <is>
          <t>R8〜R12（推定）</t>
        </is>
      </c>
      <c r="H17" s="16" t="n">
        <v>12</v>
      </c>
      <c r="I17" s="13" t="inlineStr">
        <is>
          <t>推定</t>
        </is>
      </c>
      <c r="J17" s="13" t="inlineStr">
        <is>
          <t>策定済</t>
        </is>
      </c>
      <c r="K17" s="14" t="inlineStr">
        <is>
          <t>https://www.city.shimotsuke.lg.jp/0170/info-0000005122-3.html</t>
        </is>
      </c>
      <c r="L17" s="11" t="inlineStr">
        <is>
          <t>第二次下野市環境基本計画</t>
        </is>
      </c>
      <c r="M17" s="11" t="inlineStr">
        <is>
          <t>R5〜R14</t>
        </is>
      </c>
      <c r="N17" s="13" t="n">
        <v>14</v>
      </c>
      <c r="O17" s="13" t="inlineStr">
        <is>
          <t>確認済</t>
        </is>
      </c>
      <c r="P17" s="13" t="inlineStr">
        <is>
          <t>未確認</t>
        </is>
      </c>
      <c r="Q17" s="14" t="inlineStr">
        <is>
          <t>https://www.city.shimotsuke.lg.jp/office0109/section-3.html</t>
        </is>
      </c>
      <c r="R17" s="11" t="inlineStr">
        <is>
          <t>交通：新計画をR8.3策定済。環境：期間を確認できず。 【追加調査 2026-10】[2026-10-02 task3] 検索結果本文で計画期間R5(2023)〜R14(2032)の10年間、中間年R9に見直し予定と確認（下野市サイト掲載PDF: https://www.city.shimotsuke.lg.jp/manage/contents/upload/661337b2ec841.pdf 等）。終期R14のため次期計画調査は対象外。R9中間見直しは営業の切り口になり得る。所管ページ: https://www.city.shimotsuke.lg.jp/office0109/section-3.html 根拠: 本計画は、令和5（2023）年度から令和14（2032）年度までの10年間を計画期間とします。</t>
        </is>
      </c>
      <c r="S17" s="15" t="inlineStr">
        <is>
          <t>調査済</t>
        </is>
      </c>
      <c r="T17" s="11" t="inlineStr">
        <is>
          <t>掲載</t>
        </is>
      </c>
    </row>
    <row r="18">
      <c r="A18" s="11" t="n">
        <v>15</v>
      </c>
      <c r="B18" s="11" t="inlineStr">
        <is>
          <t>上三川町</t>
        </is>
      </c>
      <c r="C18" s="12">
        <f>IF(OR(D18="◎",E18="◎"),"◎ 営業",IF(OR(D18="△",E18="△"),"△ 着手済・要確認",IF(OR(D18="？",E18="？"),"？ 期間要確認","✕ 対象外")))</f>
        <v/>
      </c>
      <c r="D18" s="13">
        <f>IF(J18="計画なし","－",IF(J18="策定済","✕",IF(H18="","？",IF(AND(H18&gt;=TGT_MIN,H18&lt;=TGT_MAX),IF(J18="着手済","△","◎"),"✕"))))</f>
        <v/>
      </c>
      <c r="E18" s="13">
        <f>IF(P18="計画なし","－",IF(P18="策定済","✕",IF(N18="","？",IF(AND(N18&gt;=TGT_MIN,N18&lt;=TGT_MAX),IF(P18="着手済","△","◎"),"✕"))))</f>
        <v/>
      </c>
      <c r="F18" s="11" t="inlineStr">
        <is>
          <t>上三川町地域公共交通計画（R4.6改定）</t>
        </is>
      </c>
      <c r="G18" s="11" t="inlineStr">
        <is>
          <t>H30〜（終期不明）</t>
        </is>
      </c>
      <c r="H18" s="13" t="n"/>
      <c r="I18" s="13" t="inlineStr">
        <is>
          <t>不明</t>
        </is>
      </c>
      <c r="J18" s="13" t="inlineStr">
        <is>
          <t>未確認</t>
        </is>
      </c>
      <c r="K18" s="14" t="inlineStr">
        <is>
          <t>https://www.town.kaminokawa.lg.jp/0166/info-0000001338-0.html</t>
        </is>
      </c>
      <c r="L18" s="11" t="inlineStr">
        <is>
          <t>（環境基本計画なし）区域施策編・適応計画</t>
        </is>
      </c>
      <c r="M18" s="11" t="inlineStr">
        <is>
          <t>R6〜R12</t>
        </is>
      </c>
      <c r="N18" s="13" t="n">
        <v>12</v>
      </c>
      <c r="O18" s="13" t="inlineStr">
        <is>
          <t>確認済</t>
        </is>
      </c>
      <c r="P18" s="13" t="inlineStr">
        <is>
          <t>計画なし</t>
        </is>
      </c>
      <c r="Q18" s="14" t="inlineStr">
        <is>
          <t>https://www.town.kaminokawa.lg.jp/0003/info-0000003247-0.html</t>
        </is>
      </c>
      <c r="R18" s="11" t="inlineStr">
        <is>
          <t>交通：R7の協議会資料に計画改定の報告あり（中程度の確度・要確認）。</t>
        </is>
      </c>
      <c r="S18" s="15" t="inlineStr">
        <is>
          <t>調査済</t>
        </is>
      </c>
      <c r="T18" s="11" t="inlineStr">
        <is>
          <t>掲載</t>
        </is>
      </c>
    </row>
    <row r="19">
      <c r="A19" s="11" t="n">
        <v>16</v>
      </c>
      <c r="B19" s="11" t="inlineStr">
        <is>
          <t>益子町</t>
        </is>
      </c>
      <c r="C19" s="12">
        <f>IF(OR(D19="◎",E19="◎"),"◎ 営業",IF(OR(D19="△",E19="△"),"△ 着手済・要確認",IF(OR(D19="？",E19="？"),"？ 期間要確認","✕ 対象外")))</f>
        <v/>
      </c>
      <c r="D19" s="13">
        <f>IF(J19="計画なし","－",IF(J19="策定済","✕",IF(H19="","？",IF(AND(H19&gt;=TGT_MIN,H19&lt;=TGT_MAX),IF(J19="着手済","△","◎"),"✕"))))</f>
        <v/>
      </c>
      <c r="E19" s="13">
        <f>IF(P19="計画なし","－",IF(P19="策定済","✕",IF(N19="","？",IF(AND(N19&gt;=TGT_MIN,N19&lt;=TGT_MAX),IF(P19="着手済","△","◎"),"✕"))))</f>
        <v/>
      </c>
      <c r="F19" s="11" t="inlineStr">
        <is>
          <t>益子町地域公共交通計画（R4.3策定）</t>
        </is>
      </c>
      <c r="G19" s="11" t="inlineStr">
        <is>
          <t>R4〜R8（推定）</t>
        </is>
      </c>
      <c r="H19" s="16" t="n">
        <v>8</v>
      </c>
      <c r="I19" s="13" t="inlineStr">
        <is>
          <t>推定</t>
        </is>
      </c>
      <c r="J19" s="13" t="inlineStr">
        <is>
          <t>未確認</t>
        </is>
      </c>
      <c r="K19" s="14" t="inlineStr">
        <is>
          <t>https://www.town.mashiko.lg.jp/page/page003396.html</t>
        </is>
      </c>
      <c r="L19" s="11" t="inlineStr">
        <is>
          <t>益子町第3次環境基本計画</t>
        </is>
      </c>
      <c r="M19" s="11" t="inlineStr">
        <is>
          <t>R5〜R14</t>
        </is>
      </c>
      <c r="N19" s="13" t="n">
        <v>14</v>
      </c>
      <c r="O19" s="13" t="inlineStr">
        <is>
          <t>確認済</t>
        </is>
      </c>
      <c r="P19" s="13" t="inlineStr">
        <is>
          <t>未確認</t>
        </is>
      </c>
      <c r="Q19" s="14" t="inlineStr">
        <is>
          <t>https://www.town.mashiko.lg.jp/page/page000467.html</t>
        </is>
      </c>
      <c r="R19" s="11" t="inlineStr">
        <is>
          <t>交通：R8で終了とみられるが、次の計画の業務委託は見つからず。</t>
        </is>
      </c>
      <c r="S19" s="15" t="inlineStr">
        <is>
          <t>調査済</t>
        </is>
      </c>
      <c r="T19" s="11" t="inlineStr">
        <is>
          <t>掲載</t>
        </is>
      </c>
    </row>
    <row r="20">
      <c r="A20" s="11" t="n">
        <v>17</v>
      </c>
      <c r="B20" s="11" t="inlineStr">
        <is>
          <t>茂木町</t>
        </is>
      </c>
      <c r="C20" s="12">
        <f>IF(OR(D20="◎",E20="◎"),"◎ 営業",IF(OR(D20="△",E20="△"),"△ 着手済・要確認",IF(OR(D20="？",E20="？"),"？ 期間要確認","✕ 対象外")))</f>
        <v/>
      </c>
      <c r="D20" s="13">
        <f>IF(J20="計画なし","－",IF(J20="策定済","✕",IF(H20="","？",IF(AND(H20&gt;=TGT_MIN,H20&lt;=TGT_MAX),IF(J20="着手済","△","◎"),"✕"))))</f>
        <v/>
      </c>
      <c r="E20" s="13">
        <f>IF(P20="計画なし","－",IF(P20="策定済","✕",IF(N20="","？",IF(AND(N20&gt;=TGT_MIN,N20&lt;=TGT_MAX),IF(P20="着手済","△","◎"),"✕"))))</f>
        <v/>
      </c>
      <c r="F20" s="11" t="inlineStr">
        <is>
          <t>茂木町地域公共交通計画</t>
        </is>
      </c>
      <c r="G20" s="11" t="inlineStr">
        <is>
          <t>不明</t>
        </is>
      </c>
      <c r="H20" s="13" t="n"/>
      <c r="I20" s="13" t="inlineStr">
        <is>
          <t>不明</t>
        </is>
      </c>
      <c r="J20" s="13" t="inlineStr">
        <is>
          <t>未確認</t>
        </is>
      </c>
      <c r="K20" s="14" t="inlineStr">
        <is>
          <t>https://www.town.motegi.tochigi.jp/motegi/nextpage.php?cd=6374&amp;syurui=2</t>
        </is>
      </c>
      <c r="L20" s="11" t="inlineStr">
        <is>
          <t>（環境基本計画なし）区域施策編</t>
        </is>
      </c>
      <c r="M20" s="11" t="inlineStr">
        <is>
          <t>R6〜R12</t>
        </is>
      </c>
      <c r="N20" s="13" t="n">
        <v>12</v>
      </c>
      <c r="O20" s="13" t="inlineStr">
        <is>
          <t>確認済</t>
        </is>
      </c>
      <c r="P20" s="13" t="inlineStr">
        <is>
          <t>計画なし</t>
        </is>
      </c>
      <c r="Q20" s="14" t="inlineStr">
        <is>
          <t>https://www.town.motegi.tochigi.jp/motegi/nextpage.php?cd=7672&amp;syurui=2</t>
        </is>
      </c>
      <c r="R20" s="11" t="inlineStr">
        <is>
          <t>交通：期間を確認できず。</t>
        </is>
      </c>
      <c r="S20" s="15" t="inlineStr">
        <is>
          <t>調査済</t>
        </is>
      </c>
      <c r="T20" s="11" t="inlineStr">
        <is>
          <t>掲載</t>
        </is>
      </c>
    </row>
    <row r="21">
      <c r="A21" s="11" t="n">
        <v>18</v>
      </c>
      <c r="B21" s="11" t="inlineStr">
        <is>
          <t>市貝町</t>
        </is>
      </c>
      <c r="C21" s="12">
        <f>IF(OR(D21="◎",E21="◎"),"◎ 営業",IF(OR(D21="△",E21="△"),"△ 着手済・要確認",IF(OR(D21="？",E21="？"),"？ 期間要確認","✕ 対象外")))</f>
        <v/>
      </c>
      <c r="D21" s="13">
        <f>IF(J21="計画なし","－",IF(J21="策定済","✕",IF(H21="","？",IF(AND(H21&gt;=TGT_MIN,H21&lt;=TGT_MAX),IF(J21="着手済","△","◎"),"✕"))))</f>
        <v/>
      </c>
      <c r="E21" s="13">
        <f>IF(P21="計画なし","－",IF(P21="策定済","✕",IF(N21="","？",IF(AND(N21&gt;=TGT_MIN,N21&lt;=TGT_MAX),IF(P21="着手済","△","◎"),"✕"))))</f>
        <v/>
      </c>
      <c r="F21" s="11" t="inlineStr">
        <is>
          <t>市貝町地域公共交通計画（R6.3頃策定）</t>
        </is>
      </c>
      <c r="G21" s="11" t="inlineStr">
        <is>
          <t>不明</t>
        </is>
      </c>
      <c r="H21" s="13" t="n"/>
      <c r="I21" s="13" t="inlineStr">
        <is>
          <t>不明</t>
        </is>
      </c>
      <c r="J21" s="13" t="inlineStr">
        <is>
          <t>未確認</t>
        </is>
      </c>
      <c r="K21" s="14" t="inlineStr">
        <is>
          <t>https://www.town.ichikai.tochigi.jp/info/785</t>
        </is>
      </c>
      <c r="L21" s="11" t="inlineStr">
        <is>
          <t>市貝町環境基本計画及び地球温暖化対策実行計画（区域施策編）</t>
        </is>
      </c>
      <c r="M21" s="11" t="inlineStr">
        <is>
          <t>不明</t>
        </is>
      </c>
      <c r="N21" s="13" t="n"/>
      <c r="O21" s="13" t="inlineStr">
        <is>
          <t>不明</t>
        </is>
      </c>
      <c r="P21" s="13" t="inlineStr">
        <is>
          <t>未確認</t>
        </is>
      </c>
      <c r="Q21" s="14" t="inlineStr">
        <is>
          <t>https://www.town.ichikai.tochigi.jp/info/1814</t>
        </is>
      </c>
      <c r="R21" s="11" t="inlineStr">
        <is>
          <t>どちらも期間を確認できず。 【追加調査 2026-10】[2026-10-02 task3] 町サイトの計画ページ（https://www.town.ichikai.tochigi.jp/info/1814）で環境基本計画と地球温暖化対策実行計画（区域施策編）を一体策定したことを確認（将来像『人と自然が響きあい、一人ひとりが輝くまち』相当、6つの施策の柱）。策定年・期間は検索12回で確認できず。第6次振興計画後期基本計画（R3〜R7, https://www.town.ichikai.tochigi.jp/div/kikaku/pdf/shinkoukeikaku/54.pdf）に『環境基本計画の策定を検討』とあり、地球温暖化対策推進委員会規程がR4.8制定（https://www.town.ichikai.tochigi.jp/div/admin/htm/reiki/reiki_honbun/e124RG00000951.html）→R4〜R6頃策定の初の計画とみられる（推定）。期間は不明のまま。町サイトはWebFetchブロック。直接確認が必要。 根拠: （期間の根拠なし）振興計画後期基本計画: 環境基本計画の策定を検討する</t>
        </is>
      </c>
      <c r="S21" s="15" t="inlineStr">
        <is>
          <t>調査済</t>
        </is>
      </c>
      <c r="T21" s="11" t="inlineStr">
        <is>
          <t>掲載</t>
        </is>
      </c>
    </row>
    <row r="22">
      <c r="A22" s="11" t="n">
        <v>19</v>
      </c>
      <c r="B22" s="11" t="inlineStr">
        <is>
          <t>芳賀町</t>
        </is>
      </c>
      <c r="C22" s="12">
        <f>IF(OR(D22="◎",E22="◎"),"◎ 営業",IF(OR(D22="△",E22="△"),"△ 着手済・要確認",IF(OR(D22="？",E22="？"),"？ 期間要確認","✕ 対象外")))</f>
        <v/>
      </c>
      <c r="D22" s="13">
        <f>IF(J22="計画なし","－",IF(J22="策定済","✕",IF(H22="","？",IF(AND(H22&gt;=TGT_MIN,H22&lt;=TGT_MAX),IF(J22="着手済","△","◎"),"✕"))))</f>
        <v/>
      </c>
      <c r="E22" s="13">
        <f>IF(P22="計画なし","－",IF(P22="策定済","✕",IF(N22="","？",IF(AND(N22&gt;=TGT_MIN,N22&lt;=TGT_MAX),IF(P22="着手済","△","◎"),"✕"))))</f>
        <v/>
      </c>
      <c r="F22" s="11" t="inlineStr">
        <is>
          <t>芳賀・宇都宮地域公共交通計画（宇都宮市と共同）</t>
        </is>
      </c>
      <c r="G22" s="11" t="inlineStr">
        <is>
          <t>R6〜R15</t>
        </is>
      </c>
      <c r="H22" s="13" t="n">
        <v>15</v>
      </c>
      <c r="I22" s="13" t="inlineStr">
        <is>
          <t>確認済</t>
        </is>
      </c>
      <c r="J22" s="13" t="inlineStr">
        <is>
          <t>未確認</t>
        </is>
      </c>
      <c r="K22" s="14" t="inlineStr">
        <is>
          <t>https://www.town.tochigi-haga.lg.jp/kurashi/sekatsu/kokyokotsu/koukyoukoutsuu/koukyoukoutsuu6.html</t>
        </is>
      </c>
      <c r="L22" s="11" t="inlineStr">
        <is>
          <t>（環境基本計画なし）2050カーボンニュートラル実現計画（R6.4）</t>
        </is>
      </c>
      <c r="M22" s="11" t="inlineStr">
        <is>
          <t>〜R12（2030目標）</t>
        </is>
      </c>
      <c r="N22" s="13" t="n"/>
      <c r="O22" s="13" t="inlineStr">
        <is>
          <t>不明</t>
        </is>
      </c>
      <c r="P22" s="13" t="inlineStr">
        <is>
          <t>計画なし</t>
        </is>
      </c>
      <c r="Q22" s="14" t="inlineStr">
        <is>
          <t>https://www.town.tochigi-haga.lg.jp/kurashi/kurashi/ka-bonnyu-toraru/documents/jitugennkeikaku1.pdf</t>
        </is>
      </c>
      <c r="R22" s="11" t="inlineStr">
        <is>
          <t>交通はR15まで。環境基本計画はなし。</t>
        </is>
      </c>
      <c r="S22" s="15" t="inlineStr">
        <is>
          <t>調査済</t>
        </is>
      </c>
      <c r="T22" s="11" t="inlineStr">
        <is>
          <t>掲載（広域：芳賀・宇都宮）</t>
        </is>
      </c>
    </row>
    <row r="23">
      <c r="A23" s="11" t="n">
        <v>20</v>
      </c>
      <c r="B23" s="11" t="inlineStr">
        <is>
          <t>壬生町</t>
        </is>
      </c>
      <c r="C23" s="12">
        <f>IF(OR(D23="◎",E23="◎"),"◎ 営業",IF(OR(D23="△",E23="△"),"△ 着手済・要確認",IF(OR(D23="？",E23="？"),"？ 期間要確認","✕ 対象外")))</f>
        <v/>
      </c>
      <c r="D23" s="13">
        <f>IF(J23="計画なし","－",IF(J23="策定済","✕",IF(H23="","？",IF(AND(H23&gt;=TGT_MIN,H23&lt;=TGT_MAX),IF(J23="着手済","△","◎"),"✕"))))</f>
        <v/>
      </c>
      <c r="E23" s="13">
        <f>IF(P23="計画なし","－",IF(P23="策定済","✕",IF(N23="","？",IF(AND(N23&gt;=TGT_MIN,N23&lt;=TGT_MAX),IF(P23="着手済","△","◎"),"✕"))))</f>
        <v/>
      </c>
      <c r="F23" s="11" t="inlineStr">
        <is>
          <t>壬生町地域公共交通計画</t>
        </is>
      </c>
      <c r="G23" s="11" t="inlineStr">
        <is>
          <t>R4〜R8</t>
        </is>
      </c>
      <c r="H23" s="13" t="n">
        <v>8</v>
      </c>
      <c r="I23" s="13" t="inlineStr">
        <is>
          <t>確認済</t>
        </is>
      </c>
      <c r="J23" s="13" t="inlineStr">
        <is>
          <t>着手済</t>
        </is>
      </c>
      <c r="K23" s="14" t="inlineStr">
        <is>
          <t>https://www.town.mibu.tochigi.jp/docs/2026042000042</t>
        </is>
      </c>
      <c r="L23" s="11" t="inlineStr">
        <is>
          <t>壬生町環境基本計画（温対・適応計画を兼ねる）</t>
        </is>
      </c>
      <c r="M23" s="11" t="inlineStr">
        <is>
          <t>R7〜R12</t>
        </is>
      </c>
      <c r="N23" s="13" t="n">
        <v>12</v>
      </c>
      <c r="O23" s="13" t="inlineStr">
        <is>
          <t>確認済</t>
        </is>
      </c>
      <c r="P23" s="13" t="inlineStr">
        <is>
          <t>策定済</t>
        </is>
      </c>
      <c r="Q23" s="14" t="inlineStr">
        <is>
          <t>https://www.town.mibu.tochigi.jp/docs/2025032700030/file_contents/mibumachikankyokihonkeikaku.pdf</t>
        </is>
      </c>
      <c r="R23" s="11" t="inlineStr">
        <is>
          <t>【改定作業中】交通：次期計画の策定業務委託の公募型プロポをR8.4.23に公告（事業者はR8.6に選定済）。</t>
        </is>
      </c>
      <c r="S23" s="15" t="inlineStr">
        <is>
          <t>調査済</t>
        </is>
      </c>
      <c r="T23" s="11" t="inlineStr">
        <is>
          <t>掲載</t>
        </is>
      </c>
    </row>
    <row r="24">
      <c r="A24" s="11" t="n">
        <v>21</v>
      </c>
      <c r="B24" s="11" t="inlineStr">
        <is>
          <t>野木町</t>
        </is>
      </c>
      <c r="C24" s="12">
        <f>IF(OR(D24="◎",E24="◎"),"◎ 営業",IF(OR(D24="△",E24="△"),"△ 着手済・要確認",IF(OR(D24="？",E24="？"),"？ 期間要確認","✕ 対象外")))</f>
        <v/>
      </c>
      <c r="D24" s="13">
        <f>IF(J24="計画なし","－",IF(J24="策定済","✕",IF(H24="","？",IF(AND(H24&gt;=TGT_MIN,H24&lt;=TGT_MAX),IF(J24="着手済","△","◎"),"✕"))))</f>
        <v/>
      </c>
      <c r="E24" s="13">
        <f>IF(P24="計画なし","－",IF(P24="策定済","✕",IF(N24="","？",IF(AND(N24&gt;=TGT_MIN,N24&lt;=TGT_MAX),IF(P24="着手済","△","◎"),"✕"))))</f>
        <v/>
      </c>
      <c r="F24" s="11" t="inlineStr">
        <is>
          <t>野木町地域公共交通計画</t>
        </is>
      </c>
      <c r="G24" s="11" t="inlineStr">
        <is>
          <t>R6〜R10</t>
        </is>
      </c>
      <c r="H24" s="16" t="n">
        <v>10</v>
      </c>
      <c r="I24" s="13" t="inlineStr">
        <is>
          <t>推定</t>
        </is>
      </c>
      <c r="J24" s="13" t="inlineStr">
        <is>
          <t>未確認</t>
        </is>
      </c>
      <c r="K24" s="14" t="inlineStr">
        <is>
          <t>https://www.town.nogi.lg.jp/cyousei/cyousei_jyouhou/keikaku/keikaku_toshiseibi/page005745.html</t>
        </is>
      </c>
      <c r="L24" s="11" t="inlineStr">
        <is>
          <t>（環境基本計画なし）区域施策編</t>
        </is>
      </c>
      <c r="M24" s="11" t="inlineStr">
        <is>
          <t>不明</t>
        </is>
      </c>
      <c r="N24" s="13" t="n"/>
      <c r="O24" s="13" t="inlineStr">
        <is>
          <t>不明</t>
        </is>
      </c>
      <c r="P24" s="13" t="inlineStr">
        <is>
          <t>計画なし</t>
        </is>
      </c>
      <c r="Q24" s="14" t="inlineStr">
        <is>
          <t>https://www.town.nogi.lg.jp/kurashi/kankyou/ondanka/hojo/</t>
        </is>
      </c>
      <c r="R24" s="11" t="inlineStr">
        <is>
          <t>交通はR10まで（検索結果1件のみで確度は中程度）。</t>
        </is>
      </c>
      <c r="S24" s="15" t="inlineStr">
        <is>
          <t>調査済</t>
        </is>
      </c>
      <c r="T24" s="11" t="inlineStr">
        <is>
          <t>掲載</t>
        </is>
      </c>
    </row>
    <row r="25">
      <c r="A25" s="11" t="n">
        <v>22</v>
      </c>
      <c r="B25" s="11" t="inlineStr">
        <is>
          <t>塩谷町</t>
        </is>
      </c>
      <c r="C25" s="12">
        <f>IF(OR(D25="◎",E25="◎"),"◎ 営業",IF(OR(D25="△",E25="△"),"△ 着手済・要確認",IF(OR(D25="？",E25="？"),"？ 期間要確認","✕ 対象外")))</f>
        <v/>
      </c>
      <c r="D25" s="13">
        <f>IF(J25="計画なし","－",IF(J25="策定済","✕",IF(H25="","？",IF(AND(H25&gt;=TGT_MIN,H25&lt;=TGT_MAX),IF(J25="着手済","△","◎"),"✕"))))</f>
        <v/>
      </c>
      <c r="E25" s="13">
        <f>IF(P25="計画なし","－",IF(P25="策定済","✕",IF(N25="","？",IF(AND(N25&gt;=TGT_MIN,N25&lt;=TGT_MAX),IF(P25="着手済","△","◎"),"✕"))))</f>
        <v/>
      </c>
      <c r="F25" s="11" t="inlineStr">
        <is>
          <t>塩谷町地域公共交通計画</t>
        </is>
      </c>
      <c r="G25" s="11" t="inlineStr">
        <is>
          <t>不明</t>
        </is>
      </c>
      <c r="H25" s="13" t="n"/>
      <c r="I25" s="13" t="inlineStr">
        <is>
          <t>不明</t>
        </is>
      </c>
      <c r="J25" s="13" t="inlineStr">
        <is>
          <t>未確認</t>
        </is>
      </c>
      <c r="K25" s="14" t="inlineStr">
        <is>
          <t>https://www.town.shioya.tochigi.jp/info/2531</t>
        </is>
      </c>
      <c r="L25" s="11" t="inlineStr">
        <is>
          <t>（環境基本計画なし）区域施策編（R7.3改定）</t>
        </is>
      </c>
      <c r="M25" s="11" t="inlineStr">
        <is>
          <t>不明</t>
        </is>
      </c>
      <c r="N25" s="13" t="n"/>
      <c r="O25" s="13" t="inlineStr">
        <is>
          <t>不明</t>
        </is>
      </c>
      <c r="P25" s="13" t="inlineStr">
        <is>
          <t>計画なし</t>
        </is>
      </c>
      <c r="Q25" s="14" t="inlineStr">
        <is>
          <t>https://www.town.shioya.tochigi.jp/info/2490</t>
        </is>
      </c>
      <c r="R25" s="11" t="inlineStr">
        <is>
          <t>交通：R7に「地域公共交通事業支援業務」のプロポあり（約1,240万円）。計画改定を含むかは要確認。</t>
        </is>
      </c>
      <c r="S25" s="15" t="inlineStr">
        <is>
          <t>調査済</t>
        </is>
      </c>
      <c r="T25" s="11" t="inlineStr">
        <is>
          <t>掲載</t>
        </is>
      </c>
    </row>
    <row r="26">
      <c r="A26" s="11" t="n">
        <v>23</v>
      </c>
      <c r="B26" s="11" t="inlineStr">
        <is>
          <t>高根沢町</t>
        </is>
      </c>
      <c r="C26" s="12">
        <f>IF(OR(D26="◎",E26="◎"),"◎ 営業",IF(OR(D26="△",E26="△"),"△ 着手済・要確認",IF(OR(D26="？",E26="？"),"？ 期間要確認","✕ 対象外")))</f>
        <v/>
      </c>
      <c r="D26" s="13">
        <f>IF(J26="計画なし","－",IF(J26="策定済","✕",IF(H26="","？",IF(AND(H26&gt;=TGT_MIN,H26&lt;=TGT_MAX),IF(J26="着手済","△","◎"),"✕"))))</f>
        <v/>
      </c>
      <c r="E26" s="13">
        <f>IF(P26="計画なし","－",IF(P26="策定済","✕",IF(N26="","？",IF(AND(N26&gt;=TGT_MIN,N26&lt;=TGT_MAX),IF(P26="着手済","△","◎"),"✕"))))</f>
        <v/>
      </c>
      <c r="F26" s="11" t="inlineStr">
        <is>
          <t>高根沢町地域公共交通計画</t>
        </is>
      </c>
      <c r="G26" s="11" t="inlineStr">
        <is>
          <t>R8〜R12</t>
        </is>
      </c>
      <c r="H26" s="13" t="n">
        <v>12</v>
      </c>
      <c r="I26" s="13" t="inlineStr">
        <is>
          <t>確認済</t>
        </is>
      </c>
      <c r="J26" s="13" t="inlineStr">
        <is>
          <t>策定済</t>
        </is>
      </c>
      <c r="K26" s="14" t="inlineStr">
        <is>
          <t>https://www.town.takanezawa.tochigi.jp/gyosei/plan/bunya/documents/202604koutsukeikaku.pdf</t>
        </is>
      </c>
      <c r="L26" s="11" t="inlineStr">
        <is>
          <t>高根沢町環境基本計画2026</t>
        </is>
      </c>
      <c r="M26" s="11" t="inlineStr">
        <is>
          <t>R8〜R17</t>
        </is>
      </c>
      <c r="N26" s="13" t="n">
        <v>17</v>
      </c>
      <c r="O26" s="13" t="inlineStr">
        <is>
          <t>確認済</t>
        </is>
      </c>
      <c r="P26" s="13" t="inlineStr">
        <is>
          <t>策定済</t>
        </is>
      </c>
      <c r="Q26" s="14" t="inlineStr">
        <is>
          <t>https://www.town.takanezawa.tochigi.jp/life/kankyo/keikaku/documents/kankyoukihon2026gaiyou.pdf</t>
        </is>
      </c>
      <c r="R26" s="11" t="inlineStr">
        <is>
          <t>交通・環境とも新計画をR8策定済。</t>
        </is>
      </c>
      <c r="S26" s="15" t="inlineStr">
        <is>
          <t>調査済</t>
        </is>
      </c>
      <c r="T26" s="11" t="inlineStr">
        <is>
          <t>掲載</t>
        </is>
      </c>
    </row>
    <row r="27">
      <c r="A27" s="11" t="n">
        <v>24</v>
      </c>
      <c r="B27" s="11" t="inlineStr">
        <is>
          <t>那須町</t>
        </is>
      </c>
      <c r="C27" s="12">
        <f>IF(OR(D27="◎",E27="◎"),"◎ 営業",IF(OR(D27="△",E27="△"),"△ 着手済・要確認",IF(OR(D27="？",E27="？"),"？ 期間要確認","✕ 対象外")))</f>
        <v/>
      </c>
      <c r="D27" s="13">
        <f>IF(J27="計画なし","－",IF(J27="策定済","✕",IF(H27="","？",IF(AND(H27&gt;=TGT_MIN,H27&lt;=TGT_MAX),IF(J27="着手済","△","◎"),"✕"))))</f>
        <v/>
      </c>
      <c r="E27" s="13">
        <f>IF(P27="計画なし","－",IF(P27="策定済","✕",IF(N27="","？",IF(AND(N27&gt;=TGT_MIN,N27&lt;=TGT_MAX),IF(P27="着手済","△","◎"),"✕"))))</f>
        <v/>
      </c>
      <c r="F27" s="11" t="inlineStr">
        <is>
          <t>那須町地域公共交通計画／那須地域定住自立圏計画</t>
        </is>
      </c>
      <c r="G27" s="11" t="inlineStr">
        <is>
          <t>R4〜R9</t>
        </is>
      </c>
      <c r="H27" s="13" t="n">
        <v>9</v>
      </c>
      <c r="I27" s="13" t="inlineStr">
        <is>
          <t>確認済</t>
        </is>
      </c>
      <c r="J27" s="13" t="inlineStr">
        <is>
          <t>未確認</t>
        </is>
      </c>
      <c r="K27" s="14" t="inlineStr">
        <is>
          <t>https://www.town.nasu.lg.jp/manage/contents/upload/6243b2b07f368.pdf</t>
        </is>
      </c>
      <c r="L27" s="11" t="inlineStr">
        <is>
          <t>第3次那須町環境基本計画</t>
        </is>
      </c>
      <c r="M27" s="11" t="inlineStr">
        <is>
          <t>R8〜R17</t>
        </is>
      </c>
      <c r="N27" s="13" t="n">
        <v>17</v>
      </c>
      <c r="O27" s="13" t="inlineStr">
        <is>
          <t>確認済</t>
        </is>
      </c>
      <c r="P27" s="13" t="inlineStr">
        <is>
          <t>策定済</t>
        </is>
      </c>
      <c r="Q27" s="14" t="inlineStr">
        <is>
          <t>http://www.town.nasu.lg.jp/0076/info-0000004347-1.html</t>
        </is>
      </c>
      <c r="R27" s="11" t="inlineStr">
        <is>
          <t>交通：次期計画の業務委託は見つからず。環境：第3次をR8策定済。 【ファクトチェック 2026-10-01: 正しい】確認期間: R4〜R9（6か年）／次期: 確認できず（町の次期交通計画策定プロポは検索で見当たらず。関連: 栃木県「令和８（2026）年度広域公共交通連携検討業務委託」プロポ https://www.pref.tochigi.lg.jp/h03/r8gyoumuitaku_lrt.／根拠: https://www.town.nasu.lg.jp/0242/info-0000002729-1.html</t>
        </is>
      </c>
      <c r="S27" s="15" t="inlineStr">
        <is>
          <t>調査済</t>
        </is>
      </c>
      <c r="T27" s="11" t="inlineStr">
        <is>
          <t>掲載（広域：第2次那須地域定住自立圏）</t>
        </is>
      </c>
    </row>
    <row r="28">
      <c r="A28" s="11" t="n">
        <v>25</v>
      </c>
      <c r="B28" s="11" t="inlineStr">
        <is>
          <t>那珂川町</t>
        </is>
      </c>
      <c r="C28" s="12">
        <f>IF(OR(D28="◎",E28="◎"),"◎ 営業",IF(OR(D28="△",E28="△"),"△ 着手済・要確認",IF(OR(D28="？",E28="？"),"？ 期間要確認","✕ 対象外")))</f>
        <v/>
      </c>
      <c r="D28" s="13">
        <f>IF(J28="計画なし","－",IF(J28="策定済","✕",IF(H28="","？",IF(AND(H28&gt;=TGT_MIN,H28&lt;=TGT_MAX),IF(J28="着手済","△","◎"),"✕"))))</f>
        <v/>
      </c>
      <c r="E28" s="13">
        <f>IF(P28="計画なし","－",IF(P28="策定済","✕",IF(N28="","？",IF(AND(N28&gt;=TGT_MIN,N28&lt;=TGT_MAX),IF(P28="着手済","△","◎"),"✕"))))</f>
        <v/>
      </c>
      <c r="F28" s="11" t="inlineStr">
        <is>
          <t>那須地域定住自立圏地域公共交通計画＋町計画（R5.3策定）</t>
        </is>
      </c>
      <c r="G28" s="11" t="inlineStr">
        <is>
          <t>R5〜R9（定住自立圏）</t>
        </is>
      </c>
      <c r="H28" s="13" t="n">
        <v>9</v>
      </c>
      <c r="I28" s="13" t="inlineStr">
        <is>
          <t>確認済</t>
        </is>
      </c>
      <c r="J28" s="13" t="inlineStr">
        <is>
          <t>未確認</t>
        </is>
      </c>
      <c r="K28" s="14" t="inlineStr">
        <is>
          <t>https://www.city.nasushiobara.tochigi.jp/soshikikarasagasu/kb/shinoseisakutokeikaku/1/5504.html</t>
        </is>
      </c>
      <c r="L28" s="11" t="inlineStr">
        <is>
          <t>第2次那珂川町環境基本計画（後期計画）</t>
        </is>
      </c>
      <c r="M28" s="11" t="inlineStr">
        <is>
          <t>R6〜R10（推定）</t>
        </is>
      </c>
      <c r="N28" s="16" t="n">
        <v>10</v>
      </c>
      <c r="O28" s="13" t="inlineStr">
        <is>
          <t>推定</t>
        </is>
      </c>
      <c r="P28" s="13" t="inlineStr">
        <is>
          <t>未確認</t>
        </is>
      </c>
      <c r="Q28" s="14" t="inlineStr">
        <is>
          <t>https://www.town.tochigi-nakagawa.lg.jp/35kankyo/01keikaku/index.html</t>
        </is>
      </c>
      <c r="R28" s="11" t="inlineStr">
        <is>
          <t>交通：定住自立圏計画はR9で終了。町計画の期間は不明。環境：期間を確認できず。 【ファクトチェック 2026-10-01: 正しい】確認期間: R5〜R9（定住自立圏計画: 令和5年4月〜令和10年3月）。町単独計画（R5.3策定）の期間は未確認／次期: 確認できず／根拠: https://www.city.nasushiobara.tochigi.jp/soshikikarasagasu/kb/shinoseisakutokeikaku/1/5504.html 【追加調査 2026-10】[2026-10-02 task3] 町サイト検索結果で『第2次那珂川町環境基本計画後期計画(案)のパブコメを令和6年2月19日〜3月15日に実施、意見1件』『本編・概要版PDF公開』を確認（https://www.town.tochigi-nakagawa.lg.jp/life/kurashi/2024-0321-1538-10.html , https://www.town.tochigi-nakagawa.lg.jp/35kankyo/01keikaku/index.html）。所管: 生活環境課環境推進係（0287-92-1110）。後期計画はR6開始とみられるが終期は本文未確認（5年ならR10）→推定。福岡県那珂川市（旧那珂川町）とは別。町サイトはWebFetchブロック。 根拠: 令和6年2月19日から3月15日までに募集した第2次那珂川町環境基本計画後期計画(案)のパブリックコメント結果（検索要約）</t>
        </is>
      </c>
      <c r="S28" s="15" t="inlineStr">
        <is>
          <t>調査済</t>
        </is>
      </c>
      <c r="T28" s="11" t="inlineStr">
        <is>
          <t>掲載（広域：第2次那須地域定住自立圏）</t>
        </is>
      </c>
    </row>
  </sheetData>
  <autoFilter ref="A3:T28"/>
  <conditionalFormatting sqref="A4:T28">
    <cfRule type="expression" priority="5" dxfId="0">
      <formula>LEFT($C4,1)="◎"</formula>
    </cfRule>
    <cfRule type="expression" priority="6" dxfId="1">
      <formula>LEFT($C4,1)="△"</formula>
    </cfRule>
    <cfRule type="expression" priority="7" dxfId="2">
      <formula>LEFT($C4,1)="？"</formula>
    </cfRule>
    <cfRule type="expression" priority="8" dxfId="3">
      <formula>LEFT($C4,1)="✕"</formula>
    </cfRule>
  </conditionalFormatting>
  <conditionalFormatting sqref="H4:H28">
    <cfRule type="expression" priority="1" dxfId="4" stopIfTrue="1">
      <formula>AND(ISNUMBER(H4),H4&gt;=TGT_MIN,H4&lt;=TGT_MAX)</formula>
    </cfRule>
    <cfRule type="expression" priority="2" dxfId="5">
      <formula>AND(ISNUMBER(H4),H4=TGT_MAX+1)</formula>
    </cfRule>
  </conditionalFormatting>
  <conditionalFormatting sqref="N4:N28">
    <cfRule type="expression" priority="3" dxfId="4" stopIfTrue="1">
      <formula>AND(ISNUMBER(N4),N4&gt;=TGT_MIN,N4&lt;=TGT_MAX)</formula>
    </cfRule>
    <cfRule type="expression" priority="4" dxfId="5">
      <formula>AND(ISNUMBER(N4),N4=TGT_MAX+1)</formula>
    </cfRule>
  </conditionalFormatting>
  <dataValidations count="1">
    <dataValidation sqref="J4:J28 P4:P28" showDropDown="0" showInputMessage="0" showErrorMessage="0" allowBlank="1" type="list">
      <formula1>"未確認,着手済,策定済,計画なし"</formula1>
    </dataValidation>
  </dataValidations>
  <hyperlinks>
    <hyperlink xmlns:r="http://schemas.openxmlformats.org/officeDocument/2006/relationships" ref="K4" r:id="rId1"/>
    <hyperlink xmlns:r="http://schemas.openxmlformats.org/officeDocument/2006/relationships" ref="Q4" r:id="rId2"/>
    <hyperlink xmlns:r="http://schemas.openxmlformats.org/officeDocument/2006/relationships" ref="K5" r:id="rId3"/>
    <hyperlink xmlns:r="http://schemas.openxmlformats.org/officeDocument/2006/relationships" ref="Q5" r:id="rId4"/>
    <hyperlink xmlns:r="http://schemas.openxmlformats.org/officeDocument/2006/relationships" ref="K6" r:id="rId5"/>
    <hyperlink xmlns:r="http://schemas.openxmlformats.org/officeDocument/2006/relationships" ref="Q6" r:id="rId6"/>
    <hyperlink xmlns:r="http://schemas.openxmlformats.org/officeDocument/2006/relationships" ref="K7" r:id="rId7"/>
    <hyperlink xmlns:r="http://schemas.openxmlformats.org/officeDocument/2006/relationships" ref="Q7" r:id="rId8"/>
    <hyperlink xmlns:r="http://schemas.openxmlformats.org/officeDocument/2006/relationships" ref="K8" r:id="rId9"/>
    <hyperlink xmlns:r="http://schemas.openxmlformats.org/officeDocument/2006/relationships" ref="Q8" r:id="rId10"/>
    <hyperlink xmlns:r="http://schemas.openxmlformats.org/officeDocument/2006/relationships" ref="K9" r:id="rId11"/>
    <hyperlink xmlns:r="http://schemas.openxmlformats.org/officeDocument/2006/relationships" ref="Q9" r:id="rId12"/>
    <hyperlink xmlns:r="http://schemas.openxmlformats.org/officeDocument/2006/relationships" ref="K10" r:id="rId13"/>
    <hyperlink xmlns:r="http://schemas.openxmlformats.org/officeDocument/2006/relationships" ref="Q10" r:id="rId14"/>
    <hyperlink xmlns:r="http://schemas.openxmlformats.org/officeDocument/2006/relationships" ref="K11" r:id="rId15"/>
    <hyperlink xmlns:r="http://schemas.openxmlformats.org/officeDocument/2006/relationships" ref="Q11" r:id="rId16"/>
    <hyperlink xmlns:r="http://schemas.openxmlformats.org/officeDocument/2006/relationships" ref="K12" r:id="rId17"/>
    <hyperlink xmlns:r="http://schemas.openxmlformats.org/officeDocument/2006/relationships" ref="Q12" r:id="rId18"/>
    <hyperlink xmlns:r="http://schemas.openxmlformats.org/officeDocument/2006/relationships" ref="K13" r:id="rId19"/>
    <hyperlink xmlns:r="http://schemas.openxmlformats.org/officeDocument/2006/relationships" ref="Q13" r:id="rId20"/>
    <hyperlink xmlns:r="http://schemas.openxmlformats.org/officeDocument/2006/relationships" ref="K14" r:id="rId21"/>
    <hyperlink xmlns:r="http://schemas.openxmlformats.org/officeDocument/2006/relationships" ref="Q14" r:id="rId22"/>
    <hyperlink xmlns:r="http://schemas.openxmlformats.org/officeDocument/2006/relationships" ref="K15" r:id="rId23"/>
    <hyperlink xmlns:r="http://schemas.openxmlformats.org/officeDocument/2006/relationships" ref="Q15" r:id="rId24"/>
    <hyperlink xmlns:r="http://schemas.openxmlformats.org/officeDocument/2006/relationships" ref="K16" r:id="rId25"/>
    <hyperlink xmlns:r="http://schemas.openxmlformats.org/officeDocument/2006/relationships" ref="Q16" r:id="rId26"/>
    <hyperlink xmlns:r="http://schemas.openxmlformats.org/officeDocument/2006/relationships" ref="K17" r:id="rId27"/>
    <hyperlink xmlns:r="http://schemas.openxmlformats.org/officeDocument/2006/relationships" ref="Q17" r:id="rId28"/>
    <hyperlink xmlns:r="http://schemas.openxmlformats.org/officeDocument/2006/relationships" ref="K18" r:id="rId29"/>
    <hyperlink xmlns:r="http://schemas.openxmlformats.org/officeDocument/2006/relationships" ref="Q18" r:id="rId30"/>
    <hyperlink xmlns:r="http://schemas.openxmlformats.org/officeDocument/2006/relationships" ref="K19" r:id="rId31"/>
    <hyperlink xmlns:r="http://schemas.openxmlformats.org/officeDocument/2006/relationships" ref="Q19" r:id="rId32"/>
    <hyperlink xmlns:r="http://schemas.openxmlformats.org/officeDocument/2006/relationships" ref="K20" r:id="rId33"/>
    <hyperlink xmlns:r="http://schemas.openxmlformats.org/officeDocument/2006/relationships" ref="Q20" r:id="rId34"/>
    <hyperlink xmlns:r="http://schemas.openxmlformats.org/officeDocument/2006/relationships" ref="K21" r:id="rId35"/>
    <hyperlink xmlns:r="http://schemas.openxmlformats.org/officeDocument/2006/relationships" ref="Q21" r:id="rId36"/>
    <hyperlink xmlns:r="http://schemas.openxmlformats.org/officeDocument/2006/relationships" ref="K22" r:id="rId37"/>
    <hyperlink xmlns:r="http://schemas.openxmlformats.org/officeDocument/2006/relationships" ref="Q22" r:id="rId38"/>
    <hyperlink xmlns:r="http://schemas.openxmlformats.org/officeDocument/2006/relationships" ref="K23" r:id="rId39"/>
    <hyperlink xmlns:r="http://schemas.openxmlformats.org/officeDocument/2006/relationships" ref="Q23" r:id="rId40"/>
    <hyperlink xmlns:r="http://schemas.openxmlformats.org/officeDocument/2006/relationships" ref="K24" r:id="rId41"/>
    <hyperlink xmlns:r="http://schemas.openxmlformats.org/officeDocument/2006/relationships" ref="Q24" r:id="rId42"/>
    <hyperlink xmlns:r="http://schemas.openxmlformats.org/officeDocument/2006/relationships" ref="K25" r:id="rId43"/>
    <hyperlink xmlns:r="http://schemas.openxmlformats.org/officeDocument/2006/relationships" ref="Q25" r:id="rId44"/>
    <hyperlink xmlns:r="http://schemas.openxmlformats.org/officeDocument/2006/relationships" ref="K26" r:id="rId45"/>
    <hyperlink xmlns:r="http://schemas.openxmlformats.org/officeDocument/2006/relationships" ref="Q26" r:id="rId46"/>
    <hyperlink xmlns:r="http://schemas.openxmlformats.org/officeDocument/2006/relationships" ref="K27" r:id="rId47"/>
    <hyperlink xmlns:r="http://schemas.openxmlformats.org/officeDocument/2006/relationships" ref="Q27" r:id="rId48"/>
    <hyperlink xmlns:r="http://schemas.openxmlformats.org/officeDocument/2006/relationships" ref="K28" r:id="rId49"/>
    <hyperlink xmlns:r="http://schemas.openxmlformats.org/officeDocument/2006/relationships" ref="Q28" r:id="rId5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3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6" customWidth="1" min="3" max="3"/>
    <col width="7" customWidth="1" min="4" max="4"/>
    <col width="7" customWidth="1" min="5" max="5"/>
    <col width="30" customWidth="1" min="6" max="6"/>
    <col width="15" customWidth="1" min="7" max="7"/>
    <col width="9" customWidth="1" min="8" max="8"/>
    <col width="8" customWidth="1" min="9" max="9"/>
    <col width="9" customWidth="1" min="10" max="10"/>
    <col width="34" customWidth="1" min="11" max="11"/>
    <col width="30" customWidth="1" min="12" max="12"/>
    <col width="15" customWidth="1" min="13" max="13"/>
    <col width="9" customWidth="1" min="14" max="14"/>
    <col width="8" customWidth="1" min="15" max="15"/>
    <col width="9" customWidth="1" min="16" max="16"/>
    <col width="34" customWidth="1" min="17" max="17"/>
    <col width="55" customWidth="1" min="18" max="18"/>
    <col width="14" customWidth="1" min="19" max="19"/>
    <col width="24" customWidth="1" min="20" max="20"/>
  </cols>
  <sheetData>
    <row r="1">
      <c r="A1" s="1" t="inlineStr">
        <is>
          <t>群馬県　地域公共交通計画・環境基本計画の終期一覧（2026年9月30日時点の調査）</t>
        </is>
      </c>
    </row>
    <row r="2">
      <c r="A2" s="9">
        <f>"営業判定の対象：終期 R"&amp;TGT_MIN&amp;"〜R"&amp;TGT_MAX&amp;"年度 →◎（着手済は△、期間不明は？）。終期セルの色：緑＝対象年度／橙＝その翌年度（次の候補）。対象年度は「集計・設定」シートのC4・C5のプルダウンで切替。"</f>
        <v/>
      </c>
    </row>
    <row r="3" ht="32" customHeight="1">
      <c r="A3" s="10" t="inlineStr">
        <is>
          <t>No</t>
        </is>
      </c>
      <c r="B3" s="10" t="inlineStr">
        <is>
          <t>市町村</t>
        </is>
      </c>
      <c r="C3" s="10" t="inlineStr">
        <is>
          <t>営業判定</t>
        </is>
      </c>
      <c r="D3" s="10" t="inlineStr">
        <is>
          <t>交通判定</t>
        </is>
      </c>
      <c r="E3" s="10" t="inlineStr">
        <is>
          <t>環境判定</t>
        </is>
      </c>
      <c r="F3" s="10" t="inlineStr">
        <is>
          <t>地域公共交通計画</t>
        </is>
      </c>
      <c r="G3" s="10" t="inlineStr">
        <is>
          <t>交通 計画期間</t>
        </is>
      </c>
      <c r="H3" s="10" t="inlineStr">
        <is>
          <t>交通 終期(令和年度)</t>
        </is>
      </c>
      <c r="I3" s="10" t="inlineStr">
        <is>
          <t>交通 確度</t>
        </is>
      </c>
      <c r="J3" s="10" t="inlineStr">
        <is>
          <t>交通 改定状況</t>
        </is>
      </c>
      <c r="K3" s="10" t="inlineStr">
        <is>
          <t>交通 計画リンク（エビデンス）</t>
        </is>
      </c>
      <c r="L3" s="10" t="inlineStr">
        <is>
          <t>環境基本計画</t>
        </is>
      </c>
      <c r="M3" s="10" t="inlineStr">
        <is>
          <t>環境 計画期間</t>
        </is>
      </c>
      <c r="N3" s="10" t="inlineStr">
        <is>
          <t>環境 終期(令和年度)</t>
        </is>
      </c>
      <c r="O3" s="10" t="inlineStr">
        <is>
          <t>環境 確度</t>
        </is>
      </c>
      <c r="P3" s="10" t="inlineStr">
        <is>
          <t>環境 改定状況</t>
        </is>
      </c>
      <c r="Q3" s="10" t="inlineStr">
        <is>
          <t>環境 計画リンク（エビデンス）</t>
        </is>
      </c>
      <c r="R3" s="10" t="inlineStr">
        <is>
          <t>注釈（改定作業の状況など）</t>
        </is>
      </c>
      <c r="S3" s="10" t="inlineStr">
        <is>
          <t>調査状況</t>
        </is>
      </c>
      <c r="T3" s="10" t="inlineStr">
        <is>
          <t>国交省一覧(R8.5末)</t>
        </is>
      </c>
    </row>
    <row r="4">
      <c r="A4" s="11" t="n">
        <v>1</v>
      </c>
      <c r="B4" s="11" t="inlineStr">
        <is>
          <t>前橋市</t>
        </is>
      </c>
      <c r="C4" s="12">
        <f>IF(OR(D4="◎",E4="◎"),"◎ 営業",IF(OR(D4="△",E4="△"),"△ 着手済・要確認",IF(OR(D4="？",E4="？"),"？ 期間要確認","✕ 対象外")))</f>
        <v/>
      </c>
      <c r="D4" s="13">
        <f>IF(J4="計画なし","－",IF(J4="策定済","✕",IF(H4="","？",IF(AND(H4&gt;=TGT_MIN,H4&lt;=TGT_MAX),IF(J4="着手済","△","◎"),"✕"))))</f>
        <v/>
      </c>
      <c r="E4" s="13">
        <f>IF(P4="計画なし","－",IF(P4="策定済","✕",IF(N4="","？",IF(AND(N4&gt;=TGT_MIN,N4&lt;=TGT_MAX),IF(P4="着手済","△","◎"),"✕"))))</f>
        <v/>
      </c>
      <c r="F4" s="11" t="inlineStr">
        <is>
          <t>前橋市地域公共交通計画（次期）</t>
        </is>
      </c>
      <c r="G4" s="11" t="inlineStr">
        <is>
          <t>R8〜R12</t>
        </is>
      </c>
      <c r="H4" s="13" t="n">
        <v>12</v>
      </c>
      <c r="I4" s="13" t="inlineStr">
        <is>
          <t>確認済</t>
        </is>
      </c>
      <c r="J4" s="13" t="inlineStr">
        <is>
          <t>策定済</t>
        </is>
      </c>
      <c r="K4" s="14" t="inlineStr">
        <is>
          <t>https://www.city.maebashi.gunma.jp/material/files/group/9/6keikakusouann7-2-4.pdf</t>
        </is>
      </c>
      <c r="L4" s="11" t="inlineStr">
        <is>
          <t>前橋市環境基本計画（平成29年度改訂）</t>
        </is>
      </c>
      <c r="M4" s="11" t="inlineStr">
        <is>
          <t>H30〜R9</t>
        </is>
      </c>
      <c r="N4" s="13" t="n">
        <v>9</v>
      </c>
      <c r="O4" s="13" t="inlineStr">
        <is>
          <t>確認済</t>
        </is>
      </c>
      <c r="P4" s="13" t="inlineStr">
        <is>
          <t>未確認</t>
        </is>
      </c>
      <c r="Q4" s="14" t="inlineStr">
        <is>
          <t>https://www.city.maebashi.gunma.jp/soshiki/kankyo/kankyoseisaku/gyomu/2_1/5/2718.html</t>
        </is>
      </c>
      <c r="R4" s="11" t="inlineStr">
        <is>
          <t>交通：R3.6策定の現行計画がR7年度で目標年次を迎え、R8〜R12の次期計画を策定（t_urlは計画素案PDF、最終決定版URLは未確認）。環境：適用期間H30〜R9（2018〜2027）でR9終期。環境政策課ページの「前橋市環境基本計画改訂業務の実施事業者が決定」告知は、H29年度の前回改訂（仕様書の履行期限H30.3.30 https://www.city.maebashi.gunma.jp/material/files/group/46/siyosyo.pdf ）のものと判断。R8年度の次期計画の審議会諮問・委託は検索で確認できず（R6年度環境審議会でも諮問の記載なし https://www.city.maebashi.gunma.jp/soshiki/kankyo/kankyoseisaku/gyomu/5/1/43841.html ）。同時期に緑の基本計画改定支援業務（R8.10〜R10.3予定 https://www.city.maebashi.gunma.jp/material/files/group/67/siyousyoan.pdf ）・第八次総合計画策定支援（R8.4〜R10.3）が進行中。</t>
        </is>
      </c>
      <c r="S4" s="15" t="inlineStr">
        <is>
          <t>調査済</t>
        </is>
      </c>
      <c r="T4" s="11" t="n"/>
    </row>
    <row r="5">
      <c r="A5" s="11" t="n">
        <v>2</v>
      </c>
      <c r="B5" s="11" t="inlineStr">
        <is>
          <t>高崎市</t>
        </is>
      </c>
      <c r="C5" s="12">
        <f>IF(OR(D5="◎",E5="◎"),"◎ 営業",IF(OR(D5="△",E5="△"),"△ 着手済・要確認",IF(OR(D5="？",E5="？"),"？ 期間要確認","✕ 対象外")))</f>
        <v/>
      </c>
      <c r="D5" s="13">
        <f>IF(J5="計画なし","－",IF(J5="策定済","✕",IF(H5="","？",IF(AND(H5&gt;=TGT_MIN,H5&lt;=TGT_MAX),IF(J5="着手済","△","◎"),"✕"))))</f>
        <v/>
      </c>
      <c r="E5" s="13">
        <f>IF(P5="計画なし","－",IF(P5="策定済","✕",IF(N5="","？",IF(AND(N5&gt;=TGT_MIN,N5&lt;=TGT_MAX),IF(P5="着手済","△","◎"),"✕"))))</f>
        <v/>
      </c>
      <c r="F5" s="11" t="n"/>
      <c r="G5" s="11" t="inlineStr">
        <is>
          <t>不明</t>
        </is>
      </c>
      <c r="H5" s="13" t="n"/>
      <c r="I5" s="13" t="inlineStr">
        <is>
          <t>不明</t>
        </is>
      </c>
      <c r="J5" s="13" t="inlineStr">
        <is>
          <t>計画なし</t>
        </is>
      </c>
      <c r="K5" s="11" t="n"/>
      <c r="L5" s="11" t="inlineStr">
        <is>
          <t>高崎市第4次環境基本計画</t>
        </is>
      </c>
      <c r="M5" s="11" t="inlineStr">
        <is>
          <t>H30〜R9</t>
        </is>
      </c>
      <c r="N5" s="13" t="n">
        <v>9</v>
      </c>
      <c r="O5" s="13" t="inlineStr">
        <is>
          <t>確認済</t>
        </is>
      </c>
      <c r="P5" s="13" t="inlineStr">
        <is>
          <t>未確認</t>
        </is>
      </c>
      <c r="Q5" s="14" t="inlineStr">
        <is>
          <t>https://www.city.takasaki.gunma.jp/page/3402.html</t>
        </is>
      </c>
      <c r="R5" s="11" t="inlineStr">
        <is>
          <t>交通：市独自の地域公共交通計画は検索で確認できず（地域公共交通会議 https://www.city.takasaki.gunma.jp/page/59580.html はあり、ぐるりん等を運営）。環境：第4次2018〜2027年度でR9終期。環境審議会ページが2026.8.28更新 https://www.city.takasaki.gunma.jp/page/3275.html 、委員はR8.4〜R10.3任期で改選。次期計画の委託・諮問は未確認だが審議開始の可能性大、要注視。</t>
        </is>
      </c>
      <c r="S5" s="18" t="inlineStr">
        <is>
          <t>環境のみ調査</t>
        </is>
      </c>
      <c r="T5" s="11" t="n"/>
    </row>
    <row r="6">
      <c r="A6" s="11" t="n">
        <v>3</v>
      </c>
      <c r="B6" s="11" t="inlineStr">
        <is>
          <t>桐生市</t>
        </is>
      </c>
      <c r="C6" s="12">
        <f>IF(OR(D6="◎",E6="◎"),"◎ 営業",IF(OR(D6="△",E6="△"),"△ 着手済・要確認",IF(OR(D6="？",E6="？"),"？ 期間要確認","✕ 対象外")))</f>
        <v/>
      </c>
      <c r="D6" s="13">
        <f>IF(J6="計画なし","－",IF(J6="策定済","✕",IF(H6="","？",IF(AND(H6&gt;=TGT_MIN,H6&lt;=TGT_MAX),IF(J6="着手済","△","◎"),"✕"))))</f>
        <v/>
      </c>
      <c r="E6" s="13">
        <f>IF(P6="計画なし","－",IF(P6="策定済","✕",IF(N6="","？",IF(AND(N6&gt;=TGT_MIN,N6&lt;=TGT_MAX),IF(P6="着手済","△","◎"),"✕"))))</f>
        <v/>
      </c>
      <c r="F6" s="11" t="inlineStr">
        <is>
          <t>桐生市地域公共交通計画</t>
        </is>
      </c>
      <c r="G6" s="11" t="inlineStr">
        <is>
          <t>R6〜R10</t>
        </is>
      </c>
      <c r="H6" s="13" t="n">
        <v>10</v>
      </c>
      <c r="I6" s="13" t="inlineStr">
        <is>
          <t>確認済</t>
        </is>
      </c>
      <c r="J6" s="13" t="inlineStr">
        <is>
          <t>未確認</t>
        </is>
      </c>
      <c r="K6" s="14" t="inlineStr">
        <is>
          <t>https://www.city.kiryu.lg.jp/_res/projects/default_project/_page_/001/024/200/tpplan2024.pdf</t>
        </is>
      </c>
      <c r="L6" s="11" t="inlineStr">
        <is>
          <t>第3次桐生市環境基本計画</t>
        </is>
      </c>
      <c r="M6" s="11" t="inlineStr">
        <is>
          <t>R3〜R12</t>
        </is>
      </c>
      <c r="N6" s="13" t="n">
        <v>12</v>
      </c>
      <c r="O6" s="13" t="inlineStr">
        <is>
          <t>確認済</t>
        </is>
      </c>
      <c r="P6" s="13" t="inlineStr">
        <is>
          <t>未確認</t>
        </is>
      </c>
      <c r="Q6" s="14" t="inlineStr">
        <is>
          <t>https://www.city.kiryu.lg.jp/shisei/keikaku/1018141/1002981.html</t>
        </is>
      </c>
      <c r="R6" s="11" t="inlineStr">
        <is>
          <t>交通：R6.6策定、R6〜R10、上位に桐生市交通ビジョン（R15目途）。環境：R3〜R12の10年。環境先進都市将来構想を2025.3改定し2050年まで延長との記載あり（https://www.city.kiryu.lg.jp/_res/projects/default_project/_page_/001/000/874/kiryusinokankyo2025.pdf ）。</t>
        </is>
      </c>
      <c r="S6" s="15" t="inlineStr">
        <is>
          <t>調査済</t>
        </is>
      </c>
      <c r="T6" s="11" t="n"/>
    </row>
    <row r="7">
      <c r="A7" s="11" t="n">
        <v>4</v>
      </c>
      <c r="B7" s="11" t="inlineStr">
        <is>
          <t>伊勢崎市</t>
        </is>
      </c>
      <c r="C7" s="12">
        <f>IF(OR(D7="◎",E7="◎"),"◎ 営業",IF(OR(D7="△",E7="△"),"△ 着手済・要確認",IF(OR(D7="？",E7="？"),"？ 期間要確認","✕ 対象外")))</f>
        <v/>
      </c>
      <c r="D7" s="13">
        <f>IF(J7="計画なし","－",IF(J7="策定済","✕",IF(H7="","？",IF(AND(H7&gt;=TGT_MIN,H7&lt;=TGT_MAX),IF(J7="着手済","△","◎"),"✕"))))</f>
        <v/>
      </c>
      <c r="E7" s="13">
        <f>IF(P7="計画なし","－",IF(P7="策定済","✕",IF(N7="","？",IF(AND(N7&gt;=TGT_MIN,N7&lt;=TGT_MAX),IF(P7="着手済","△","◎"),"✕"))))</f>
        <v/>
      </c>
      <c r="F7" s="11" t="inlineStr">
        <is>
          <t>伊勢崎市地域公共交通計画（策定中）</t>
        </is>
      </c>
      <c r="G7" s="11" t="inlineStr">
        <is>
          <t>不明</t>
        </is>
      </c>
      <c r="H7" s="13" t="n"/>
      <c r="I7" s="13" t="inlineStr">
        <is>
          <t>不明</t>
        </is>
      </c>
      <c r="J7" s="13" t="inlineStr">
        <is>
          <t>着手済</t>
        </is>
      </c>
      <c r="K7" s="11" t="n"/>
      <c r="L7" s="11" t="inlineStr">
        <is>
          <t>第3次伊勢崎市環境基本計画</t>
        </is>
      </c>
      <c r="M7" s="11" t="inlineStr">
        <is>
          <t>R7〜R16</t>
        </is>
      </c>
      <c r="N7" s="13" t="n">
        <v>16</v>
      </c>
      <c r="O7" s="13" t="inlineStr">
        <is>
          <t>確認済</t>
        </is>
      </c>
      <c r="P7" s="13" t="inlineStr">
        <is>
          <t>策定済</t>
        </is>
      </c>
      <c r="Q7" s="14" t="inlineStr">
        <is>
          <t>https://www.city.isesaki.lg.jp/material/files/group/29/dai3jikankyoukihonkeikaku.pdf</t>
        </is>
      </c>
      <c r="R7" s="11" t="inlineStr">
        <is>
          <t>交通：現行の法定計画は確認できず。R7.7地域公共交通会議で計画策定に伴う法定協議会への移行を協議、R8.4に計画策定業務委託プロポーザル公告（R8.6頃選定、契約初年度R9.3まで） https://www.city.isesaki.lg.jp/sangyo_nyusatsu_kaihatsu/nyusatsu_keiyaku/proposal/23159.html 。環境：R7.3策定、R7〜R16の10年。</t>
        </is>
      </c>
      <c r="S7" s="15" t="inlineStr">
        <is>
          <t>調査済</t>
        </is>
      </c>
      <c r="T7" s="11" t="n"/>
    </row>
    <row r="8">
      <c r="A8" s="11" t="n">
        <v>5</v>
      </c>
      <c r="B8" s="11" t="inlineStr">
        <is>
          <t>太田市</t>
        </is>
      </c>
      <c r="C8" s="12">
        <f>IF(OR(D8="◎",E8="◎"),"◎ 営業",IF(OR(D8="△",E8="△"),"△ 着手済・要確認",IF(OR(D8="？",E8="？"),"？ 期間要確認","✕ 対象外")))</f>
        <v/>
      </c>
      <c r="D8" s="13">
        <f>IF(J8="計画なし","－",IF(J8="策定済","✕",IF(H8="","？",IF(AND(H8&gt;=TGT_MIN,H8&lt;=TGT_MAX),IF(J8="着手済","△","◎"),"✕"))))</f>
        <v/>
      </c>
      <c r="E8" s="13">
        <f>IF(P8="計画なし","－",IF(P8="策定済","✕",IF(N8="","？",IF(AND(N8&gt;=TGT_MIN,N8&lt;=TGT_MAX),IF(P8="着手済","△","◎"),"✕"))))</f>
        <v/>
      </c>
      <c r="F8" s="11" t="inlineStr">
        <is>
          <t>太田市地域公共交通計画（策定中）</t>
        </is>
      </c>
      <c r="G8" s="11" t="inlineStr">
        <is>
          <t>不明</t>
        </is>
      </c>
      <c r="H8" s="13" t="n"/>
      <c r="I8" s="13" t="inlineStr">
        <is>
          <t>不明</t>
        </is>
      </c>
      <c r="J8" s="13" t="inlineStr">
        <is>
          <t>着手済</t>
        </is>
      </c>
      <c r="K8" s="14" t="inlineStr">
        <is>
          <t>https://www.city.ota.gunma.jp/page/1051226.html</t>
        </is>
      </c>
      <c r="L8" s="11" t="inlineStr">
        <is>
          <t>第2次太田市環境基本計画（2022改定版）</t>
        </is>
      </c>
      <c r="M8" s="11" t="inlineStr">
        <is>
          <t>H29〜R8（改定版R4〜R8）</t>
        </is>
      </c>
      <c r="N8" s="13" t="n">
        <v>8</v>
      </c>
      <c r="O8" s="13" t="inlineStr">
        <is>
          <t>確認済</t>
        </is>
      </c>
      <c r="P8" s="13" t="inlineStr">
        <is>
          <t>着手済</t>
        </is>
      </c>
      <c r="Q8" s="14" t="inlineStr">
        <is>
          <t>https://www.city.ota.gunma.jp/uploaded/attachment/2236.pdf</t>
        </is>
      </c>
      <c r="R8" s="11" t="inlineStr">
        <is>
          <t>交通：前身の太田市地域公共交通網形成計画はH29〜R6（H36）で終了 https://www.city.ota.gunma.jp/page/2288.html 。後継の地域公共交通計画策定支援業務委託プロポーザルの審査結果を公表（t_url）、策定作業中。環境：2026年度で終期、第3次計画策定のワークショップを2026.8.3・8.28に開催 https://www.city.ota.gunma.jp/page/1059507.html 。</t>
        </is>
      </c>
      <c r="S8" s="15" t="inlineStr">
        <is>
          <t>調査済</t>
        </is>
      </c>
      <c r="T8" s="11" t="n"/>
    </row>
    <row r="9">
      <c r="A9" s="11" t="n">
        <v>6</v>
      </c>
      <c r="B9" s="11" t="inlineStr">
        <is>
          <t>沼田市</t>
        </is>
      </c>
      <c r="C9" s="12">
        <f>IF(OR(D9="◎",E9="◎"),"◎ 営業",IF(OR(D9="△",E9="△"),"△ 着手済・要確認",IF(OR(D9="？",E9="？"),"？ 期間要確認","✕ 対象外")))</f>
        <v/>
      </c>
      <c r="D9" s="13">
        <f>IF(J9="計画なし","－",IF(J9="策定済","✕",IF(H9="","？",IF(AND(H9&gt;=TGT_MIN,H9&lt;=TGT_MAX),IF(J9="着手済","△","◎"),"✕"))))</f>
        <v/>
      </c>
      <c r="E9" s="13">
        <f>IF(P9="計画なし","－",IF(P9="策定済","✕",IF(N9="","？",IF(AND(N9&gt;=TGT_MIN,N9&lt;=TGT_MAX),IF(P9="着手済","△","◎"),"✕"))))</f>
        <v/>
      </c>
      <c r="F9" s="11" t="inlineStr">
        <is>
          <t>沼田市地域公共交通計画</t>
        </is>
      </c>
      <c r="G9" s="11" t="inlineStr">
        <is>
          <t>R6〜R9</t>
        </is>
      </c>
      <c r="H9" s="16" t="n">
        <v>9</v>
      </c>
      <c r="I9" s="13" t="inlineStr">
        <is>
          <t>推定</t>
        </is>
      </c>
      <c r="J9" s="13" t="inlineStr">
        <is>
          <t>未確認</t>
        </is>
      </c>
      <c r="K9" s="14" t="inlineStr">
        <is>
          <t>https://www.city.numata.gunma.jp/life/kotsu/bus/1014138.html</t>
        </is>
      </c>
      <c r="L9" s="11" t="inlineStr">
        <is>
          <t>第3次沼田市環境基本計画</t>
        </is>
      </c>
      <c r="M9" s="11" t="inlineStr">
        <is>
          <t>R7〜（10年、終期未確認）</t>
        </is>
      </c>
      <c r="N9" s="16" t="n"/>
      <c r="O9" s="13" t="inlineStr">
        <is>
          <t>推定</t>
        </is>
      </c>
      <c r="P9" s="13" t="inlineStr">
        <is>
          <t>策定済</t>
        </is>
      </c>
      <c r="Q9" s="14" t="inlineStr">
        <is>
          <t>https://www.city.numata.gunma.jp/shisei/keikaku/keikaku/1016056.html</t>
        </is>
      </c>
      <c r="R9" s="11" t="inlineStr">
        <is>
          <t>交通：R6.3策定。協議会資料（令和6年度第3回、R7.1）に「令和6年3月～令和10年3月」の記載あり https://www.city.numata.gunma.jp/_res/projects/default_project/_page_/001/014/867/numachikoshiryo.pdf （補助事業欄の記載で計画本文では未確認のため推定）。R8年度第1回協議会でR9年度確保維持事業の計画認定申請を協議 https://www.city.numata.gunma.jp/life/kotsu/bus/1014867.html 。次期計画の着手は未確認。環境：第二次（H27〜R6）満了を受け第3次を策定、今後10年（R7〜R16推定）。</t>
        </is>
      </c>
      <c r="S9" s="15" t="inlineStr">
        <is>
          <t>調査済</t>
        </is>
      </c>
      <c r="T9" s="11" t="n"/>
    </row>
    <row r="10">
      <c r="A10" s="11" t="n">
        <v>7</v>
      </c>
      <c r="B10" s="11" t="inlineStr">
        <is>
          <t>館林市</t>
        </is>
      </c>
      <c r="C10" s="12">
        <f>IF(OR(D10="◎",E10="◎"),"◎ 営業",IF(OR(D10="△",E10="△"),"△ 着手済・要確認",IF(OR(D10="？",E10="？"),"？ 期間要確認","✕ 対象外")))</f>
        <v/>
      </c>
      <c r="D10" s="13">
        <f>IF(J10="計画なし","－",IF(J10="策定済","✕",IF(H10="","？",IF(AND(H10&gt;=TGT_MIN,H10&lt;=TGT_MAX),IF(J10="着手済","△","◎"),"✕"))))</f>
        <v/>
      </c>
      <c r="E10" s="13">
        <f>IF(P10="計画なし","－",IF(P10="策定済","✕",IF(N10="","？",IF(AND(N10&gt;=TGT_MIN,N10&lt;=TGT_MAX),IF(P10="着手済","△","◎"),"✕"))))</f>
        <v/>
      </c>
      <c r="F10" s="11" t="inlineStr">
        <is>
          <t>第2次館林都市圏地域公共交通計画（1市4町共同）</t>
        </is>
      </c>
      <c r="G10" s="11" t="inlineStr">
        <is>
          <t>R8〜R12</t>
        </is>
      </c>
      <c r="H10" s="16" t="n">
        <v>12</v>
      </c>
      <c r="I10" s="13" t="inlineStr">
        <is>
          <t>推定</t>
        </is>
      </c>
      <c r="J10" s="13" t="inlineStr">
        <is>
          <t>策定済</t>
        </is>
      </c>
      <c r="K10" s="14" t="inlineStr">
        <is>
          <t>https://www.city.tatebayashi.gunma.jp/s015/shisei/040/020tatebayashitoshikenchiikikoukyoukoutukeikaku/2ndtatebayashitoshikentiikikoukyoukoutukeikaku.pdf</t>
        </is>
      </c>
      <c r="L10" s="11" t="inlineStr">
        <is>
          <t>第三次館林市環境基本計画</t>
        </is>
      </c>
      <c r="M10" s="11" t="inlineStr">
        <is>
          <t>R2〜R11</t>
        </is>
      </c>
      <c r="N10" s="13" t="n">
        <v>11</v>
      </c>
      <c r="O10" s="13" t="inlineStr">
        <is>
          <t>確認済</t>
        </is>
      </c>
      <c r="P10" s="13" t="inlineStr">
        <is>
          <t>未確認</t>
        </is>
      </c>
      <c r="Q10" s="14" t="inlineStr">
        <is>
          <t>https://www.city.tatebayashi.gunma.jp/s024/kurashi/120/080/020/kankyo-keikaku.pdf</t>
        </is>
      </c>
      <c r="R10" s="11" t="inlineStr">
        <is>
          <t>交通：第2次館林都市圏地域公共交通計画（館林市・板倉町・明和町・千代田町・邑楽町の1市4町共同）。前計画R3〜R7の後継、パブコメR7.12.22〜R8.1.16、目標年次R12（期間R8〜R12は推定）。環境：R2〜R11の10年、R6年度中間見直し済。</t>
        </is>
      </c>
      <c r="S10" s="15" t="inlineStr">
        <is>
          <t>調査済</t>
        </is>
      </c>
      <c r="T10" s="11" t="n"/>
    </row>
    <row r="11">
      <c r="A11" s="11" t="n">
        <v>8</v>
      </c>
      <c r="B11" s="11" t="inlineStr">
        <is>
          <t>渋川市</t>
        </is>
      </c>
      <c r="C11" s="12">
        <f>IF(OR(D11="◎",E11="◎"),"◎ 営業",IF(OR(D11="△",E11="△"),"△ 着手済・要確認",IF(OR(D11="？",E11="？"),"？ 期間要確認","✕ 対象外")))</f>
        <v/>
      </c>
      <c r="D11" s="13">
        <f>IF(J11="計画なし","－",IF(J11="策定済","✕",IF(H11="","？",IF(AND(H11&gt;=TGT_MIN,H11&lt;=TGT_MAX),IF(J11="着手済","△","◎"),"✕"))))</f>
        <v/>
      </c>
      <c r="E11" s="13">
        <f>IF(P11="計画なし","－",IF(P11="策定済","✕",IF(N11="","？",IF(AND(N11&gt;=TGT_MIN,N11&lt;=TGT_MAX),IF(P11="着手済","△","◎"),"✕"))))</f>
        <v/>
      </c>
      <c r="F11" s="11" t="inlineStr">
        <is>
          <t>渋川市地域公共交通計画（R6.3一部変更 アフターコロナ編）</t>
        </is>
      </c>
      <c r="G11" s="11" t="inlineStr">
        <is>
          <t>R3〜R7</t>
        </is>
      </c>
      <c r="H11" s="13" t="n">
        <v>7</v>
      </c>
      <c r="I11" s="13" t="inlineStr">
        <is>
          <t>確認済</t>
        </is>
      </c>
      <c r="J11" s="13" t="inlineStr">
        <is>
          <t>未確認</t>
        </is>
      </c>
      <c r="K11" s="14" t="inlineStr">
        <is>
          <t>http://www.city.shibukawa.lg.jp/shisei/000259/000269/p006726.html</t>
        </is>
      </c>
      <c r="L11" s="11" t="inlineStr">
        <is>
          <t>第2次渋川市環境基本計画（2024-2028）</t>
        </is>
      </c>
      <c r="M11" s="11" t="inlineStr">
        <is>
          <t>R6〜R10</t>
        </is>
      </c>
      <c r="N11" s="13" t="n">
        <v>10</v>
      </c>
      <c r="O11" s="13" t="inlineStr">
        <is>
          <t>確認済</t>
        </is>
      </c>
      <c r="P11" s="13" t="inlineStr">
        <is>
          <t>未確認</t>
        </is>
      </c>
      <c r="Q11" s="14" t="inlineStr">
        <is>
          <t>https://www.city.shibukawa.lg.jp/kurashi/gomi/kankyoseisaku/p006733.html</t>
        </is>
      </c>
      <c r="R11" s="11" t="inlineStr">
        <is>
          <t>交通：R3〜R7で期間満了、後継計画は検索で未確認。環境：当初R1〜R10の10年計画をR5年度に見直し、R6〜R10の5年計画に。</t>
        </is>
      </c>
      <c r="S11" s="15" t="inlineStr">
        <is>
          <t>調査済</t>
        </is>
      </c>
      <c r="T11" s="11" t="n"/>
    </row>
    <row r="12">
      <c r="A12" s="11" t="n">
        <v>9</v>
      </c>
      <c r="B12" s="11" t="inlineStr">
        <is>
          <t>藤岡市</t>
        </is>
      </c>
      <c r="C12" s="12">
        <f>IF(OR(D12="◎",E12="◎"),"◎ 営業",IF(OR(D12="△",E12="△"),"△ 着手済・要確認",IF(OR(D12="？",E12="？"),"？ 期間要確認","✕ 対象外")))</f>
        <v/>
      </c>
      <c r="D12" s="13">
        <f>IF(J12="計画なし","－",IF(J12="策定済","✕",IF(H12="","？",IF(AND(H12&gt;=TGT_MIN,H12&lt;=TGT_MAX),IF(J12="着手済","△","◎"),"✕"))))</f>
        <v/>
      </c>
      <c r="E12" s="13">
        <f>IF(P12="計画なし","－",IF(P12="策定済","✕",IF(N12="","？",IF(AND(N12&gt;=TGT_MIN,N12&lt;=TGT_MAX),IF(P12="着手済","△","◎"),"✕"))))</f>
        <v/>
      </c>
      <c r="F12" s="11" t="n"/>
      <c r="G12" s="11" t="inlineStr">
        <is>
          <t>不明</t>
        </is>
      </c>
      <c r="H12" s="13" t="n"/>
      <c r="I12" s="13" t="inlineStr">
        <is>
          <t>不明</t>
        </is>
      </c>
      <c r="J12" s="13" t="inlineStr">
        <is>
          <t>計画なし</t>
        </is>
      </c>
      <c r="K12" s="11" t="n"/>
      <c r="L12" s="11" t="inlineStr">
        <is>
          <t>第3次藤岡市環境基本計画（R5.3改訂版）</t>
        </is>
      </c>
      <c r="M12" s="11" t="inlineStr">
        <is>
          <t>R1〜R10</t>
        </is>
      </c>
      <c r="N12" s="13" t="n">
        <v>10</v>
      </c>
      <c r="O12" s="13" t="inlineStr">
        <is>
          <t>確認済</t>
        </is>
      </c>
      <c r="P12" s="13" t="inlineStr">
        <is>
          <t>未確認</t>
        </is>
      </c>
      <c r="Q12" s="14" t="inlineStr">
        <is>
          <t>https://www.city.fujioka.gunma.jp/material/files/group/21/gaiyouR05.pdf</t>
        </is>
      </c>
      <c r="R12" s="11" t="inlineStr">
        <is>
          <t>交通：市独自の地域公共交通計画は検索で確認できず（路線バス「めぐるん」、前橋工科大学へのバス路線再編支援業務の調査報告書あり https://www.city.fujioka.gunma.jp/soshiki/somubu/chiikianzen/2/1/9133.html ）。群馬県地域公共交通計画（群馬県交通まちづくり戦略の見直し、R5〜R9、県全域を4広域圏で記載） https://www.pref.gunma.jp/page/140624.html が県全域をカバー。環境：2019〜2028年度の10年、R5.3に前倒し見直し。e_urlは環境事業概要（計画書本体URLは未確認）。</t>
        </is>
      </c>
      <c r="S12" s="18" t="inlineStr">
        <is>
          <t>環境のみ調査</t>
        </is>
      </c>
      <c r="T12" s="11" t="n"/>
    </row>
    <row r="13">
      <c r="A13" s="11" t="n">
        <v>10</v>
      </c>
      <c r="B13" s="11" t="inlineStr">
        <is>
          <t>富岡市</t>
        </is>
      </c>
      <c r="C13" s="12">
        <f>IF(OR(D13="◎",E13="◎"),"◎ 営業",IF(OR(D13="△",E13="△"),"△ 着手済・要確認",IF(OR(D13="？",E13="？"),"？ 期間要確認","✕ 対象外")))</f>
        <v/>
      </c>
      <c r="D13" s="13">
        <f>IF(J13="計画なし","－",IF(J13="策定済","✕",IF(H13="","？",IF(AND(H13&gt;=TGT_MIN,H13&lt;=TGT_MAX),IF(J13="着手済","△","◎"),"✕"))))</f>
        <v/>
      </c>
      <c r="E13" s="13">
        <f>IF(P13="計画なし","－",IF(P13="策定済","✕",IF(N13="","？",IF(AND(N13&gt;=TGT_MIN,N13&lt;=TGT_MAX),IF(P13="着手済","△","◎"),"✕"))))</f>
        <v/>
      </c>
      <c r="F13" s="11" t="inlineStr">
        <is>
          <t>富岡市地域公共交通網形成計画（富岡市 都市と交通のマスタープラン内）</t>
        </is>
      </c>
      <c r="G13" s="11" t="inlineStr">
        <is>
          <t>R2〜R6</t>
        </is>
      </c>
      <c r="H13" s="13" t="n">
        <v>6</v>
      </c>
      <c r="I13" s="13" t="inlineStr">
        <is>
          <t>確認済</t>
        </is>
      </c>
      <c r="J13" s="13" t="inlineStr">
        <is>
          <t>未確認</t>
        </is>
      </c>
      <c r="K13" s="14" t="inlineStr">
        <is>
          <t>https://www.city.tomioka.lg.jp/www/contents/1597279234959/simple/03_koukyoukoutsuu.pdf</t>
        </is>
      </c>
      <c r="L13" s="11" t="inlineStr">
        <is>
          <t>第3次富岡市環境基本計画</t>
        </is>
      </c>
      <c r="M13" s="11" t="inlineStr">
        <is>
          <t>R4〜R13</t>
        </is>
      </c>
      <c r="N13" s="13" t="n">
        <v>13</v>
      </c>
      <c r="O13" s="13" t="inlineStr">
        <is>
          <t>確認済</t>
        </is>
      </c>
      <c r="P13" s="13" t="inlineStr">
        <is>
          <t>未確認</t>
        </is>
      </c>
      <c r="Q13" s="14" t="inlineStr">
        <is>
          <t>https://www.city.tomioka.lg.jp/www/section/1000000000100/index.html</t>
        </is>
      </c>
      <c r="R13" s="11" t="inlineStr">
        <is>
          <t>交通：網形成計画2020〜2024年度で期間満了、後継の地域公共交通計画は検索で確認できず。環境：総合計画後期基本計画の関連計画一覧で期間R4〜R13、R4.3パブコメ結果公表（e_urlは環境政策課ページ）。 【2026.10追記】上信電鉄沿線地域交通リ・デザイン推進協議会（県主導の法定協議会、富岡市・下仁田町・甘楽町・高崎市・南牧村等）が沿線の交通再構築を検討中（R7.6第7回協議会で再構築調査・意見聴取、R8.7.21第3回沿線地域懇談会） https://www.pref.gunma.jp/page/711517.html 。沿線計画の策定は未確認。</t>
        </is>
      </c>
      <c r="S13" s="15" t="inlineStr">
        <is>
          <t>調査済</t>
        </is>
      </c>
      <c r="T13" s="11" t="n"/>
    </row>
    <row r="14">
      <c r="A14" s="11" t="n">
        <v>11</v>
      </c>
      <c r="B14" s="11" t="inlineStr">
        <is>
          <t>安中市</t>
        </is>
      </c>
      <c r="C14" s="12">
        <f>IF(OR(D14="◎",E14="◎"),"◎ 営業",IF(OR(D14="△",E14="△"),"△ 着手済・要確認",IF(OR(D14="？",E14="？"),"？ 期間要確認","✕ 対象外")))</f>
        <v/>
      </c>
      <c r="D14" s="13">
        <f>IF(J14="計画なし","－",IF(J14="策定済","✕",IF(H14="","？",IF(AND(H14&gt;=TGT_MIN,H14&lt;=TGT_MAX),IF(J14="着手済","△","◎"),"✕"))))</f>
        <v/>
      </c>
      <c r="E14" s="13">
        <f>IF(P14="計画なし","－",IF(P14="策定済","✕",IF(N14="","？",IF(AND(N14&gt;=TGT_MIN,N14&lt;=TGT_MAX),IF(P14="着手済","△","◎"),"✕"))))</f>
        <v/>
      </c>
      <c r="F14" s="11" t="inlineStr">
        <is>
          <t>安中市地域公共交通計画</t>
        </is>
      </c>
      <c r="G14" s="11" t="inlineStr">
        <is>
          <t>R8〜R12</t>
        </is>
      </c>
      <c r="H14" s="13" t="n">
        <v>12</v>
      </c>
      <c r="I14" s="13" t="inlineStr">
        <is>
          <t>確認済</t>
        </is>
      </c>
      <c r="J14" s="13" t="inlineStr">
        <is>
          <t>策定済</t>
        </is>
      </c>
      <c r="K14" s="14" t="inlineStr">
        <is>
          <t>https://www.city.annaka.lg.jp/page/17203.html</t>
        </is>
      </c>
      <c r="L14" s="11" t="inlineStr">
        <is>
          <t>安中市環境基本計画2026</t>
        </is>
      </c>
      <c r="M14" s="11" t="inlineStr">
        <is>
          <t>R8〜R17</t>
        </is>
      </c>
      <c r="N14" s="13" t="n">
        <v>17</v>
      </c>
      <c r="O14" s="13" t="inlineStr">
        <is>
          <t>確認済</t>
        </is>
      </c>
      <c r="P14" s="13" t="inlineStr">
        <is>
          <t>策定済</t>
        </is>
      </c>
      <c r="Q14" s="14" t="inlineStr">
        <is>
          <t>https://www.city.annaka.lg.jp/page/1015.html</t>
        </is>
      </c>
      <c r="R14" s="11" t="inlineStr">
        <is>
          <t>交通：2026.3.9策定公表、R8〜R12。環境：R8〜R17の新計画（市の計画一覧ページで期間確認）。</t>
        </is>
      </c>
      <c r="S14" s="15" t="inlineStr">
        <is>
          <t>調査済</t>
        </is>
      </c>
      <c r="T14" s="11" t="n"/>
    </row>
    <row r="15">
      <c r="A15" s="11" t="n">
        <v>12</v>
      </c>
      <c r="B15" s="11" t="inlineStr">
        <is>
          <t>みどり市</t>
        </is>
      </c>
      <c r="C15" s="12">
        <f>IF(OR(D15="◎",E15="◎"),"◎ 営業",IF(OR(D15="△",E15="△"),"△ 着手済・要確認",IF(OR(D15="？",E15="？"),"？ 期間要確認","✕ 対象外")))</f>
        <v/>
      </c>
      <c r="D15" s="13">
        <f>IF(J15="計画なし","－",IF(J15="策定済","✕",IF(H15="","？",IF(AND(H15&gt;=TGT_MIN,H15&lt;=TGT_MAX),IF(J15="着手済","△","◎"),"✕"))))</f>
        <v/>
      </c>
      <c r="E15" s="13">
        <f>IF(P15="計画なし","－",IF(P15="策定済","✕",IF(N15="","？",IF(AND(N15&gt;=TGT_MIN,N15&lt;=TGT_MAX),IF(P15="着手済","△","◎"),"✕"))))</f>
        <v/>
      </c>
      <c r="F15" s="11" t="inlineStr">
        <is>
          <t>みどり市地域公共交通計画</t>
        </is>
      </c>
      <c r="G15" s="11" t="inlineStr">
        <is>
          <t>R8〜R12</t>
        </is>
      </c>
      <c r="H15" s="13" t="n">
        <v>12</v>
      </c>
      <c r="I15" s="13" t="inlineStr">
        <is>
          <t>確認済</t>
        </is>
      </c>
      <c r="J15" s="13" t="inlineStr">
        <is>
          <t>策定済</t>
        </is>
      </c>
      <c r="K15" s="14" t="inlineStr">
        <is>
          <t>https://www.city.midori.gunma.jp/_res/projects/default_project/_page_/001/009/285/keikaku.pdf</t>
        </is>
      </c>
      <c r="L15" s="11" t="inlineStr">
        <is>
          <t>第2次みどり市環境基本計画・後期基本計画</t>
        </is>
      </c>
      <c r="M15" s="11" t="inlineStr">
        <is>
          <t>R5〜R9</t>
        </is>
      </c>
      <c r="N15" s="13" t="n">
        <v>9</v>
      </c>
      <c r="O15" s="13" t="inlineStr">
        <is>
          <t>確認済</t>
        </is>
      </c>
      <c r="P15" s="13" t="inlineStr">
        <is>
          <t>未確認</t>
        </is>
      </c>
      <c r="Q15" s="14" t="inlineStr">
        <is>
          <t>https://www.city.midori.gunma.jp/_res/projects/default_project/_page_/001/005/834/sdgs_midori_202504kaisei.pdf</t>
        </is>
      </c>
      <c r="R15" s="11" t="inlineStr">
        <is>
          <t>交通：R6〜R7の2か年で策定支援業務（プロポーザル https://www.city.midori.gunma.jp/kurashi/1001625/1006056/1006059.html ）、R8〜R12。環境：後期基本計画2023〜2027年度でR9終期（期間はSDGs未来都市計画の記載で確認、計画書本体URLは未確認）。次期計画の着手は未確認。2050年みどり5つのゼロ宣言。 【2026.10再調査】環境基本計画の改定業務・審議会での審議は引き続き確認できず。</t>
        </is>
      </c>
      <c r="S15" s="15" t="inlineStr">
        <is>
          <t>調査済</t>
        </is>
      </c>
      <c r="T15" s="11" t="n"/>
    </row>
    <row r="16">
      <c r="A16" s="11" t="n">
        <v>13</v>
      </c>
      <c r="B16" s="11" t="inlineStr">
        <is>
          <t>榛東村</t>
        </is>
      </c>
      <c r="C16" s="12">
        <f>IF(OR(D16="◎",E16="◎"),"◎ 営業",IF(OR(D16="△",E16="△"),"△ 着手済・要確認",IF(OR(D16="？",E16="？"),"？ 期間要確認","✕ 対象外")))</f>
        <v/>
      </c>
      <c r="D16" s="13">
        <f>IF(J16="計画なし","－",IF(J16="策定済","✕",IF(H16="","？",IF(AND(H16&gt;=TGT_MIN,H16&lt;=TGT_MAX),IF(J16="着手済","△","◎"),"✕"))))</f>
        <v/>
      </c>
      <c r="E16" s="13">
        <f>IF(P16="計画なし","－",IF(P16="策定済","✕",IF(N16="","？",IF(AND(N16&gt;=TGT_MIN,N16&lt;=TGT_MAX),IF(P16="着手済","△","◎"),"✕"))))</f>
        <v/>
      </c>
      <c r="F16" s="11" t="n"/>
      <c r="G16" s="11" t="inlineStr">
        <is>
          <t>不明</t>
        </is>
      </c>
      <c r="H16" s="13" t="n"/>
      <c r="I16" s="13" t="inlineStr">
        <is>
          <t>不明</t>
        </is>
      </c>
      <c r="J16" s="13" t="inlineStr">
        <is>
          <t>計画なし</t>
        </is>
      </c>
      <c r="K16" s="11" t="n"/>
      <c r="L16" s="11" t="n"/>
      <c r="M16" s="11" t="inlineStr">
        <is>
          <t>不明</t>
        </is>
      </c>
      <c r="N16" s="13" t="n"/>
      <c r="O16" s="13" t="inlineStr">
        <is>
          <t>不明</t>
        </is>
      </c>
      <c r="P16" s="13" t="inlineStr">
        <is>
          <t>計画なし</t>
        </is>
      </c>
      <c r="Q16" s="11" t="n"/>
      <c r="R16" s="11" t="inlineStr">
        <is>
          <t>交通：村独自計画は確認できず（村営路線なし、タクシー助成「しんタク」実証）。群馬県地域公共交通計画（群馬県交通まちづくり戦略の見直し、R5〜R9、県全域を4広域圏で記載）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。環境：環境基本計画は村の個別計画ページで確認できず https://www.vill.shinto.gunma.jp/administration/000366/000378/index.html 。</t>
        </is>
      </c>
      <c r="S16" s="18" t="inlineStr">
        <is>
          <t>環境のみ調査</t>
        </is>
      </c>
      <c r="T16" s="11" t="n"/>
    </row>
    <row r="17">
      <c r="A17" s="11" t="n">
        <v>14</v>
      </c>
      <c r="B17" s="11" t="inlineStr">
        <is>
          <t>吉岡町</t>
        </is>
      </c>
      <c r="C17" s="12">
        <f>IF(OR(D17="◎",E17="◎"),"◎ 営業",IF(OR(D17="△",E17="△"),"△ 着手済・要確認",IF(OR(D17="？",E17="？"),"？ 期間要確認","✕ 対象外")))</f>
        <v/>
      </c>
      <c r="D17" s="13">
        <f>IF(J17="計画なし","－",IF(J17="策定済","✕",IF(H17="","？",IF(AND(H17&gt;=TGT_MIN,H17&lt;=TGT_MAX),IF(J17="着手済","△","◎"),"✕"))))</f>
        <v/>
      </c>
      <c r="E17" s="13">
        <f>IF(P17="計画なし","－",IF(P17="策定済","✕",IF(N17="","？",IF(AND(N17&gt;=TGT_MIN,N17&lt;=TGT_MAX),IF(P17="着手済","△","◎"),"✕"))))</f>
        <v/>
      </c>
      <c r="F17" s="11" t="n"/>
      <c r="G17" s="11" t="inlineStr">
        <is>
          <t>不明</t>
        </is>
      </c>
      <c r="H17" s="13" t="n"/>
      <c r="I17" s="13" t="inlineStr">
        <is>
          <t>不明</t>
        </is>
      </c>
      <c r="J17" s="13" t="inlineStr">
        <is>
          <t>計画なし</t>
        </is>
      </c>
      <c r="K17" s="11" t="n"/>
      <c r="L17" s="11" t="n"/>
      <c r="M17" s="11" t="inlineStr">
        <is>
          <t>不明</t>
        </is>
      </c>
      <c r="N17" s="13" t="n"/>
      <c r="O17" s="13" t="inlineStr">
        <is>
          <t>不明</t>
        </is>
      </c>
      <c r="P17" s="13" t="inlineStr">
        <is>
          <t>計画なし</t>
        </is>
      </c>
      <c r="Q17" s="11" t="n"/>
      <c r="R17" s="11" t="inlineStr">
        <is>
          <t>交通：町独自計画は確認できず。群馬県地域公共交通計画（群馬県交通まちづくり戦略の見直し、R5〜R9、県全域を4広域圏で記載） https://www.pref.gunma.jp/page/140624.html が県全域をカバー。環境：環境基本計画は確認できず（再生可能エネルギービジョン、事務事業編、R5.12ゼロカーボンシティ宣言 https://www.town.yoshioka.gunma.jp/kurashi/kankyo/post_163.html ）。</t>
        </is>
      </c>
      <c r="S17" s="18" t="inlineStr">
        <is>
          <t>環境のみ調査</t>
        </is>
      </c>
      <c r="T17" s="11" t="n"/>
    </row>
    <row r="18">
      <c r="A18" s="11" t="n">
        <v>15</v>
      </c>
      <c r="B18" s="11" t="inlineStr">
        <is>
          <t>上野村</t>
        </is>
      </c>
      <c r="C18" s="12">
        <f>IF(OR(D18="◎",E18="◎"),"◎ 営業",IF(OR(D18="△",E18="△"),"△ 着手済・要確認",IF(OR(D18="？",E18="？"),"？ 期間要確認","✕ 対象外")))</f>
        <v/>
      </c>
      <c r="D18" s="13">
        <f>IF(J18="計画なし","－",IF(J18="策定済","✕",IF(H18="","？",IF(AND(H18&gt;=TGT_MIN,H18&lt;=TGT_MAX),IF(J18="着手済","△","◎"),"✕"))))</f>
        <v/>
      </c>
      <c r="E18" s="13">
        <f>IF(P18="計画なし","－",IF(P18="策定済","✕",IF(N18="","？",IF(AND(N18&gt;=TGT_MIN,N18&lt;=TGT_MAX),IF(P18="着手済","△","◎"),"✕"))))</f>
        <v/>
      </c>
      <c r="F18" s="11" t="n"/>
      <c r="G18" s="11" t="inlineStr">
        <is>
          <t>不明</t>
        </is>
      </c>
      <c r="H18" s="13" t="n"/>
      <c r="I18" s="13" t="inlineStr">
        <is>
          <t>不明</t>
        </is>
      </c>
      <c r="J18" s="13" t="inlineStr">
        <is>
          <t>計画なし</t>
        </is>
      </c>
      <c r="K18" s="11" t="n"/>
      <c r="L18" s="11" t="n"/>
      <c r="M18" s="11" t="inlineStr">
        <is>
          <t>不明</t>
        </is>
      </c>
      <c r="N18" s="13" t="n"/>
      <c r="O18" s="13" t="inlineStr">
        <is>
          <t>不明</t>
        </is>
      </c>
      <c r="P18" s="13" t="inlineStr">
        <is>
          <t>計画なし</t>
        </is>
      </c>
      <c r="Q18" s="11" t="n"/>
      <c r="R18" s="11" t="inlineStr">
        <is>
          <t>交通：村独自計画は確認できず（路線バス・乗合タクシー、村内循環EVデマンドバス。多野藤岡広域路線バス奥多野線）。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。環境：環境基本計画は確認できず（地球温暖化対策実行計画R5.3、脱炭素先行地域計画、Ueno5つのゼロ宣言 https://www.uenomura.jp/admin/politics/post-30.html ）。</t>
        </is>
      </c>
      <c r="S18" s="18" t="inlineStr">
        <is>
          <t>環境のみ調査</t>
        </is>
      </c>
      <c r="T18" s="11" t="n"/>
    </row>
    <row r="19">
      <c r="A19" s="11" t="n">
        <v>16</v>
      </c>
      <c r="B19" s="11" t="inlineStr">
        <is>
          <t>神流町</t>
        </is>
      </c>
      <c r="C19" s="12">
        <f>IF(OR(D19="◎",E19="◎"),"◎ 営業",IF(OR(D19="△",E19="△"),"△ 着手済・要確認",IF(OR(D19="？",E19="？"),"？ 期間要確認","✕ 対象外")))</f>
        <v/>
      </c>
      <c r="D19" s="13">
        <f>IF(J19="計画なし","－",IF(J19="策定済","✕",IF(H19="","？",IF(AND(H19&gt;=TGT_MIN,H19&lt;=TGT_MAX),IF(J19="着手済","△","◎"),"✕"))))</f>
        <v/>
      </c>
      <c r="E19" s="13">
        <f>IF(P19="計画なし","－",IF(P19="策定済","✕",IF(N19="","？",IF(AND(N19&gt;=TGT_MIN,N19&lt;=TGT_MAX),IF(P19="着手済","△","◎"),"✕"))))</f>
        <v/>
      </c>
      <c r="F19" s="11" t="n"/>
      <c r="G19" s="11" t="inlineStr">
        <is>
          <t>不明</t>
        </is>
      </c>
      <c r="H19" s="13" t="n"/>
      <c r="I19" s="13" t="inlineStr">
        <is>
          <t>不明</t>
        </is>
      </c>
      <c r="J19" s="13" t="inlineStr">
        <is>
          <t>計画なし</t>
        </is>
      </c>
      <c r="K19" s="11" t="n"/>
      <c r="L19" s="11" t="n"/>
      <c r="M19" s="11" t="inlineStr">
        <is>
          <t>不明</t>
        </is>
      </c>
      <c r="N19" s="13" t="n"/>
      <c r="O19" s="13" t="inlineStr">
        <is>
          <t>不明</t>
        </is>
      </c>
      <c r="P19" s="13" t="inlineStr">
        <is>
          <t>計画なし</t>
        </is>
      </c>
      <c r="Q19" s="11" t="n"/>
      <c r="R19" s="11" t="inlineStr">
        <is>
          <t>交通：町独自計画は確認できず（公共交通は多野藤岡広域市町村圏振興整備組合が所管）。群馬県地域公共交通計画（群馬県交通まちづくり戦略の見直し、R5〜R9、県全域を4広域圏で記載）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。環境：環境基本計画は確認できず（環境政策ページ https://www.town.kanna.gunma.jp/gyouseijouhou/kouhyoujikou/883.html 、R2.7ゼロカーボンシティ宣言）。</t>
        </is>
      </c>
      <c r="S19" s="18" t="inlineStr">
        <is>
          <t>環境のみ調査</t>
        </is>
      </c>
      <c r="T19" s="11" t="n"/>
    </row>
    <row r="20">
      <c r="A20" s="11" t="n">
        <v>17</v>
      </c>
      <c r="B20" s="11" t="inlineStr">
        <is>
          <t>下仁田町</t>
        </is>
      </c>
      <c r="C20" s="12">
        <f>IF(OR(D20="◎",E20="◎"),"◎ 営業",IF(OR(D20="△",E20="△"),"△ 着手済・要確認",IF(OR(D20="？",E20="？"),"？ 期間要確認","✕ 対象外")))</f>
        <v/>
      </c>
      <c r="D20" s="13">
        <f>IF(J20="計画なし","－",IF(J20="策定済","✕",IF(H20="","？",IF(AND(H20&gt;=TGT_MIN,H20&lt;=TGT_MAX),IF(J20="着手済","△","◎"),"✕"))))</f>
        <v/>
      </c>
      <c r="E20" s="13">
        <f>IF(P20="計画なし","－",IF(P20="策定済","✕",IF(N20="","？",IF(AND(N20&gt;=TGT_MIN,N20&lt;=TGT_MAX),IF(P20="着手済","△","◎"),"✕"))))</f>
        <v/>
      </c>
      <c r="F20" s="11" t="n"/>
      <c r="G20" s="11" t="inlineStr">
        <is>
          <t>不明</t>
        </is>
      </c>
      <c r="H20" s="13" t="n"/>
      <c r="I20" s="13" t="inlineStr">
        <is>
          <t>不明</t>
        </is>
      </c>
      <c r="J20" s="13" t="inlineStr">
        <is>
          <t>計画なし</t>
        </is>
      </c>
      <c r="K20" s="11" t="n"/>
      <c r="L20" s="11" t="inlineStr">
        <is>
          <t>第2次下仁田町環境基本計画</t>
        </is>
      </c>
      <c r="M20" s="11" t="inlineStr">
        <is>
          <t>H29〜R8</t>
        </is>
      </c>
      <c r="N20" s="13" t="n">
        <v>8</v>
      </c>
      <c r="O20" s="13" t="inlineStr">
        <is>
          <t>確認済</t>
        </is>
      </c>
      <c r="P20" s="13" t="inlineStr">
        <is>
          <t>未確認</t>
        </is>
      </c>
      <c r="Q20" s="14" t="inlineStr">
        <is>
          <t>https://www.town.shimonita.lg.jp/hoken-kankyo/m01/m02/m01/kankyo-kihonplan.pdf</t>
        </is>
      </c>
      <c r="R20" s="11" t="inlineStr">
        <is>
          <t>交通：町独自計画は確認できず（町営バス5路線、デマンド検討）。群馬県地域公共交通計画（群馬県交通まちづくり戦略の見直し、R5〜R9、県全域を4広域圏で記載）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。環境：H29〜H38（R8）でR8年度終期、次期（第3次）計画の作業は検索で確認できず。要注視。 【2026.10追記】上信電鉄沿線地域交通リ・デザイン推進協議会（県主導の法定協議会、富岡市・下仁田町・甘楽町・高崎市・南牧村等）が沿線の交通再構築を検討中（R7.6第7回協議会で再構築調査・意見聴取、R8.7.21第3回沿線地域懇談会） https://www.pref.gunma.jp/page/711517.html 。沿線計画の策定は未確認。 環境基本計画の改定委託・入札も2026.10の再調査で確認できず。</t>
        </is>
      </c>
      <c r="S20" s="18" t="inlineStr">
        <is>
          <t>環境のみ調査</t>
        </is>
      </c>
      <c r="T20" s="11" t="n"/>
    </row>
    <row r="21">
      <c r="A21" s="11" t="n">
        <v>18</v>
      </c>
      <c r="B21" s="11" t="inlineStr">
        <is>
          <t>南牧村</t>
        </is>
      </c>
      <c r="C21" s="12">
        <f>IF(OR(D21="◎",E21="◎"),"◎ 営業",IF(OR(D21="△",E21="△"),"△ 着手済・要確認",IF(OR(D21="？",E21="？"),"？ 期間要確認","✕ 対象外")))</f>
        <v/>
      </c>
      <c r="D21" s="13">
        <f>IF(J21="計画なし","－",IF(J21="策定済","✕",IF(H21="","？",IF(AND(H21&gt;=TGT_MIN,H21&lt;=TGT_MAX),IF(J21="着手済","△","◎"),"✕"))))</f>
        <v/>
      </c>
      <c r="E21" s="13">
        <f>IF(P21="計画なし","－",IF(P21="策定済","✕",IF(N21="","？",IF(AND(N21&gt;=TGT_MIN,N21&lt;=TGT_MAX),IF(P21="着手済","△","◎"),"✕"))))</f>
        <v/>
      </c>
      <c r="F21" s="11" t="n"/>
      <c r="G21" s="11" t="inlineStr">
        <is>
          <t>不明</t>
        </is>
      </c>
      <c r="H21" s="13" t="n"/>
      <c r="I21" s="13" t="inlineStr">
        <is>
          <t>不明</t>
        </is>
      </c>
      <c r="J21" s="13" t="inlineStr">
        <is>
          <t>計画なし</t>
        </is>
      </c>
      <c r="K21" s="11" t="n"/>
      <c r="L21" s="11" t="n"/>
      <c r="M21" s="11" t="inlineStr">
        <is>
          <t>不明</t>
        </is>
      </c>
      <c r="N21" s="13" t="n"/>
      <c r="O21" s="13" t="inlineStr">
        <is>
          <t>不明</t>
        </is>
      </c>
      <c r="P21" s="13" t="inlineStr">
        <is>
          <t>計画なし</t>
        </is>
      </c>
      <c r="Q21" s="11" t="n"/>
      <c r="R21" s="11" t="inlineStr">
        <is>
          <t>交通：村独自計画は検索で確認できず。群馬県地域公共交通計画（群馬県交通まちづくり戦略の見直し、R5〜R9、県全域を4広域圏で記載）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。環境：環境基本計画は確認できず。 【2026.10追記】上信電鉄沿線地域交通リ・デザイン推進協議会（県主導の法定協議会、富岡市・下仁田町・甘楽町・高崎市・南牧村等）が沿線の交通再構築を検討中（R7.6第7回協議会で再構築調査・意見聴取、R8.7.21第3回沿線地域懇談会） https://www.pref.gunma.jp/page/711517.html 。沿線計画の策定は未確認。</t>
        </is>
      </c>
      <c r="S21" s="18" t="inlineStr">
        <is>
          <t>環境のみ調査</t>
        </is>
      </c>
      <c r="T21" s="11" t="n"/>
    </row>
    <row r="22">
      <c r="A22" s="11" t="n">
        <v>19</v>
      </c>
      <c r="B22" s="11" t="inlineStr">
        <is>
          <t>甘楽町</t>
        </is>
      </c>
      <c r="C22" s="12">
        <f>IF(OR(D22="◎",E22="◎"),"◎ 営業",IF(OR(D22="△",E22="△"),"△ 着手済・要確認",IF(OR(D22="？",E22="？"),"？ 期間要確認","✕ 対象外")))</f>
        <v/>
      </c>
      <c r="D22" s="13">
        <f>IF(J22="計画なし","－",IF(J22="策定済","✕",IF(H22="","？",IF(AND(H22&gt;=TGT_MIN,H22&lt;=TGT_MAX),IF(J22="着手済","△","◎"),"✕"))))</f>
        <v/>
      </c>
      <c r="E22" s="13">
        <f>IF(P22="計画なし","－",IF(P22="策定済","✕",IF(N22="","？",IF(AND(N22&gt;=TGT_MIN,N22&lt;=TGT_MAX),IF(P22="着手済","△","◎"),"✕"))))</f>
        <v/>
      </c>
      <c r="F22" s="11" t="inlineStr">
        <is>
          <t>甘楽町地域公共交通計画</t>
        </is>
      </c>
      <c r="G22" s="11" t="inlineStr">
        <is>
          <t>R6〜R10</t>
        </is>
      </c>
      <c r="H22" s="13" t="n">
        <v>10</v>
      </c>
      <c r="I22" s="13" t="inlineStr">
        <is>
          <t>確認済</t>
        </is>
      </c>
      <c r="J22" s="13" t="inlineStr">
        <is>
          <t>未確認</t>
        </is>
      </c>
      <c r="K22" s="14" t="inlineStr">
        <is>
          <t>https://www.town.kanra.lg.jp/kikaku/chousei/sozai/other/traffic_plan.pdf</t>
        </is>
      </c>
      <c r="L22" s="11" t="n"/>
      <c r="M22" s="11" t="inlineStr">
        <is>
          <t>不明</t>
        </is>
      </c>
      <c r="N22" s="13" t="n"/>
      <c r="O22" s="13" t="inlineStr">
        <is>
          <t>不明</t>
        </is>
      </c>
      <c r="P22" s="13" t="inlineStr">
        <is>
          <t>計画なし</t>
        </is>
      </c>
      <c r="Q22" s="11" t="n"/>
      <c r="R22" s="11" t="inlineStr">
        <is>
          <t>交通：R6.4策定（甘楽町地域公共交通協議会）、2024〜2028年度。環境：環境基本計画は確認できず（総合計画内で環境施策）。 【2026.10追記】上信電鉄沿線地域交通リ・デザイン推進協議会（県主導の法定協議会、富岡市・下仁田町・甘楽町・高崎市・南牧村等）が沿線の交通再構築を検討中（R7.6第7回協議会で再構築調査・意見聴取、R8.7.21第3回沿線地域懇談会） https://www.pref.gunma.jp/page/711517.html 。沿線計画の策定は未確認。</t>
        </is>
      </c>
      <c r="S22" s="15" t="inlineStr">
        <is>
          <t>調査済</t>
        </is>
      </c>
      <c r="T22" s="11" t="n"/>
    </row>
    <row r="23">
      <c r="A23" s="11" t="n">
        <v>20</v>
      </c>
      <c r="B23" s="11" t="inlineStr">
        <is>
          <t>中之条町</t>
        </is>
      </c>
      <c r="C23" s="12">
        <f>IF(OR(D23="◎",E23="◎"),"◎ 営業",IF(OR(D23="△",E23="△"),"△ 着手済・要確認",IF(OR(D23="？",E23="？"),"？ 期間要確認","✕ 対象外")))</f>
        <v/>
      </c>
      <c r="D23" s="13">
        <f>IF(J23="計画なし","－",IF(J23="策定済","✕",IF(H23="","？",IF(AND(H23&gt;=TGT_MIN,H23&lt;=TGT_MAX),IF(J23="着手済","△","◎"),"✕"))))</f>
        <v/>
      </c>
      <c r="E23" s="13">
        <f>IF(P23="計画なし","－",IF(P23="策定済","✕",IF(N23="","？",IF(AND(N23&gt;=TGT_MIN,N23&lt;=TGT_MAX),IF(P23="着手済","△","◎"),"✕"))))</f>
        <v/>
      </c>
      <c r="F23" s="11" t="inlineStr">
        <is>
          <t>中之条町地域公共交通計画</t>
        </is>
      </c>
      <c r="G23" s="11" t="inlineStr">
        <is>
          <t>R8〜R12</t>
        </is>
      </c>
      <c r="H23" s="13" t="n">
        <v>12</v>
      </c>
      <c r="I23" s="13" t="inlineStr">
        <is>
          <t>確認済</t>
        </is>
      </c>
      <c r="J23" s="13" t="inlineStr">
        <is>
          <t>策定済</t>
        </is>
      </c>
      <c r="K23" s="14" t="inlineStr">
        <is>
          <t>https://www.town.nakanojo.gunma.jp/soshiki/4/14126.html</t>
        </is>
      </c>
      <c r="L23" s="11" t="inlineStr">
        <is>
          <t>第二次中之条町環境基本計画</t>
        </is>
      </c>
      <c r="M23" s="11" t="inlineStr">
        <is>
          <t>2019策定（期間不明）</t>
        </is>
      </c>
      <c r="N23" s="13" t="n"/>
      <c r="O23" s="13" t="inlineStr">
        <is>
          <t>不明</t>
        </is>
      </c>
      <c r="P23" s="13" t="inlineStr">
        <is>
          <t>未確認</t>
        </is>
      </c>
      <c r="Q23" s="14" t="inlineStr">
        <is>
          <t>https://www.town.nakanojo.gunma.jp/soshiki/4/1284.html</t>
        </is>
      </c>
      <c r="R23" s="11" t="inlineStr">
        <is>
          <t>交通：R8〜R12、パブコメ後2026.5公表。環境：2019年策定（計画一覧ページで確認、期間未確認。10年ならR10頃終期）。</t>
        </is>
      </c>
      <c r="S23" s="15" t="inlineStr">
        <is>
          <t>調査済</t>
        </is>
      </c>
      <c r="T23" s="11" t="n"/>
    </row>
    <row r="24">
      <c r="A24" s="11" t="n">
        <v>21</v>
      </c>
      <c r="B24" s="11" t="inlineStr">
        <is>
          <t>長野原町</t>
        </is>
      </c>
      <c r="C24" s="12">
        <f>IF(OR(D24="◎",E24="◎"),"◎ 営業",IF(OR(D24="△",E24="△"),"△ 着手済・要確認",IF(OR(D24="？",E24="？"),"？ 期間要確認","✕ 対象外")))</f>
        <v/>
      </c>
      <c r="D24" s="13">
        <f>IF(J24="計画なし","－",IF(J24="策定済","✕",IF(H24="","？",IF(AND(H24&gt;=TGT_MIN,H24&lt;=TGT_MAX),IF(J24="着手済","△","◎"),"✕"))))</f>
        <v/>
      </c>
      <c r="E24" s="13">
        <f>IF(P24="計画なし","－",IF(P24="策定済","✕",IF(N24="","？",IF(AND(N24&gt;=TGT_MIN,N24&lt;=TGT_MAX),IF(P24="着手済","△","◎"),"✕"))))</f>
        <v/>
      </c>
      <c r="F24" s="11" t="inlineStr">
        <is>
          <t>長野原町地域公共交通計画</t>
        </is>
      </c>
      <c r="G24" s="11" t="inlineStr">
        <is>
          <t>不明</t>
        </is>
      </c>
      <c r="H24" s="13" t="n"/>
      <c r="I24" s="13" t="inlineStr">
        <is>
          <t>不明</t>
        </is>
      </c>
      <c r="J24" s="13" t="inlineStr">
        <is>
          <t>未確認</t>
        </is>
      </c>
      <c r="K24" s="14" t="inlineStr">
        <is>
          <t>https://www.town.naganohara.gunma.jp/www/contents/1681342705782/index.html</t>
        </is>
      </c>
      <c r="L24" s="11" t="n"/>
      <c r="M24" s="11" t="inlineStr">
        <is>
          <t>不明</t>
        </is>
      </c>
      <c r="N24" s="13" t="n"/>
      <c r="O24" s="13" t="inlineStr">
        <is>
          <t>不明</t>
        </is>
      </c>
      <c r="P24" s="13" t="inlineStr">
        <is>
          <t>計画なし</t>
        </is>
      </c>
      <c r="Q24" s="11" t="n"/>
      <c r="R24" s="11" t="inlineStr">
        <is>
          <t>交通：R5頃策定（10〜20年後を見据える、R5年度から実現検討）。期間は検索で確認できず。JR吾妻線 長野原草津口〜大前間についてJR東日本が県・町・嬬恋村に交通体系の議論を申し入れ。群馬県地域公共交通計画（群馬県交通まちづくり戦略の見直し、R5〜R9、県全域を4広域圏で記載）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。環境：環境基本計画は確認できず（地域新エネルギービジョンあり）。</t>
        </is>
      </c>
      <c r="S24" s="15" t="inlineStr">
        <is>
          <t>調査済</t>
        </is>
      </c>
      <c r="T24" s="11" t="n"/>
    </row>
    <row r="25">
      <c r="A25" s="11" t="n">
        <v>22</v>
      </c>
      <c r="B25" s="11" t="inlineStr">
        <is>
          <t>嬬恋村</t>
        </is>
      </c>
      <c r="C25" s="12">
        <f>IF(OR(D25="◎",E25="◎"),"◎ 営業",IF(OR(D25="△",E25="△"),"△ 着手済・要確認",IF(OR(D25="？",E25="？"),"？ 期間要確認","✕ 対象外")))</f>
        <v/>
      </c>
      <c r="D25" s="13">
        <f>IF(J25="計画なし","－",IF(J25="策定済","✕",IF(H25="","？",IF(AND(H25&gt;=TGT_MIN,H25&lt;=TGT_MAX),IF(J25="着手済","△","◎"),"✕"))))</f>
        <v/>
      </c>
      <c r="E25" s="13">
        <f>IF(P25="計画なし","－",IF(P25="策定済","✕",IF(N25="","？",IF(AND(N25&gt;=TGT_MIN,N25&lt;=TGT_MAX),IF(P25="着手済","△","◎"),"✕"))))</f>
        <v/>
      </c>
      <c r="F25" s="11" t="n"/>
      <c r="G25" s="11" t="inlineStr">
        <is>
          <t>不明</t>
        </is>
      </c>
      <c r="H25" s="13" t="n"/>
      <c r="I25" s="13" t="inlineStr">
        <is>
          <t>不明</t>
        </is>
      </c>
      <c r="J25" s="13" t="inlineStr">
        <is>
          <t>計画なし</t>
        </is>
      </c>
      <c r="K25" s="11" t="n"/>
      <c r="L25" s="11" t="n"/>
      <c r="M25" s="11" t="inlineStr">
        <is>
          <t>不明</t>
        </is>
      </c>
      <c r="N25" s="13" t="n"/>
      <c r="O25" s="13" t="inlineStr">
        <is>
          <t>不明</t>
        </is>
      </c>
      <c r="P25" s="13" t="inlineStr">
        <is>
          <t>計画なし</t>
        </is>
      </c>
      <c r="Q25" s="11" t="n"/>
      <c r="R25" s="11" t="inlineStr">
        <is>
          <t>交通：村独自の地域公共交通計画は確認できず（総合計画後期R7〜R11で公共交通見直しを検討、デマンドバス）。JR吾妻線末端区間の在り方議論あり。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。環境：環境基本計画は確認できず。</t>
        </is>
      </c>
      <c r="S25" s="18" t="inlineStr">
        <is>
          <t>環境のみ調査</t>
        </is>
      </c>
      <c r="T25" s="11" t="n"/>
    </row>
    <row r="26">
      <c r="A26" s="11" t="n">
        <v>23</v>
      </c>
      <c r="B26" s="11" t="inlineStr">
        <is>
          <t>草津町</t>
        </is>
      </c>
      <c r="C26" s="12">
        <f>IF(OR(D26="◎",E26="◎"),"◎ 営業",IF(OR(D26="△",E26="△"),"△ 着手済・要確認",IF(OR(D26="？",E26="？"),"？ 期間要確認","✕ 対象外")))</f>
        <v/>
      </c>
      <c r="D26" s="13">
        <f>IF(J26="計画なし","－",IF(J26="策定済","✕",IF(H26="","？",IF(AND(H26&gt;=TGT_MIN,H26&lt;=TGT_MAX),IF(J26="着手済","△","◎"),"✕"))))</f>
        <v/>
      </c>
      <c r="E26" s="13">
        <f>IF(P26="計画なし","－",IF(P26="策定済","✕",IF(N26="","？",IF(AND(N26&gt;=TGT_MIN,N26&lt;=TGT_MAX),IF(P26="着手済","△","◎"),"✕"))))</f>
        <v/>
      </c>
      <c r="F26" s="11" t="n"/>
      <c r="G26" s="11" t="inlineStr">
        <is>
          <t>不明</t>
        </is>
      </c>
      <c r="H26" s="13" t="n"/>
      <c r="I26" s="13" t="inlineStr">
        <is>
          <t>不明</t>
        </is>
      </c>
      <c r="J26" s="13" t="inlineStr">
        <is>
          <t>計画なし</t>
        </is>
      </c>
      <c r="K26" s="11" t="n"/>
      <c r="L26" s="11" t="n"/>
      <c r="M26" s="11" t="inlineStr">
        <is>
          <t>不明</t>
        </is>
      </c>
      <c r="N26" s="13" t="n"/>
      <c r="O26" s="13" t="inlineStr">
        <is>
          <t>不明</t>
        </is>
      </c>
      <c r="P26" s="13" t="inlineStr">
        <is>
          <t>計画なし</t>
        </is>
      </c>
      <c r="Q26" s="11" t="n"/>
      <c r="R26" s="11" t="inlineStr">
        <is>
          <t>交通：町独自計画は確認できず（総合戦略で公共交通の充実が課題）。群馬県地域公共交通計画（群馬県交通まちづくり戦略の見直し、R5〜R9、県全域を4広域圏で記載）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。環境：環境基本計画は確認できず。</t>
        </is>
      </c>
      <c r="S26" s="18" t="inlineStr">
        <is>
          <t>環境のみ調査</t>
        </is>
      </c>
      <c r="T26" s="11" t="n"/>
    </row>
    <row r="27">
      <c r="A27" s="11" t="n">
        <v>24</v>
      </c>
      <c r="B27" s="11" t="inlineStr">
        <is>
          <t>高山村</t>
        </is>
      </c>
      <c r="C27" s="12">
        <f>IF(OR(D27="◎",E27="◎"),"◎ 営業",IF(OR(D27="△",E27="△"),"△ 着手済・要確認",IF(OR(D27="？",E27="？"),"？ 期間要確認","✕ 対象外")))</f>
        <v/>
      </c>
      <c r="D27" s="13">
        <f>IF(J27="計画なし","－",IF(J27="策定済","✕",IF(H27="","？",IF(AND(H27&gt;=TGT_MIN,H27&lt;=TGT_MAX),IF(J27="着手済","△","◎"),"✕"))))</f>
        <v/>
      </c>
      <c r="E27" s="13">
        <f>IF(P27="計画なし","－",IF(P27="策定済","✕",IF(N27="","？",IF(AND(N27&gt;=TGT_MIN,N27&lt;=TGT_MAX),IF(P27="着手済","△","◎"),"✕"))))</f>
        <v/>
      </c>
      <c r="F27" s="11" t="n"/>
      <c r="G27" s="11" t="inlineStr">
        <is>
          <t>不明</t>
        </is>
      </c>
      <c r="H27" s="13" t="n"/>
      <c r="I27" s="13" t="inlineStr">
        <is>
          <t>不明</t>
        </is>
      </c>
      <c r="J27" s="13" t="inlineStr">
        <is>
          <t>計画なし</t>
        </is>
      </c>
      <c r="K27" s="11" t="n"/>
      <c r="L27" s="11" t="n"/>
      <c r="M27" s="11" t="inlineStr">
        <is>
          <t>不明</t>
        </is>
      </c>
      <c r="N27" s="13" t="n"/>
      <c r="O27" s="13" t="inlineStr">
        <is>
          <t>不明</t>
        </is>
      </c>
      <c r="P27" s="13" t="inlineStr">
        <is>
          <t>計画なし</t>
        </is>
      </c>
      <c r="Q27" s="11" t="n"/>
      <c r="R27" s="11" t="inlineStr">
        <is>
          <t>交通：村独自計画は確認できず（路線バスのデマンド化・有償運送の方針、第6次総合計画R7〜R16）。群馬県地域公共交通計画（群馬県交通まちづくり戦略の見直し、R5〜R9、県全域を4広域圏で記載）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。環境：環境基本計画は確認できず。</t>
        </is>
      </c>
      <c r="S27" s="18" t="inlineStr">
        <is>
          <t>環境のみ調査</t>
        </is>
      </c>
      <c r="T27" s="11" t="n"/>
    </row>
    <row r="28">
      <c r="A28" s="11" t="n">
        <v>25</v>
      </c>
      <c r="B28" s="11" t="inlineStr">
        <is>
          <t>東吾妻町</t>
        </is>
      </c>
      <c r="C28" s="12">
        <f>IF(OR(D28="◎",E28="◎"),"◎ 営業",IF(OR(D28="△",E28="△"),"△ 着手済・要確認",IF(OR(D28="？",E28="？"),"？ 期間要確認","✕ 対象外")))</f>
        <v/>
      </c>
      <c r="D28" s="13">
        <f>IF(J28="計画なし","－",IF(J28="策定済","✕",IF(H28="","？",IF(AND(H28&gt;=TGT_MIN,H28&lt;=TGT_MAX),IF(J28="着手済","△","◎"),"✕"))))</f>
        <v/>
      </c>
      <c r="E28" s="13">
        <f>IF(P28="計画なし","－",IF(P28="策定済","✕",IF(N28="","？",IF(AND(N28&gt;=TGT_MIN,N28&lt;=TGT_MAX),IF(P28="着手済","△","◎"),"✕"))))</f>
        <v/>
      </c>
      <c r="F28" s="11" t="inlineStr">
        <is>
          <t>東吾妻町地域公共交通計画</t>
        </is>
      </c>
      <c r="G28" s="11" t="inlineStr">
        <is>
          <t>R4〜R8</t>
        </is>
      </c>
      <c r="H28" s="13" t="n">
        <v>8</v>
      </c>
      <c r="I28" s="13" t="inlineStr">
        <is>
          <t>確認済</t>
        </is>
      </c>
      <c r="J28" s="13" t="inlineStr">
        <is>
          <t>着手済</t>
        </is>
      </c>
      <c r="K28" s="14" t="inlineStr">
        <is>
          <t>https://www.town.higashiagatsuma.gunma.jp/www/contents/1650246606240/index.html</t>
        </is>
      </c>
      <c r="L28" s="11" t="n"/>
      <c r="M28" s="11" t="inlineStr">
        <is>
          <t>不明</t>
        </is>
      </c>
      <c r="N28" s="13" t="n"/>
      <c r="O28" s="13" t="inlineStr">
        <is>
          <t>不明</t>
        </is>
      </c>
      <c r="P28" s="13" t="inlineStr">
        <is>
          <t>計画なし</t>
        </is>
      </c>
      <c r="Q28" s="11" t="n"/>
      <c r="R28" s="11" t="inlineStr">
        <is>
          <t>交通：2022〜2026年度でR8終期。2026.10.1付で「東吾妻町R9年度地域公共交通再編案」のパブコメを実施（町サイト新着、次期計画との関係は要確認）。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。環境：環境基本計画は確認できず（地球温暖化対策実行計画のみ）。</t>
        </is>
      </c>
      <c r="S28" s="15" t="inlineStr">
        <is>
          <t>調査済</t>
        </is>
      </c>
      <c r="T28" s="11" t="n"/>
    </row>
    <row r="29">
      <c r="A29" s="11" t="n">
        <v>26</v>
      </c>
      <c r="B29" s="11" t="inlineStr">
        <is>
          <t>片品村</t>
        </is>
      </c>
      <c r="C29" s="12">
        <f>IF(OR(D29="◎",E29="◎"),"◎ 営業",IF(OR(D29="△",E29="△"),"△ 着手済・要確認",IF(OR(D29="？",E29="？"),"？ 期間要確認","✕ 対象外")))</f>
        <v/>
      </c>
      <c r="D29" s="13">
        <f>IF(J29="計画なし","－",IF(J29="策定済","✕",IF(H29="","？",IF(AND(H29&gt;=TGT_MIN,H29&lt;=TGT_MAX),IF(J29="着手済","△","◎"),"✕"))))</f>
        <v/>
      </c>
      <c r="E29" s="13">
        <f>IF(P29="計画なし","－",IF(P29="策定済","✕",IF(N29="","？",IF(AND(N29&gt;=TGT_MIN,N29&lt;=TGT_MAX),IF(P29="着手済","△","◎"),"✕"))))</f>
        <v/>
      </c>
      <c r="F29" s="11" t="n"/>
      <c r="G29" s="11" t="inlineStr">
        <is>
          <t>不明</t>
        </is>
      </c>
      <c r="H29" s="13" t="n"/>
      <c r="I29" s="13" t="inlineStr">
        <is>
          <t>不明</t>
        </is>
      </c>
      <c r="J29" s="13" t="inlineStr">
        <is>
          <t>計画なし</t>
        </is>
      </c>
      <c r="K29" s="11" t="n"/>
      <c r="L29" s="11" t="n"/>
      <c r="M29" s="11" t="inlineStr">
        <is>
          <t>不明</t>
        </is>
      </c>
      <c r="N29" s="13" t="n"/>
      <c r="O29" s="13" t="inlineStr">
        <is>
          <t>不明</t>
        </is>
      </c>
      <c r="P29" s="13" t="inlineStr">
        <is>
          <t>計画なし</t>
        </is>
      </c>
      <c r="Q29" s="11" t="n"/>
      <c r="R29" s="11" t="inlineStr">
        <is>
          <t>交通：村独自計画は確認できず（路線バスのみ、過疎計画R8〜R12、尾瀬の交通対策）。群馬県地域公共交通計画（群馬県交通まちづくり戦略の見直し、R5〜R9、県全域を4広域圏で記載）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。環境：環境基本計画は確認できず（第5次総合計画R8〜R17内に環境保全）。</t>
        </is>
      </c>
      <c r="S29" s="18" t="inlineStr">
        <is>
          <t>環境のみ調査</t>
        </is>
      </c>
      <c r="T29" s="11" t="n"/>
    </row>
    <row r="30">
      <c r="A30" s="11" t="n">
        <v>27</v>
      </c>
      <c r="B30" s="11" t="inlineStr">
        <is>
          <t>川場村</t>
        </is>
      </c>
      <c r="C30" s="12">
        <f>IF(OR(D30="◎",E30="◎"),"◎ 営業",IF(OR(D30="△",E30="△"),"△ 着手済・要確認",IF(OR(D30="？",E30="？"),"？ 期間要確認","✕ 対象外")))</f>
        <v/>
      </c>
      <c r="D30" s="13">
        <f>IF(J30="計画なし","－",IF(J30="策定済","✕",IF(H30="","？",IF(AND(H30&gt;=TGT_MIN,H30&lt;=TGT_MAX),IF(J30="着手済","△","◎"),"✕"))))</f>
        <v/>
      </c>
      <c r="E30" s="13">
        <f>IF(P30="計画なし","－",IF(P30="策定済","✕",IF(N30="","？",IF(AND(N30&gt;=TGT_MIN,N30&lt;=TGT_MAX),IF(P30="着手済","△","◎"),"✕"))))</f>
        <v/>
      </c>
      <c r="F30" s="11" t="n"/>
      <c r="G30" s="11" t="inlineStr">
        <is>
          <t>不明</t>
        </is>
      </c>
      <c r="H30" s="13" t="n"/>
      <c r="I30" s="13" t="inlineStr">
        <is>
          <t>不明</t>
        </is>
      </c>
      <c r="J30" s="13" t="inlineStr">
        <is>
          <t>計画なし</t>
        </is>
      </c>
      <c r="K30" s="11" t="n"/>
      <c r="L30" s="11" t="n"/>
      <c r="M30" s="11" t="inlineStr">
        <is>
          <t>不明</t>
        </is>
      </c>
      <c r="N30" s="13" t="n"/>
      <c r="O30" s="13" t="inlineStr">
        <is>
          <t>不明</t>
        </is>
      </c>
      <c r="P30" s="13" t="inlineStr">
        <is>
          <t>計画なし</t>
        </is>
      </c>
      <c r="Q30" s="11" t="n"/>
      <c r="R30" s="11" t="inlineStr">
        <is>
          <t>交通：村独自計画は確認できず。群馬県地域公共交通計画（群馬県交通まちづくり戦略の見直し、R5〜R9、県全域を4広域圏で記載）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。環境：環境基本計画は確認できず。</t>
        </is>
      </c>
      <c r="S30" s="18" t="inlineStr">
        <is>
          <t>環境のみ調査</t>
        </is>
      </c>
      <c r="T30" s="11" t="n"/>
    </row>
    <row r="31">
      <c r="A31" s="11" t="n">
        <v>28</v>
      </c>
      <c r="B31" s="11" t="inlineStr">
        <is>
          <t>昭和村</t>
        </is>
      </c>
      <c r="C31" s="12">
        <f>IF(OR(D31="◎",E31="◎"),"◎ 営業",IF(OR(D31="△",E31="△"),"△ 着手済・要確認",IF(OR(D31="？",E31="？"),"？ 期間要確認","✕ 対象外")))</f>
        <v/>
      </c>
      <c r="D31" s="13">
        <f>IF(J31="計画なし","－",IF(J31="策定済","✕",IF(H31="","？",IF(AND(H31&gt;=TGT_MIN,H31&lt;=TGT_MAX),IF(J31="着手済","△","◎"),"✕"))))</f>
        <v/>
      </c>
      <c r="E31" s="13">
        <f>IF(P31="計画なし","－",IF(P31="策定済","✕",IF(N31="","？",IF(AND(N31&gt;=TGT_MIN,N31&lt;=TGT_MAX),IF(P31="着手済","△","◎"),"✕"))))</f>
        <v/>
      </c>
      <c r="F31" s="11" t="n"/>
      <c r="G31" s="11" t="inlineStr">
        <is>
          <t>不明</t>
        </is>
      </c>
      <c r="H31" s="13" t="n"/>
      <c r="I31" s="13" t="inlineStr">
        <is>
          <t>不明</t>
        </is>
      </c>
      <c r="J31" s="13" t="inlineStr">
        <is>
          <t>計画なし</t>
        </is>
      </c>
      <c r="K31" s="11" t="n"/>
      <c r="L31" s="11" t="n"/>
      <c r="M31" s="11" t="inlineStr">
        <is>
          <t>不明</t>
        </is>
      </c>
      <c r="N31" s="13" t="n"/>
      <c r="O31" s="13" t="inlineStr">
        <is>
          <t>不明</t>
        </is>
      </c>
      <c r="P31" s="13" t="inlineStr">
        <is>
          <t>計画なし</t>
        </is>
      </c>
      <c r="Q31" s="11" t="n"/>
      <c r="R31" s="11" t="inlineStr">
        <is>
          <t>交通：村独自計画は確認できず。群馬県地域公共交通計画（群馬県交通まちづくり戦略の見直し、R5〜R9、県全域を4広域圏で記載）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。環境：環境基本計画は確認できず。</t>
        </is>
      </c>
      <c r="S31" s="18" t="inlineStr">
        <is>
          <t>環境のみ調査</t>
        </is>
      </c>
      <c r="T31" s="11" t="n"/>
    </row>
    <row r="32">
      <c r="A32" s="11" t="n">
        <v>29</v>
      </c>
      <c r="B32" s="11" t="inlineStr">
        <is>
          <t>みなかみ町</t>
        </is>
      </c>
      <c r="C32" s="12">
        <f>IF(OR(D32="◎",E32="◎"),"◎ 営業",IF(OR(D32="△",E32="△"),"△ 着手済・要確認",IF(OR(D32="？",E32="？"),"？ 期間要確認","✕ 対象外")))</f>
        <v/>
      </c>
      <c r="D32" s="13">
        <f>IF(J32="計画なし","－",IF(J32="策定済","✕",IF(H32="","？",IF(AND(H32&gt;=TGT_MIN,H32&lt;=TGT_MAX),IF(J32="着手済","△","◎"),"✕"))))</f>
        <v/>
      </c>
      <c r="E32" s="13">
        <f>IF(P32="計画なし","－",IF(P32="策定済","✕",IF(N32="","？",IF(AND(N32&gt;=TGT_MIN,N32&lt;=TGT_MAX),IF(P32="着手済","△","◎"),"✕"))))</f>
        <v/>
      </c>
      <c r="F32" s="11" t="n"/>
      <c r="G32" s="11" t="inlineStr">
        <is>
          <t>不明</t>
        </is>
      </c>
      <c r="H32" s="13" t="n"/>
      <c r="I32" s="13" t="inlineStr">
        <is>
          <t>不明</t>
        </is>
      </c>
      <c r="J32" s="13" t="inlineStr">
        <is>
          <t>計画なし</t>
        </is>
      </c>
      <c r="K32" s="11" t="n"/>
      <c r="L32" s="11" t="n"/>
      <c r="M32" s="11" t="inlineStr">
        <is>
          <t>不明</t>
        </is>
      </c>
      <c r="N32" s="13" t="n"/>
      <c r="O32" s="13" t="inlineStr">
        <is>
          <t>不明</t>
        </is>
      </c>
      <c r="P32" s="13" t="inlineStr">
        <is>
          <t>計画なし</t>
        </is>
      </c>
      <c r="Q32" s="11" t="n"/>
      <c r="R32" s="11" t="inlineStr">
        <is>
          <t>交通：町独自計画は確認できず。国交省資料に「みなかみ町でデータを基に地域公共交通計画の策定を行う」との記載あり https://www.mlit.go.jp/sogoseisaku/transport/content/001891615.pdf （策定予定の可能性）。群馬県地域公共交通計画（群馬県交通まちづくり戦略の見直し、R5〜R9、県全域を4広域圏で記載）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。環境：環境基本計画は確認できず（SDGs未来都市計画あり）。</t>
        </is>
      </c>
      <c r="S32" s="18" t="inlineStr">
        <is>
          <t>環境のみ調査</t>
        </is>
      </c>
      <c r="T32" s="11" t="n"/>
    </row>
    <row r="33">
      <c r="A33" s="11" t="n">
        <v>30</v>
      </c>
      <c r="B33" s="11" t="inlineStr">
        <is>
          <t>玉村町</t>
        </is>
      </c>
      <c r="C33" s="12">
        <f>IF(OR(D33="◎",E33="◎"),"◎ 営業",IF(OR(D33="△",E33="△"),"△ 着手済・要確認",IF(OR(D33="？",E33="？"),"？ 期間要確認","✕ 対象外")))</f>
        <v/>
      </c>
      <c r="D33" s="13">
        <f>IF(J33="計画なし","－",IF(J33="策定済","✕",IF(H33="","？",IF(AND(H33&gt;=TGT_MIN,H33&lt;=TGT_MAX),IF(J33="着手済","△","◎"),"✕"))))</f>
        <v/>
      </c>
      <c r="E33" s="13">
        <f>IF(P33="計画なし","－",IF(P33="策定済","✕",IF(N33="","？",IF(AND(N33&gt;=TGT_MIN,N33&lt;=TGT_MAX),IF(P33="着手済","△","◎"),"✕"))))</f>
        <v/>
      </c>
      <c r="F33" s="11" t="n"/>
      <c r="G33" s="11" t="inlineStr">
        <is>
          <t>不明</t>
        </is>
      </c>
      <c r="H33" s="13" t="n"/>
      <c r="I33" s="13" t="inlineStr">
        <is>
          <t>不明</t>
        </is>
      </c>
      <c r="J33" s="13" t="inlineStr">
        <is>
          <t>計画なし</t>
        </is>
      </c>
      <c r="K33" s="11" t="n"/>
      <c r="L33" s="11" t="inlineStr">
        <is>
          <t>玉村町環境基本計画（2021-2030、後期計画R8.5公開）</t>
        </is>
      </c>
      <c r="M33" s="11" t="inlineStr">
        <is>
          <t>R3〜R12</t>
        </is>
      </c>
      <c r="N33" s="13" t="n">
        <v>12</v>
      </c>
      <c r="O33" s="13" t="inlineStr">
        <is>
          <t>確認済</t>
        </is>
      </c>
      <c r="P33" s="13" t="inlineStr">
        <is>
          <t>策定済</t>
        </is>
      </c>
      <c r="Q33" s="14" t="inlineStr">
        <is>
          <t>https://www.town.tamamura.lg.jp/docs/2026050600012</t>
        </is>
      </c>
      <c r="R33" s="11" t="inlineStr">
        <is>
          <t>交通：町独自の地域公共交通計画は確認できず。地域公共交通会議でR5年度に公共交通再編基本設計案 https://www.town.tamamura.lg.jp/docs/2023121400021/ 。群馬県地域公共交通計画（群馬県交通まちづくり戦略の見直し、R5〜R9、県全域を4広域圏で記載） https://www.pref.gunma.jp/page/140624.html が県全域をカバー。環境：R3〜R12、後期計画を2026.5.7公開（R7.10アンケート実施）。</t>
        </is>
      </c>
      <c r="S33" s="18" t="inlineStr">
        <is>
          <t>環境のみ調査</t>
        </is>
      </c>
      <c r="T33" s="11" t="n"/>
    </row>
    <row r="34">
      <c r="A34" s="11" t="n">
        <v>31</v>
      </c>
      <c r="B34" s="11" t="inlineStr">
        <is>
          <t>板倉町</t>
        </is>
      </c>
      <c r="C34" s="12">
        <f>IF(OR(D34="◎",E34="◎"),"◎ 営業",IF(OR(D34="△",E34="△"),"△ 着手済・要確認",IF(OR(D34="？",E34="？"),"？ 期間要確認","✕ 対象外")))</f>
        <v/>
      </c>
      <c r="D34" s="13">
        <f>IF(J34="計画なし","－",IF(J34="策定済","✕",IF(H34="","？",IF(AND(H34&gt;=TGT_MIN,H34&lt;=TGT_MAX),IF(J34="着手済","△","◎"),"✕"))))</f>
        <v/>
      </c>
      <c r="E34" s="13">
        <f>IF(P34="計画なし","－",IF(P34="策定済","✕",IF(N34="","？",IF(AND(N34&gt;=TGT_MIN,N34&lt;=TGT_MAX),IF(P34="着手済","△","◎"),"✕"))))</f>
        <v/>
      </c>
      <c r="F34" s="11" t="inlineStr">
        <is>
          <t>第2次館林都市圏地域公共交通計画（1市4町共同）</t>
        </is>
      </c>
      <c r="G34" s="11" t="inlineStr">
        <is>
          <t>R8〜R12</t>
        </is>
      </c>
      <c r="H34" s="16" t="n">
        <v>12</v>
      </c>
      <c r="I34" s="13" t="inlineStr">
        <is>
          <t>推定</t>
        </is>
      </c>
      <c r="J34" s="13" t="inlineStr">
        <is>
          <t>策定済</t>
        </is>
      </c>
      <c r="K34" s="14" t="inlineStr">
        <is>
          <t>https://www.city.tatebayashi.gunma.jp/s015/shisei/040/020tatebayashitoshikenchiikikoukyoukoutukeikaku/2ndtatebayashitoshikentiikikoukyoukoutukeikaku.pdf</t>
        </is>
      </c>
      <c r="L34" s="11" t="n"/>
      <c r="M34" s="11" t="inlineStr">
        <is>
          <t>不明</t>
        </is>
      </c>
      <c r="N34" s="13" t="n"/>
      <c r="O34" s="13" t="inlineStr">
        <is>
          <t>不明</t>
        </is>
      </c>
      <c r="P34" s="13" t="inlineStr">
        <is>
          <t>計画なし</t>
        </is>
      </c>
      <c r="Q34" s="11" t="n"/>
      <c r="R34" s="11" t="inlineStr">
        <is>
          <t>交通：第2次館林都市圏地域公共交通計画（館林市・板倉町・明和町・千代田町・邑楽町の1市4町共同）。前計画R3〜R7の後継、パブコメR7.12.22〜R8.1.16、目標年次R12（期間R8〜R12は推定）。環境：環境基本計画は町の計画一覧で確認できず https://www.town.itakura.gunma.jp/d000050/d000060/d000010/index.html 。</t>
        </is>
      </c>
      <c r="S34" s="15" t="inlineStr">
        <is>
          <t>調査済</t>
        </is>
      </c>
      <c r="T34" s="11" t="n"/>
    </row>
    <row r="35">
      <c r="A35" s="11" t="n">
        <v>32</v>
      </c>
      <c r="B35" s="11" t="inlineStr">
        <is>
          <t>明和町</t>
        </is>
      </c>
      <c r="C35" s="12">
        <f>IF(OR(D35="◎",E35="◎"),"◎ 営業",IF(OR(D35="△",E35="△"),"△ 着手済・要確認",IF(OR(D35="？",E35="？"),"？ 期間要確認","✕ 対象外")))</f>
        <v/>
      </c>
      <c r="D35" s="13">
        <f>IF(J35="計画なし","－",IF(J35="策定済","✕",IF(H35="","？",IF(AND(H35&gt;=TGT_MIN,H35&lt;=TGT_MAX),IF(J35="着手済","△","◎"),"✕"))))</f>
        <v/>
      </c>
      <c r="E35" s="13">
        <f>IF(P35="計画なし","－",IF(P35="策定済","✕",IF(N35="","？",IF(AND(N35&gt;=TGT_MIN,N35&lt;=TGT_MAX),IF(P35="着手済","△","◎"),"✕"))))</f>
        <v/>
      </c>
      <c r="F35" s="11" t="inlineStr">
        <is>
          <t>第2次館林都市圏地域公共交通計画（1市4町共同）</t>
        </is>
      </c>
      <c r="G35" s="11" t="inlineStr">
        <is>
          <t>R8〜R12</t>
        </is>
      </c>
      <c r="H35" s="16" t="n">
        <v>12</v>
      </c>
      <c r="I35" s="13" t="inlineStr">
        <is>
          <t>推定</t>
        </is>
      </c>
      <c r="J35" s="13" t="inlineStr">
        <is>
          <t>策定済</t>
        </is>
      </c>
      <c r="K35" s="14" t="inlineStr">
        <is>
          <t>https://www.town.meiwa.gunma.jp/material/files/group/2/2ndkeikaku.pdf</t>
        </is>
      </c>
      <c r="L35" s="11" t="n"/>
      <c r="M35" s="11" t="inlineStr">
        <is>
          <t>不明</t>
        </is>
      </c>
      <c r="N35" s="13" t="n"/>
      <c r="O35" s="13" t="inlineStr">
        <is>
          <t>不明</t>
        </is>
      </c>
      <c r="P35" s="13" t="inlineStr">
        <is>
          <t>計画なし</t>
        </is>
      </c>
      <c r="Q35" s="11" t="n"/>
      <c r="R35" s="11" t="inlineStr">
        <is>
          <t>交通：第2次館林都市圏地域公共交通計画（館林市・板倉町・明和町・千代田町・邑楽町の1市4町共同）。前計画R3〜R7の後継、パブコメR7.12.22〜R8.1.16、目標年次R12（期間R8〜R12は推定）。環境：環境基本計画は確認できず。</t>
        </is>
      </c>
      <c r="S35" s="15" t="inlineStr">
        <is>
          <t>調査済</t>
        </is>
      </c>
      <c r="T35" s="11" t="n"/>
    </row>
    <row r="36">
      <c r="A36" s="11" t="n">
        <v>33</v>
      </c>
      <c r="B36" s="11" t="inlineStr">
        <is>
          <t>千代田町</t>
        </is>
      </c>
      <c r="C36" s="12">
        <f>IF(OR(D36="◎",E36="◎"),"◎ 営業",IF(OR(D36="△",E36="△"),"△ 着手済・要確認",IF(OR(D36="？",E36="？"),"？ 期間要確認","✕ 対象外")))</f>
        <v/>
      </c>
      <c r="D36" s="13">
        <f>IF(J36="計画なし","－",IF(J36="策定済","✕",IF(H36="","？",IF(AND(H36&gt;=TGT_MIN,H36&lt;=TGT_MAX),IF(J36="着手済","△","◎"),"✕"))))</f>
        <v/>
      </c>
      <c r="E36" s="13">
        <f>IF(P36="計画なし","－",IF(P36="策定済","✕",IF(N36="","？",IF(AND(N36&gt;=TGT_MIN,N36&lt;=TGT_MAX),IF(P36="着手済","△","◎"),"✕"))))</f>
        <v/>
      </c>
      <c r="F36" s="11" t="inlineStr">
        <is>
          <t>第2次館林都市圏地域公共交通計画（1市4町共同）</t>
        </is>
      </c>
      <c r="G36" s="11" t="inlineStr">
        <is>
          <t>R8〜R12</t>
        </is>
      </c>
      <c r="H36" s="16" t="n">
        <v>12</v>
      </c>
      <c r="I36" s="13" t="inlineStr">
        <is>
          <t>推定</t>
        </is>
      </c>
      <c r="J36" s="13" t="inlineStr">
        <is>
          <t>策定済</t>
        </is>
      </c>
      <c r="K36" s="14" t="inlineStr">
        <is>
          <t>https://www.city.tatebayashi.gunma.jp/s015/shisei/040/020tatebayashitoshikenchiikikoukyoukoutukeikaku/2ndtatebayashitoshikentiikikoukyoukoutukeikaku.pdf</t>
        </is>
      </c>
      <c r="L36" s="11" t="n"/>
      <c r="M36" s="11" t="inlineStr">
        <is>
          <t>不明</t>
        </is>
      </c>
      <c r="N36" s="13" t="n"/>
      <c r="O36" s="13" t="inlineStr">
        <is>
          <t>不明</t>
        </is>
      </c>
      <c r="P36" s="13" t="inlineStr">
        <is>
          <t>計画なし</t>
        </is>
      </c>
      <c r="Q36" s="11" t="n"/>
      <c r="R36" s="11" t="inlineStr">
        <is>
          <t>交通：第2次館林都市圏地域公共交通計画（館林市・板倉町・明和町・千代田町・邑楽町の1市4町共同）。前計画R3〜R7の後継、パブコメR7.12.22〜R8.1.16、目標年次R12（期間R8〜R12は推定）。大泉町と共同の地域公共交通会議も設置。環境：環境基本計画は確認できず（地球温暖化防止実行計画R3〜R12、ゼロカーボンシティ表明）。</t>
        </is>
      </c>
      <c r="S36" s="15" t="inlineStr">
        <is>
          <t>調査済</t>
        </is>
      </c>
      <c r="T36" s="11" t="n"/>
    </row>
    <row r="37">
      <c r="A37" s="11" t="n">
        <v>34</v>
      </c>
      <c r="B37" s="11" t="inlineStr">
        <is>
          <t>大泉町</t>
        </is>
      </c>
      <c r="C37" s="12">
        <f>IF(OR(D37="◎",E37="◎"),"◎ 営業",IF(OR(D37="△",E37="△"),"△ 着手済・要確認",IF(OR(D37="？",E37="？"),"？ 期間要確認","✕ 対象外")))</f>
        <v/>
      </c>
      <c r="D37" s="13">
        <f>IF(J37="計画なし","－",IF(J37="策定済","✕",IF(H37="","？",IF(AND(H37&gt;=TGT_MIN,H37&lt;=TGT_MAX),IF(J37="着手済","△","◎"),"✕"))))</f>
        <v/>
      </c>
      <c r="E37" s="13">
        <f>IF(P37="計画なし","－",IF(P37="策定済","✕",IF(N37="","？",IF(AND(N37&gt;=TGT_MIN,N37&lt;=TGT_MAX),IF(P37="着手済","△","◎"),"✕"))))</f>
        <v/>
      </c>
      <c r="F37" s="11" t="inlineStr">
        <is>
          <t>大泉町地域公共交通計画（策定中）</t>
        </is>
      </c>
      <c r="G37" s="11" t="inlineStr">
        <is>
          <t>不明</t>
        </is>
      </c>
      <c r="H37" s="13" t="n"/>
      <c r="I37" s="13" t="inlineStr">
        <is>
          <t>不明</t>
        </is>
      </c>
      <c r="J37" s="13" t="inlineStr">
        <is>
          <t>着手済</t>
        </is>
      </c>
      <c r="K37" s="11" t="n"/>
      <c r="L37" s="11" t="inlineStr">
        <is>
          <t>大泉町環境基本計画</t>
        </is>
      </c>
      <c r="M37" s="11" t="inlineStr">
        <is>
          <t>R6〜R12</t>
        </is>
      </c>
      <c r="N37" s="13" t="n">
        <v>12</v>
      </c>
      <c r="O37" s="13" t="inlineStr">
        <is>
          <t>確認済</t>
        </is>
      </c>
      <c r="P37" s="13" t="inlineStr">
        <is>
          <t>未確認</t>
        </is>
      </c>
      <c r="Q37" s="14" t="inlineStr">
        <is>
          <t>https://www.town.oizumi.gunma.jp/s024/gyosei/010/010/050kankyokihonkeikaku/20240325132109.html</t>
        </is>
      </c>
      <c r="R37" s="11" t="inlineStr">
        <is>
          <t>交通：現行計画は確認できず。町サイトに「大泉町地域公共交通計画策定業務プロポーザルの再実施について」掲載（4月3日付、年は未確認） https://www.town.oizumi.gunma.jp/li/gyosei/120/020/ 。大泉町・千代田町地域公共交通会議で広域バスあおぞら・デマンド「ほほえみ」運営。群馬県地域公共交通計画（群馬県交通まちづくり戦略の見直し、R5〜R9、県全域を4広域圏で記載）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。環境：R6〜R12。</t>
        </is>
      </c>
      <c r="S37" s="15" t="inlineStr">
        <is>
          <t>調査済</t>
        </is>
      </c>
      <c r="T37" s="11" t="n"/>
    </row>
    <row r="38">
      <c r="A38" s="11" t="n">
        <v>35</v>
      </c>
      <c r="B38" s="11" t="inlineStr">
        <is>
          <t>邑楽町</t>
        </is>
      </c>
      <c r="C38" s="12">
        <f>IF(OR(D38="◎",E38="◎"),"◎ 営業",IF(OR(D38="△",E38="△"),"△ 着手済・要確認",IF(OR(D38="？",E38="？"),"？ 期間要確認","✕ 対象外")))</f>
        <v/>
      </c>
      <c r="D38" s="13">
        <f>IF(J38="計画なし","－",IF(J38="策定済","✕",IF(H38="","？",IF(AND(H38&gt;=TGT_MIN,H38&lt;=TGT_MAX),IF(J38="着手済","△","◎"),"✕"))))</f>
        <v/>
      </c>
      <c r="E38" s="13">
        <f>IF(P38="計画なし","－",IF(P38="策定済","✕",IF(N38="","？",IF(AND(N38&gt;=TGT_MIN,N38&lt;=TGT_MAX),IF(P38="着手済","△","◎"),"✕"))))</f>
        <v/>
      </c>
      <c r="F38" s="11" t="inlineStr">
        <is>
          <t>第2次館林都市圏地域公共交通計画（1市4町共同）</t>
        </is>
      </c>
      <c r="G38" s="11" t="inlineStr">
        <is>
          <t>R8〜R12</t>
        </is>
      </c>
      <c r="H38" s="16" t="n">
        <v>12</v>
      </c>
      <c r="I38" s="13" t="inlineStr">
        <is>
          <t>推定</t>
        </is>
      </c>
      <c r="J38" s="13" t="inlineStr">
        <is>
          <t>策定済</t>
        </is>
      </c>
      <c r="K38" s="14" t="inlineStr">
        <is>
          <t>https://www.city.tatebayashi.gunma.jp/s015/shisei/040/020tatebayashitoshikenchiikikoukyoukoutukeikaku/2ndtatebayashitoshikentiikikoukyoukoutukeikaku.pdf</t>
        </is>
      </c>
      <c r="L38" s="11" t="inlineStr">
        <is>
          <t>邑楽町環境基本計画</t>
        </is>
      </c>
      <c r="M38" s="11" t="inlineStr">
        <is>
          <t>R7〜R16</t>
        </is>
      </c>
      <c r="N38" s="13" t="n">
        <v>16</v>
      </c>
      <c r="O38" s="13" t="inlineStr">
        <is>
          <t>確認済</t>
        </is>
      </c>
      <c r="P38" s="13" t="inlineStr">
        <is>
          <t>策定済</t>
        </is>
      </c>
      <c r="Q38" s="14" t="inlineStr">
        <is>
          <t>https://www.town.ora.gunma.jp/s017/020/100/700/env-basicplan.pdf</t>
        </is>
      </c>
      <c r="R38" s="11" t="inlineStr">
        <is>
          <t>交通：第2次館林都市圏地域公共交通計画（館林市・板倉町・明和町・千代田町・邑楽町の1市4町共同）。前計画R3〜R7の後継、パブコメR7.12.22〜R8.1.16、目標年次R12（期間R8〜R12は推定）。環境：R7.3策定、R7〜R16（期間は素案で確認）。</t>
        </is>
      </c>
      <c r="S38" s="15" t="inlineStr">
        <is>
          <t>調査済</t>
        </is>
      </c>
      <c r="T38" s="11" t="n"/>
    </row>
  </sheetData>
  <autoFilter ref="A3:T38"/>
  <conditionalFormatting sqref="A4:T38">
    <cfRule type="expression" priority="5" dxfId="0">
      <formula>LEFT($C4,1)="◎"</formula>
    </cfRule>
    <cfRule type="expression" priority="6" dxfId="1">
      <formula>LEFT($C4,1)="△"</formula>
    </cfRule>
    <cfRule type="expression" priority="7" dxfId="2">
      <formula>LEFT($C4,1)="？"</formula>
    </cfRule>
    <cfRule type="expression" priority="8" dxfId="3">
      <formula>LEFT($C4,1)="✕"</formula>
    </cfRule>
  </conditionalFormatting>
  <conditionalFormatting sqref="H4:H38">
    <cfRule type="expression" priority="1" dxfId="4" stopIfTrue="1">
      <formula>AND(ISNUMBER(H4),H4&gt;=TGT_MIN,H4&lt;=TGT_MAX)</formula>
    </cfRule>
    <cfRule type="expression" priority="2" dxfId="5">
      <formula>AND(ISNUMBER(H4),H4=TGT_MAX+1)</formula>
    </cfRule>
  </conditionalFormatting>
  <conditionalFormatting sqref="N4:N38">
    <cfRule type="expression" priority="3" dxfId="4" stopIfTrue="1">
      <formula>AND(ISNUMBER(N4),N4&gt;=TGT_MIN,N4&lt;=TGT_MAX)</formula>
    </cfRule>
    <cfRule type="expression" priority="4" dxfId="5">
      <formula>AND(ISNUMBER(N4),N4=TGT_MAX+1)</formula>
    </cfRule>
  </conditionalFormatting>
  <dataValidations count="1">
    <dataValidation sqref="J4:J38 P4:P38" showDropDown="0" showInputMessage="0" showErrorMessage="0" allowBlank="1" type="list">
      <formula1>"未確認,着手済,策定済,計画なし"</formula1>
    </dataValidation>
  </dataValidations>
  <hyperlinks>
    <hyperlink xmlns:r="http://schemas.openxmlformats.org/officeDocument/2006/relationships" ref="K4" r:id="rId1"/>
    <hyperlink xmlns:r="http://schemas.openxmlformats.org/officeDocument/2006/relationships" ref="Q4" r:id="rId2"/>
    <hyperlink xmlns:r="http://schemas.openxmlformats.org/officeDocument/2006/relationships" ref="Q5" r:id="rId3"/>
    <hyperlink xmlns:r="http://schemas.openxmlformats.org/officeDocument/2006/relationships" ref="K6" r:id="rId4"/>
    <hyperlink xmlns:r="http://schemas.openxmlformats.org/officeDocument/2006/relationships" ref="Q6" r:id="rId5"/>
    <hyperlink xmlns:r="http://schemas.openxmlformats.org/officeDocument/2006/relationships" ref="Q7" r:id="rId6"/>
    <hyperlink xmlns:r="http://schemas.openxmlformats.org/officeDocument/2006/relationships" ref="K8" r:id="rId7"/>
    <hyperlink xmlns:r="http://schemas.openxmlformats.org/officeDocument/2006/relationships" ref="Q8" r:id="rId8"/>
    <hyperlink xmlns:r="http://schemas.openxmlformats.org/officeDocument/2006/relationships" ref="K9" r:id="rId9"/>
    <hyperlink xmlns:r="http://schemas.openxmlformats.org/officeDocument/2006/relationships" ref="Q9" r:id="rId10"/>
    <hyperlink xmlns:r="http://schemas.openxmlformats.org/officeDocument/2006/relationships" ref="K10" r:id="rId11"/>
    <hyperlink xmlns:r="http://schemas.openxmlformats.org/officeDocument/2006/relationships" ref="Q10" r:id="rId12"/>
    <hyperlink xmlns:r="http://schemas.openxmlformats.org/officeDocument/2006/relationships" ref="K11" r:id="rId13"/>
    <hyperlink xmlns:r="http://schemas.openxmlformats.org/officeDocument/2006/relationships" ref="Q11" r:id="rId14"/>
    <hyperlink xmlns:r="http://schemas.openxmlformats.org/officeDocument/2006/relationships" ref="Q12" r:id="rId15"/>
    <hyperlink xmlns:r="http://schemas.openxmlformats.org/officeDocument/2006/relationships" ref="K13" r:id="rId16"/>
    <hyperlink xmlns:r="http://schemas.openxmlformats.org/officeDocument/2006/relationships" ref="Q13" r:id="rId17"/>
    <hyperlink xmlns:r="http://schemas.openxmlformats.org/officeDocument/2006/relationships" ref="K14" r:id="rId18"/>
    <hyperlink xmlns:r="http://schemas.openxmlformats.org/officeDocument/2006/relationships" ref="Q14" r:id="rId19"/>
    <hyperlink xmlns:r="http://schemas.openxmlformats.org/officeDocument/2006/relationships" ref="K15" r:id="rId20"/>
    <hyperlink xmlns:r="http://schemas.openxmlformats.org/officeDocument/2006/relationships" ref="Q15" r:id="rId21"/>
    <hyperlink xmlns:r="http://schemas.openxmlformats.org/officeDocument/2006/relationships" ref="Q20" r:id="rId22"/>
    <hyperlink xmlns:r="http://schemas.openxmlformats.org/officeDocument/2006/relationships" ref="K22" r:id="rId23"/>
    <hyperlink xmlns:r="http://schemas.openxmlformats.org/officeDocument/2006/relationships" ref="K23" r:id="rId24"/>
    <hyperlink xmlns:r="http://schemas.openxmlformats.org/officeDocument/2006/relationships" ref="Q23" r:id="rId25"/>
    <hyperlink xmlns:r="http://schemas.openxmlformats.org/officeDocument/2006/relationships" ref="K24" r:id="rId26"/>
    <hyperlink xmlns:r="http://schemas.openxmlformats.org/officeDocument/2006/relationships" ref="K28" r:id="rId27"/>
    <hyperlink xmlns:r="http://schemas.openxmlformats.org/officeDocument/2006/relationships" ref="Q33" r:id="rId28"/>
    <hyperlink xmlns:r="http://schemas.openxmlformats.org/officeDocument/2006/relationships" ref="K34" r:id="rId29"/>
    <hyperlink xmlns:r="http://schemas.openxmlformats.org/officeDocument/2006/relationships" ref="K35" r:id="rId30"/>
    <hyperlink xmlns:r="http://schemas.openxmlformats.org/officeDocument/2006/relationships" ref="K36" r:id="rId31"/>
    <hyperlink xmlns:r="http://schemas.openxmlformats.org/officeDocument/2006/relationships" ref="Q37" r:id="rId32"/>
    <hyperlink xmlns:r="http://schemas.openxmlformats.org/officeDocument/2006/relationships" ref="K38" r:id="rId33"/>
    <hyperlink xmlns:r="http://schemas.openxmlformats.org/officeDocument/2006/relationships" ref="Q38" r:id="rId3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2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6" customWidth="1" min="3" max="3"/>
    <col width="7" customWidth="1" min="4" max="4"/>
    <col width="7" customWidth="1" min="5" max="5"/>
    <col width="30" customWidth="1" min="6" max="6"/>
    <col width="15" customWidth="1" min="7" max="7"/>
    <col width="9" customWidth="1" min="8" max="8"/>
    <col width="8" customWidth="1" min="9" max="9"/>
    <col width="9" customWidth="1" min="10" max="10"/>
    <col width="34" customWidth="1" min="11" max="11"/>
    <col width="30" customWidth="1" min="12" max="12"/>
    <col width="15" customWidth="1" min="13" max="13"/>
    <col width="9" customWidth="1" min="14" max="14"/>
    <col width="8" customWidth="1" min="15" max="15"/>
    <col width="9" customWidth="1" min="16" max="16"/>
    <col width="34" customWidth="1" min="17" max="17"/>
    <col width="55" customWidth="1" min="18" max="18"/>
    <col width="14" customWidth="1" min="19" max="19"/>
    <col width="24" customWidth="1" min="20" max="20"/>
  </cols>
  <sheetData>
    <row r="1">
      <c r="A1" s="1" t="inlineStr">
        <is>
          <t>宮崎県　地域公共交通計画・環境基本計画の終期一覧（2026年9月30日時点の調査）</t>
        </is>
      </c>
    </row>
    <row r="2">
      <c r="A2" s="9">
        <f>"営業判定の対象：終期 R"&amp;TGT_MIN&amp;"〜R"&amp;TGT_MAX&amp;"年度 →◎（着手済は△、期間不明は？）。終期セルの色：緑＝対象年度／橙＝その翌年度（次の候補）。対象年度は「集計・設定」シートのC4・C5のプルダウンで切替。"</f>
        <v/>
      </c>
    </row>
    <row r="3" ht="32" customHeight="1">
      <c r="A3" s="10" t="inlineStr">
        <is>
          <t>No</t>
        </is>
      </c>
      <c r="B3" s="10" t="inlineStr">
        <is>
          <t>市町村</t>
        </is>
      </c>
      <c r="C3" s="10" t="inlineStr">
        <is>
          <t>営業判定</t>
        </is>
      </c>
      <c r="D3" s="10" t="inlineStr">
        <is>
          <t>交通判定</t>
        </is>
      </c>
      <c r="E3" s="10" t="inlineStr">
        <is>
          <t>環境判定</t>
        </is>
      </c>
      <c r="F3" s="10" t="inlineStr">
        <is>
          <t>地域公共交通計画</t>
        </is>
      </c>
      <c r="G3" s="10" t="inlineStr">
        <is>
          <t>交通 計画期間</t>
        </is>
      </c>
      <c r="H3" s="10" t="inlineStr">
        <is>
          <t>交通 終期(令和年度)</t>
        </is>
      </c>
      <c r="I3" s="10" t="inlineStr">
        <is>
          <t>交通 確度</t>
        </is>
      </c>
      <c r="J3" s="10" t="inlineStr">
        <is>
          <t>交通 改定状況</t>
        </is>
      </c>
      <c r="K3" s="10" t="inlineStr">
        <is>
          <t>交通 計画リンク（エビデンス）</t>
        </is>
      </c>
      <c r="L3" s="10" t="inlineStr">
        <is>
          <t>環境基本計画</t>
        </is>
      </c>
      <c r="M3" s="10" t="inlineStr">
        <is>
          <t>環境 計画期間</t>
        </is>
      </c>
      <c r="N3" s="10" t="inlineStr">
        <is>
          <t>環境 終期(令和年度)</t>
        </is>
      </c>
      <c r="O3" s="10" t="inlineStr">
        <is>
          <t>環境 確度</t>
        </is>
      </c>
      <c r="P3" s="10" t="inlineStr">
        <is>
          <t>環境 改定状況</t>
        </is>
      </c>
      <c r="Q3" s="10" t="inlineStr">
        <is>
          <t>環境 計画リンク（エビデンス）</t>
        </is>
      </c>
      <c r="R3" s="10" t="inlineStr">
        <is>
          <t>注釈（改定作業の状況など）</t>
        </is>
      </c>
      <c r="S3" s="10" t="inlineStr">
        <is>
          <t>調査状況</t>
        </is>
      </c>
      <c r="T3" s="10" t="inlineStr">
        <is>
          <t>国交省一覧(R8.5末)</t>
        </is>
      </c>
    </row>
    <row r="4">
      <c r="A4" s="11" t="n">
        <v>1</v>
      </c>
      <c r="B4" s="11" t="inlineStr">
        <is>
          <t>宮崎市</t>
        </is>
      </c>
      <c r="C4" s="12">
        <f>IF(OR(D4="◎",E4="◎"),"◎ 営業",IF(OR(D4="△",E4="△"),"△ 着手済・要確認",IF(OR(D4="？",E4="？"),"？ 期間要確認","✕ 対象外")))</f>
        <v/>
      </c>
      <c r="D4" s="13">
        <f>IF(J4="計画なし","－",IF(J4="策定済","✕",IF(H4="","？",IF(AND(H4&gt;=TGT_MIN,H4&lt;=TGT_MAX),IF(J4="着手済","△","◎"),"✕"))))</f>
        <v/>
      </c>
      <c r="E4" s="13">
        <f>IF(P4="計画なし","－",IF(P4="策定済","✕",IF(N4="","？",IF(AND(N4&gt;=TGT_MIN,N4&lt;=TGT_MAX),IF(P4="着手済","△","◎"),"✕"))))</f>
        <v/>
      </c>
      <c r="F4" s="11" t="inlineStr">
        <is>
          <t>宮崎市地域公共交通網形成計画（R2.3策定、期間延長中）※後継の宮崎市地域公共交通計画は策定中</t>
        </is>
      </c>
      <c r="G4" s="11" t="inlineStr">
        <is>
          <t>R2〜R8（当初R2〜R6、R8.2再延長でR9.2まで）</t>
        </is>
      </c>
      <c r="H4" s="13" t="n">
        <v>8</v>
      </c>
      <c r="I4" s="13" t="inlineStr">
        <is>
          <t>確認済</t>
        </is>
      </c>
      <c r="J4" s="13" t="inlineStr">
        <is>
          <t>着手済</t>
        </is>
      </c>
      <c r="K4" s="14" t="inlineStr">
        <is>
          <t>https://www.city.miyazaki.miyazaki.jp/city/policy/transportation/223591.html</t>
        </is>
      </c>
      <c r="L4" s="11" t="inlineStr">
        <is>
          <t>第四次宮崎市環境基本計画</t>
        </is>
      </c>
      <c r="M4" s="11" t="inlineStr">
        <is>
          <t>R7〜R16</t>
        </is>
      </c>
      <c r="N4" s="13" t="n">
        <v>16</v>
      </c>
      <c r="O4" s="13" t="inlineStr">
        <is>
          <t>確認済</t>
        </is>
      </c>
      <c r="P4" s="13" t="inlineStr">
        <is>
          <t>策定済</t>
        </is>
      </c>
      <c r="Q4" s="14" t="inlineStr">
        <is>
          <t>https://www.city.miyazaki.miyazaki.jp/fs/8/3/8/2/2/9/_/838229.pdf</t>
        </is>
      </c>
      <c r="R4" s="11" t="inlineStr">
        <is>
          <t>交通：網形成計画（R2〜R6の5年）を延長、R6.8地域公共交通会議で新計画（宮崎市地域公共交通計画）策定方針を承認。R8.2.6の令和7年度第2回宮崎市地域公共交通会議で議題『「宮崎市地域公共交通計画」策定スケジュールの見直し及び現計画期間の再延長について』（資料 https://www.city.miyazaki.miyazaki.jp/fs/8/7/2/3/1/6/_/__2___________________.pdf ）→次期計画策定作業中だが遅延。網形成計画ページに『計画期間を再延長しました（令和8年2月変更）』、期間R2〜R8（令和9年2月まで）。市は地域公共交通計画（マスタープラン）と利便増進実施計画（アクションプラン）を一体策定する方針。R7新規事業評価表（総合政策部総合政策課、事業期間R8〜R9）にR7データ分析・R8市全域の新計画策定・公表と記載（ https://www.city.miyazaki.miyazaki.jp/fs/8/7/6/4/6/3/_/01-03_______7_________.pdf ）→R8年度中に新計画策定予定。策定支援業務の委託公告は検索で未確認。担当：総合政策課（地域公共交通会議事務局 https://www.city.miyazaki.miyazaki.jp/city/policy/transportation/207006.html ）。旧網形成計画PDFらしきもの https://www.city.miyazaki.miyazaki.jp/fs/3/8/7/2/3/3/_/387233.pdf 。R8脱炭素先行地域づくり事業推進支援業務委託プロポあり。関連資料 https://www.city.miyazaki.miyazaki.jp/fs/8/3/4/6/2/1/_/834621.pdf 。環境：第三次計画（H30〜R9の予定をR5.3改訂でH30〜R6に短縮）の後継として第四次計画R7〜R16をR7.3策定。概要版 https://www.city.miyazaki.miyazaki.jp/fs/8/3/9/1/0/9/_/839109.pdf （どちらが本編か未確認）。</t>
        </is>
      </c>
      <c r="S4" s="15" t="inlineStr">
        <is>
          <t>調査済</t>
        </is>
      </c>
      <c r="T4" s="11" t="inlineStr">
        <is>
          <t>掲載</t>
        </is>
      </c>
    </row>
    <row r="5">
      <c r="A5" s="11" t="n">
        <v>2</v>
      </c>
      <c r="B5" s="11" t="inlineStr">
        <is>
          <t>都城市</t>
        </is>
      </c>
      <c r="C5" s="12">
        <f>IF(OR(D5="◎",E5="◎"),"◎ 営業",IF(OR(D5="△",E5="△"),"△ 着手済・要確認",IF(OR(D5="？",E5="？"),"？ 期間要確認","✕ 対象外")))</f>
        <v/>
      </c>
      <c r="D5" s="13">
        <f>IF(J5="計画なし","－",IF(J5="策定済","✕",IF(H5="","？",IF(AND(H5&gt;=TGT_MIN,H5&lt;=TGT_MAX),IF(J5="着手済","△","◎"),"✕"))))</f>
        <v/>
      </c>
      <c r="E5" s="13">
        <f>IF(P5="計画なし","－",IF(P5="策定済","✕",IF(N5="","？",IF(AND(N5&gt;=TGT_MIN,N5&lt;=TGT_MAX),IF(P5="着手済","△","◎"),"✕"))))</f>
        <v/>
      </c>
      <c r="F5" s="11" t="inlineStr">
        <is>
          <t>都城市地域公共交通計画</t>
        </is>
      </c>
      <c r="G5" s="11" t="inlineStr">
        <is>
          <t>R4頃〜（終期不明）</t>
        </is>
      </c>
      <c r="H5" s="13" t="n"/>
      <c r="I5" s="13" t="inlineStr">
        <is>
          <t>不明</t>
        </is>
      </c>
      <c r="J5" s="13" t="inlineStr">
        <is>
          <t>未確認</t>
        </is>
      </c>
      <c r="K5" s="14" t="inlineStr">
        <is>
          <t>https://www.city.miyakonojo.miyazaki.jp/soshiki/78/63199.html</t>
        </is>
      </c>
      <c r="L5" s="11" t="inlineStr">
        <is>
          <t>第2次都城市環境基本計画</t>
        </is>
      </c>
      <c r="M5" s="11" t="inlineStr">
        <is>
          <t>R5〜R14</t>
        </is>
      </c>
      <c r="N5" s="13" t="n">
        <v>14</v>
      </c>
      <c r="O5" s="13" t="inlineStr">
        <is>
          <t>確認済</t>
        </is>
      </c>
      <c r="P5" s="13" t="inlineStr">
        <is>
          <t>未確認</t>
        </is>
      </c>
      <c r="Q5" s="14" t="inlineStr">
        <is>
          <t>https://www.city.miyakonojo.miyazaki.jp/uploaded/attachment/26663.pdf</t>
        </is>
      </c>
      <c r="R5" s="11" t="inlineStr">
        <is>
          <t>交通：担当は総合政策課。前計画の網形成計画はH29〜R3（https://www.city.miyakonojo.miyazaki.jp/soshiki/78/3994.html ）。後継の地域公共交通計画ページあり、R6.10（山之口地区デマンドタクシー見直し）・R8.4（実施主体変更）に変更。期間は検索で確認できず（網形成計画の後継としてR4開始なら5年でR8終期の可能性＝推測、要確認）。次期計画の策定支援業務プロポ等は検索で未確認。環境：2023年4月策定、R5〜R14の10年、カーボンニュートラル推進計画と一体。R6年度実績報告R8.2公表。ゼロカーボン宣言済（https://www.city.miyakonojo.miyazaki.jp/soshiki/9/54776.html ）。</t>
        </is>
      </c>
      <c r="S5" s="15" t="inlineStr">
        <is>
          <t>調査済</t>
        </is>
      </c>
      <c r="T5" s="11" t="inlineStr">
        <is>
          <t>掲載</t>
        </is>
      </c>
    </row>
    <row r="6">
      <c r="A6" s="11" t="n">
        <v>3</v>
      </c>
      <c r="B6" s="11" t="inlineStr">
        <is>
          <t>延岡市</t>
        </is>
      </c>
      <c r="C6" s="12">
        <f>IF(OR(D6="◎",E6="◎"),"◎ 営業",IF(OR(D6="△",E6="△"),"△ 着手済・要確認",IF(OR(D6="？",E6="？"),"？ 期間要確認","✕ 対象外")))</f>
        <v/>
      </c>
      <c r="D6" s="13">
        <f>IF(J6="計画なし","－",IF(J6="策定済","✕",IF(H6="","？",IF(AND(H6&gt;=TGT_MIN,H6&lt;=TGT_MAX),IF(J6="着手済","△","◎"),"✕"))))</f>
        <v/>
      </c>
      <c r="E6" s="13">
        <f>IF(P6="計画なし","－",IF(P6="策定済","✕",IF(N6="","？",IF(AND(N6&gt;=TGT_MIN,N6&lt;=TGT_MAX),IF(P6="着手済","△","◎"),"✕"))))</f>
        <v/>
      </c>
      <c r="F6" s="11" t="inlineStr">
        <is>
          <t>延岡市地域公共交通計画（R7.12変更版）</t>
        </is>
      </c>
      <c r="G6" s="11" t="inlineStr">
        <is>
          <t>R6〜R11</t>
        </is>
      </c>
      <c r="H6" s="13" t="n">
        <v>11</v>
      </c>
      <c r="I6" s="13" t="inlineStr">
        <is>
          <t>確認済</t>
        </is>
      </c>
      <c r="J6" s="13" t="inlineStr">
        <is>
          <t>未確認</t>
        </is>
      </c>
      <c r="K6" s="14" t="inlineStr">
        <is>
          <t>https://www.city.nobeoka.miyazaki.jp/soshiki/4/33676.html</t>
        </is>
      </c>
      <c r="L6" s="11" t="inlineStr">
        <is>
          <t>第3次延岡市環境基本計画（後期計画 R8〜R12）</t>
        </is>
      </c>
      <c r="M6" s="11" t="inlineStr">
        <is>
          <t>R3〜R12（後期R8〜R12）</t>
        </is>
      </c>
      <c r="N6" s="13" t="n">
        <v>12</v>
      </c>
      <c r="O6" s="13" t="inlineStr">
        <is>
          <t>確認済</t>
        </is>
      </c>
      <c r="P6" s="13" t="inlineStr">
        <is>
          <t>策定済</t>
        </is>
      </c>
      <c r="Q6" s="14" t="inlineStr">
        <is>
          <t>https://www.city.nobeoka.miyazaki.jp/soshiki/24/33838.html</t>
        </is>
      </c>
      <c r="R6" s="11" t="inlineStr">
        <is>
          <t>交通：R6.3.27策定、当初R6〜R10を利便増進実施計画（R7〜R11、https://www.city.nobeoka.miyazaki.jp/uploaded/attachment/24594.pdf ）に合わせR11まで延長。R7.2・R7.12改定（北浦町乗合タクシー2路線廃止）。利便増進実施計画はR8.4一部変更。環境：第3次計画（R3〜R12）、後期計画（R8〜R12）をR7年度策定、パブコメ結果R8.2.24公表。</t>
        </is>
      </c>
      <c r="S6" s="15" t="inlineStr">
        <is>
          <t>調査済</t>
        </is>
      </c>
      <c r="T6" s="11" t="inlineStr">
        <is>
          <t>掲載</t>
        </is>
      </c>
    </row>
    <row r="7">
      <c r="A7" s="11" t="n">
        <v>4</v>
      </c>
      <c r="B7" s="11" t="inlineStr">
        <is>
          <t>日南市</t>
        </is>
      </c>
      <c r="C7" s="12">
        <f>IF(OR(D7="◎",E7="◎"),"◎ 営業",IF(OR(D7="△",E7="△"),"△ 着手済・要確認",IF(OR(D7="？",E7="？"),"？ 期間要確認","✕ 対象外")))</f>
        <v/>
      </c>
      <c r="D7" s="13">
        <f>IF(J7="計画なし","－",IF(J7="策定済","✕",IF(H7="","？",IF(AND(H7&gt;=TGT_MIN,H7&lt;=TGT_MAX),IF(J7="着手済","△","◎"),"✕"))))</f>
        <v/>
      </c>
      <c r="E7" s="13">
        <f>IF(P7="計画なし","－",IF(P7="策定済","✕",IF(N7="","？",IF(AND(N7&gt;=TGT_MIN,N7&lt;=TGT_MAX),IF(P7="着手済","△","◎"),"✕"))))</f>
        <v/>
      </c>
      <c r="F7" s="11" t="inlineStr">
        <is>
          <t>日南市地域公共交通網形成計画（H31.3策定）</t>
        </is>
      </c>
      <c r="G7" s="11" t="inlineStr">
        <is>
          <t>R1頃〜（終期不明）</t>
        </is>
      </c>
      <c r="H7" s="13" t="n"/>
      <c r="I7" s="13" t="inlineStr">
        <is>
          <t>不明</t>
        </is>
      </c>
      <c r="J7" s="13" t="inlineStr">
        <is>
          <t>未確認</t>
        </is>
      </c>
      <c r="K7" s="14" t="inlineStr">
        <is>
          <t>https://www.city.nichinan.lg.jp/soshikikarasagasu/miraisoseika/2/2/1125.html</t>
        </is>
      </c>
      <c r="L7" s="11" t="inlineStr">
        <is>
          <t>第二次日南市環境基本計画</t>
        </is>
      </c>
      <c r="M7" s="11" t="inlineStr">
        <is>
          <t>R4頃〜（終期不明、10年ならR13＝推定）</t>
        </is>
      </c>
      <c r="N7" s="13" t="n"/>
      <c r="O7" s="13" t="inlineStr">
        <is>
          <t>不明</t>
        </is>
      </c>
      <c r="P7" s="13" t="inlineStr">
        <is>
          <t>未確認</t>
        </is>
      </c>
      <c r="Q7" s="11" t="n"/>
      <c r="R7" s="11" t="inlineStr">
        <is>
          <t>交通：網形成計画（H31.3、本文PDF https://www.city.nichinan.lg.jp/material/files/group/8/cdb416195e8da0535facafa68c59737a.pdf ）が最新として掲載。期間・後継の地域公共交通計画は検索で確認できず（期間満了・延長の可能性、要確認）。担当：未来創生課（0987-31-1128）。JR日南線活用検討会あり。環境：第一次計画H23〜H32（R2）の後継として第二次計画を策定、R4.3.2に同計画策定に伴いゼロカーボンシティ宣言（https://www.city.nichinan.lg.jp/soshikikarasagasu/chiikijichika/2/2/1/1108.html ）。計画書URL・期間は検索で確認できず（https://www.city.nichinan.lg.jp/material/files/group/34/33098224.pdf が環境基本計画の可能性あるが文字化けで未確認）。 【追加検索 2026-10-21】第一次環境基本計画はH23〜H32（R2）の10年（https://www.city.nichinan.lg.jp/material/files/group/34/33098224.pdf の要約より）。第二次計画の期間は依然未確認。</t>
        </is>
      </c>
      <c r="S7" s="15" t="inlineStr">
        <is>
          <t>調査済</t>
        </is>
      </c>
      <c r="T7" s="17" t="inlineStr">
        <is>
          <t>掲載／期間満了</t>
        </is>
      </c>
    </row>
    <row r="8">
      <c r="A8" s="11" t="n">
        <v>5</v>
      </c>
      <c r="B8" s="11" t="inlineStr">
        <is>
          <t>小林市</t>
        </is>
      </c>
      <c r="C8" s="12">
        <f>IF(OR(D8="◎",E8="◎"),"◎ 営業",IF(OR(D8="△",E8="△"),"△ 着手済・要確認",IF(OR(D8="？",E8="？"),"？ 期間要確認","✕ 対象外")))</f>
        <v/>
      </c>
      <c r="D8" s="13">
        <f>IF(J8="計画なし","－",IF(J8="策定済","✕",IF(H8="","？",IF(AND(H8&gt;=TGT_MIN,H8&lt;=TGT_MAX),IF(J8="着手済","△","◎"),"✕"))))</f>
        <v/>
      </c>
      <c r="E8" s="13">
        <f>IF(P8="計画なし","－",IF(P8="策定済","✕",IF(N8="","？",IF(AND(N8&gt;=TGT_MIN,N8&lt;=TGT_MAX),IF(P8="着手済","△","◎"),"✕"))))</f>
        <v/>
      </c>
      <c r="F8" s="11" t="inlineStr">
        <is>
          <t>小林市地域公共交通計画（R6.5改正）</t>
        </is>
      </c>
      <c r="G8" s="11" t="inlineStr">
        <is>
          <t>R4〜R8</t>
        </is>
      </c>
      <c r="H8" s="13" t="n">
        <v>8</v>
      </c>
      <c r="I8" s="13" t="inlineStr">
        <is>
          <t>確認済</t>
        </is>
      </c>
      <c r="J8" s="13" t="inlineStr">
        <is>
          <t>着手済</t>
        </is>
      </c>
      <c r="K8" s="14" t="inlineStr">
        <is>
          <t>https://www.city.kobayashi.lg.jp/material/files/group/6/20240531koutuukeikaku.pdf</t>
        </is>
      </c>
      <c r="L8" s="11" t="inlineStr">
        <is>
          <t>小林市環境基本計画</t>
        </is>
      </c>
      <c r="M8" s="11" t="inlineStr">
        <is>
          <t>R5〜R14</t>
        </is>
      </c>
      <c r="N8" s="13" t="n">
        <v>14</v>
      </c>
      <c r="O8" s="13" t="inlineStr">
        <is>
          <t>確認済</t>
        </is>
      </c>
      <c r="P8" s="13" t="inlineStr">
        <is>
          <t>未確認</t>
        </is>
      </c>
      <c r="Q8" s="14" t="inlineStr">
        <is>
          <t>https://www.city.kobayashi.lg.jp/material/files/group/14/R5-R14kobayasisikankyoukihonkeikaku.pdf</t>
        </is>
      </c>
      <c r="R8" s="11" t="inlineStr">
        <is>
          <t>交通：計画ページ https://www.city.kobayashi.lg.jp/soshikikarasagasu/sogoseisakubukikakuseisakuka/oshirase/2290.html 。担当：総合政策部企画政策課。次期計画：『小林市地域公共交通計画策定支援業務委託』公募型プロポーザルをR8.5開始（契約R8.7上旬予定、履行期限R9.3.19）https://www.city.kobayashi.lg.jp/soshikikarasagasu/sogoseisakubukikakuseisakuka/oshirase/11204.html →着手済（受託者は検索で未確認）。西諸県（小林市・えびの市・高原町）の共同交通計画は検索で確認できず、小林市は単独計画。環境：R5.3策定R5〜R14、R9年度目安に中間見直し予定、区域施策編を兼ねる、ゼロカーボンシティこばやし。</t>
        </is>
      </c>
      <c r="S8" s="15" t="inlineStr">
        <is>
          <t>調査済</t>
        </is>
      </c>
      <c r="T8" s="11" t="inlineStr">
        <is>
          <t>掲載</t>
        </is>
      </c>
    </row>
    <row r="9">
      <c r="A9" s="11" t="n">
        <v>6</v>
      </c>
      <c r="B9" s="11" t="inlineStr">
        <is>
          <t>日向市</t>
        </is>
      </c>
      <c r="C9" s="12">
        <f>IF(OR(D9="◎",E9="◎"),"◎ 営業",IF(OR(D9="△",E9="△"),"△ 着手済・要確認",IF(OR(D9="？",E9="？"),"？ 期間要確認","✕ 対象外")))</f>
        <v/>
      </c>
      <c r="D9" s="13">
        <f>IF(J9="計画なし","－",IF(J9="策定済","✕",IF(H9="","？",IF(AND(H9&gt;=TGT_MIN,H9&lt;=TGT_MAX),IF(J9="着手済","△","◎"),"✕"))))</f>
        <v/>
      </c>
      <c r="E9" s="13">
        <f>IF(P9="計画なし","－",IF(P9="策定済","✕",IF(N9="","？",IF(AND(N9&gt;=TGT_MIN,N9&lt;=TGT_MAX),IF(P9="着手済","△","◎"),"✕"))))</f>
        <v/>
      </c>
      <c r="F9" s="11" t="inlineStr">
        <is>
          <t>日向市地域公共交通計画（R6.1改定）</t>
        </is>
      </c>
      <c r="G9" s="11" t="inlineStr">
        <is>
          <t>R5〜R9</t>
        </is>
      </c>
      <c r="H9" s="13" t="n">
        <v>9</v>
      </c>
      <c r="I9" s="13" t="inlineStr">
        <is>
          <t>確認済</t>
        </is>
      </c>
      <c r="J9" s="13" t="inlineStr">
        <is>
          <t>未確認</t>
        </is>
      </c>
      <c r="K9" s="14" t="inlineStr">
        <is>
          <t>https://www.hyugacity.jp/sp/tempimg/20240124090032.pdf</t>
        </is>
      </c>
      <c r="L9" s="11" t="inlineStr">
        <is>
          <t>第3次日向市環境基本計画</t>
        </is>
      </c>
      <c r="M9" s="11" t="inlineStr">
        <is>
          <t>R7〜（終期不明）</t>
        </is>
      </c>
      <c r="N9" s="13" t="n"/>
      <c r="O9" s="13" t="inlineStr">
        <is>
          <t>不明</t>
        </is>
      </c>
      <c r="P9" s="13" t="inlineStr">
        <is>
          <t>策定済</t>
        </is>
      </c>
      <c r="Q9" s="14" t="inlineStr">
        <is>
          <t>https://www.hyugacity.jp/sp/display.php?slist=0012</t>
        </is>
      </c>
      <c r="R9" s="11" t="inlineStr">
        <is>
          <t>交通：R5.3.16策定。作成業務仕様書に計画期間R5〜R9と明記（https://www.hyugacity.jp/sp/tempimg/20220623085655.pdf ）。ただしR8.6.2の計画別紙（https://www.hyugacity.jp/sp/tempimg/20260630130356.pdf ）に『計画期間最終年度（令和10年）』との記述あり→R9年度末＝R10.3の意味か延長かは未確認。前回策定業務：公募型プロポーザル（R4.6）でランドブレイン株式会社が特定（461/500点、履行R5.3.17まで、金額不明）https://www.hyugacity.jp/sp/display.php?cont=220622140143 。担当：建設部都市政策課（総務・交通係）。関連：AIオンデマンドバス『のるーと日向』実証運行（R7.10計画）、東郷地域公共ライドシェアR8.4本格運行。R8.6.26に令和8年度日向市地域公共交通会議掲載、次期計画策定（プロポ等）は検索で未確認＝R9終期の有望案件。日向圏域（日向市・門川町・美郷町・諸塚村・椎葉村）の共同地域公共交通計画は確認できず（定住自立圏で過去に再編実施計画の事例あり、九州運輸局資料 https://wwwtb.mlit.go.jp/kyushu/content/000246814.pdf ＝要確認）。第4次日向圏域定住自立圏共生ビジョン（R7〜R11）https://www.hyugacity.jp/sp/tempimg/20260414083901.pdf 。環境：第3次計画をR7.3策定（期間は検索で未確認、e_urlは環境政策課ページ）。ごみ処理基本計画R8〜R17。</t>
        </is>
      </c>
      <c r="S9" s="15" t="inlineStr">
        <is>
          <t>調査済</t>
        </is>
      </c>
      <c r="T9" s="11" t="inlineStr">
        <is>
          <t>掲載（広域：日向・東臼杵）</t>
        </is>
      </c>
    </row>
    <row r="10">
      <c r="A10" s="11" t="n">
        <v>7</v>
      </c>
      <c r="B10" s="11" t="inlineStr">
        <is>
          <t>串間市</t>
        </is>
      </c>
      <c r="C10" s="12">
        <f>IF(OR(D10="◎",E10="◎"),"◎ 営業",IF(OR(D10="△",E10="△"),"△ 着手済・要確認",IF(OR(D10="？",E10="？"),"？ 期間要確認","✕ 対象外")))</f>
        <v/>
      </c>
      <c r="D10" s="13">
        <f>IF(J10="計画なし","－",IF(J10="策定済","✕",IF(H10="","？",IF(AND(H10&gt;=TGT_MIN,H10&lt;=TGT_MAX),IF(J10="着手済","△","◎"),"✕"))))</f>
        <v/>
      </c>
      <c r="E10" s="13">
        <f>IF(P10="計画なし","－",IF(P10="策定済","✕",IF(N10="","？",IF(AND(N10&gt;=TGT_MIN,N10&lt;=TGT_MAX),IF(P10="着手済","△","◎"),"✕"))))</f>
        <v/>
      </c>
      <c r="F10" s="11" t="inlineStr">
        <is>
          <t>串間市地域公共交通計画</t>
        </is>
      </c>
      <c r="G10" s="11" t="inlineStr">
        <is>
          <t>R6.4〜R11.9</t>
        </is>
      </c>
      <c r="H10" s="16" t="n">
        <v>11</v>
      </c>
      <c r="I10" s="13" t="inlineStr">
        <is>
          <t>推定</t>
        </is>
      </c>
      <c r="J10" s="13" t="inlineStr">
        <is>
          <t>未確認</t>
        </is>
      </c>
      <c r="K10" s="14" t="inlineStr">
        <is>
          <t>https://www.city.kushima.lg.jp/main/city/tiitki/cat3051/post-658.html</t>
        </is>
      </c>
      <c r="L10" s="11" t="n"/>
      <c r="M10" s="11" t="inlineStr">
        <is>
          <t>不明</t>
        </is>
      </c>
      <c r="N10" s="13" t="n"/>
      <c r="O10" s="13" t="inlineStr">
        <is>
          <t>不明</t>
        </is>
      </c>
      <c r="P10" s="13" t="inlineStr">
        <is>
          <t>計画なし</t>
        </is>
      </c>
      <c r="Q10" s="11" t="n"/>
      <c r="R10" s="11" t="inlineStr">
        <is>
          <t>交通：市公式の策定告知でR6.4〜R11.9（要約1回のみのため推定）。前計画は網形成計画＋利便増進実施計画（R3〜R5）https://www.city.kushima.lg.jp/main/city/upload/3dd9a5128660c7ce73e6f69ec07ed9568cdd6fdf.pdf 。環境：環境基本計画は検索で見つからず（計画なしの可能性、未確定）。代替として串間市地球温暖化対策実行計画（区域施策編・事務事業編、R5〜R12、R5.3）https://www.city.kushima.lg.jp/main/info/upload/%E3%80%90%E6%9C%AC%E7%B7%A8%E3%80%91%E4%B8%B2%E9%96%93%E5%B8%82%E5%9C%B0%E7%90%83%E6%B8%A9%E6%9A%96%E5%8C%96%E5%AF%BE%E7%AD%96%E5%AE%9F%E8%A1%8C%E8%A8%88%E7%94%BB%EF%BC%88%E5%8C%BA%E5%9F%9F%E6%96%BD%E7%AD%96%E7%B7%A8%E3%83%BB%E4%BA%8B%E5%8B%99%E4%BA%8B%E6%A5%AD%E7%B7%A8%EF%BC%89.pdf 。R2.12ゼロカーボンシティ宣言。</t>
        </is>
      </c>
      <c r="S10" s="15" t="inlineStr">
        <is>
          <t>調査済</t>
        </is>
      </c>
      <c r="T10" s="11" t="inlineStr">
        <is>
          <t>掲載</t>
        </is>
      </c>
    </row>
    <row r="11">
      <c r="A11" s="11" t="n">
        <v>8</v>
      </c>
      <c r="B11" s="11" t="inlineStr">
        <is>
          <t>西都市</t>
        </is>
      </c>
      <c r="C11" s="12">
        <f>IF(OR(D11="◎",E11="◎"),"◎ 営業",IF(OR(D11="△",E11="△"),"△ 着手済・要確認",IF(OR(D11="？",E11="？"),"？ 期間要確認","✕ 対象外")))</f>
        <v/>
      </c>
      <c r="D11" s="13">
        <f>IF(J11="計画なし","－",IF(J11="策定済","✕",IF(H11="","？",IF(AND(H11&gt;=TGT_MIN,H11&lt;=TGT_MAX),IF(J11="着手済","△","◎"),"✕"))))</f>
        <v/>
      </c>
      <c r="E11" s="13">
        <f>IF(P11="計画なし","－",IF(P11="策定済","✕",IF(N11="","？",IF(AND(N11&gt;=TGT_MIN,N11&lt;=TGT_MAX),IF(P11="着手済","△","◎"),"✕"))))</f>
        <v/>
      </c>
      <c r="F11" s="11" t="inlineStr">
        <is>
          <t>西都市地域公共交通計画（R7.3改訂）</t>
        </is>
      </c>
      <c r="G11" s="11" t="inlineStr">
        <is>
          <t>R5〜R11</t>
        </is>
      </c>
      <c r="H11" s="13" t="n">
        <v>11</v>
      </c>
      <c r="I11" s="13" t="inlineStr">
        <is>
          <t>確認済</t>
        </is>
      </c>
      <c r="J11" s="13" t="inlineStr">
        <is>
          <t>未確認</t>
        </is>
      </c>
      <c r="K11" s="14" t="inlineStr">
        <is>
          <t>https://www.city.saito.lg.jp/kurashi/kokyokotsu/post_1473.html</t>
        </is>
      </c>
      <c r="L11" s="11" t="inlineStr">
        <is>
          <t>第三次西都市環境基本計画</t>
        </is>
      </c>
      <c r="M11" s="11" t="inlineStr">
        <is>
          <t>R4〜R10</t>
        </is>
      </c>
      <c r="N11" s="13" t="n">
        <v>10</v>
      </c>
      <c r="O11" s="13" t="inlineStr">
        <is>
          <t>確認済</t>
        </is>
      </c>
      <c r="P11" s="13" t="inlineStr">
        <is>
          <t>未確認</t>
        </is>
      </c>
      <c r="Q11" s="14" t="inlineStr">
        <is>
          <t>https://www.city.saito.lg.jp/%E6%A6%82%E8%A6%81%E7%89%88.pdf</t>
        </is>
      </c>
      <c r="R11" s="11" t="inlineStr">
        <is>
          <t>交通：R5〜R11の7年計画、R7.3に変更（変更案パブコメR7.2.27〜3.26、意見なし https://www.city.saito.lg.jp/shiseigyosei/public_comment/post_1438.html ）。担当は総合政策課。デマンド型乗合タクシー・コミュニティバス運行、西都バスセンターを交通拠点化。環境：R4〜R10（第五次総合計画と整合、R7中間見直し予定）。素案PDF https://www.city.saito.lg.jp/%E7%AC%AC%E4%B8%89%E6%AC%A1%E8%A5%BF%E9%83%BD%E5%B8%82%E7%92%B0%E5%A2%83%E5%9F%BA%E6%9C%AC%E8%A8%88%E7%94%BB%EF%BC%88%E7%B4%A0%E6%A1%88%EF%BC%89.pdf 。担当は生活環境課。地球温暖化対策実行計画（区域施策編）2025.3策定 https://www.city.saito.lg.jp/b55189322065669ea41edbf8443fde72.pdf 。終期R9の計画なし。</t>
        </is>
      </c>
      <c r="S11" s="15" t="inlineStr">
        <is>
          <t>調査済</t>
        </is>
      </c>
      <c r="T11" s="11" t="inlineStr">
        <is>
          <t>掲載</t>
        </is>
      </c>
    </row>
    <row r="12">
      <c r="A12" s="11" t="n">
        <v>9</v>
      </c>
      <c r="B12" s="11" t="inlineStr">
        <is>
          <t>えびの市</t>
        </is>
      </c>
      <c r="C12" s="12">
        <f>IF(OR(D12="◎",E12="◎"),"◎ 営業",IF(OR(D12="△",E12="△"),"△ 着手済・要確認",IF(OR(D12="？",E12="？"),"？ 期間要確認","✕ 対象外")))</f>
        <v/>
      </c>
      <c r="D12" s="13">
        <f>IF(J12="計画なし","－",IF(J12="策定済","✕",IF(H12="","？",IF(AND(H12&gt;=TGT_MIN,H12&lt;=TGT_MAX),IF(J12="着手済","△","◎"),"✕"))))</f>
        <v/>
      </c>
      <c r="E12" s="13">
        <f>IF(P12="計画なし","－",IF(P12="策定済","✕",IF(N12="","？",IF(AND(N12&gt;=TGT_MIN,N12&lt;=TGT_MAX),IF(P12="着手済","△","◎"),"✕"))))</f>
        <v/>
      </c>
      <c r="F12" s="11" t="inlineStr">
        <is>
          <t>えびの市地域公共交通網形成計画（H27.3策定、期間満了）</t>
        </is>
      </c>
      <c r="G12" s="11" t="inlineStr">
        <is>
          <t>H27〜H29（期間満了・後継計画未確認）</t>
        </is>
      </c>
      <c r="H12" s="13" t="n"/>
      <c r="I12" s="13" t="inlineStr">
        <is>
          <t>不明</t>
        </is>
      </c>
      <c r="J12" s="13" t="inlineStr">
        <is>
          <t>未確認</t>
        </is>
      </c>
      <c r="K12" s="14" t="inlineStr">
        <is>
          <t>https://www.city.ebino.lg.jp/soshiki/kikaku/6/866.html</t>
        </is>
      </c>
      <c r="L12" s="11" t="inlineStr">
        <is>
          <t>第二次えびの市環境基本計画（R5.3見直し版）</t>
        </is>
      </c>
      <c r="M12" s="11" t="inlineStr">
        <is>
          <t>H30〜R9</t>
        </is>
      </c>
      <c r="N12" s="13" t="n">
        <v>9</v>
      </c>
      <c r="O12" s="13" t="inlineStr">
        <is>
          <t>確認済</t>
        </is>
      </c>
      <c r="P12" s="13" t="inlineStr">
        <is>
          <t>未確認</t>
        </is>
      </c>
      <c r="Q12" s="14" t="inlineStr">
        <is>
          <t>https://www.city.ebino.lg.jp/soshiki/shiminkankyo/2/1343.html</t>
        </is>
      </c>
      <c r="R12" s="11" t="inlineStr">
        <is>
          <t>交通：市単独の網形成計画（H27〜H29、担当 企画課）は期間満了。令和の地域公共交通計画や小林市・高原町との西諸県共同計画は検索で確認できず（宮崎県地域公共交通計画でカバーの可能性）。はまゆう号R3.3休止、R6.9から鹿児島空港行つばめエアポートライナー運行。概要版PDF https://www.city.ebino.lg.jp/material/files/group/3/120402133407201504101608451f.pdf 。環境：H30〜R9の10年計画（ページタイトル「平成30年度～平成39年度」）、R5.3中間見直し版 https://www.city.ebino.lg.jp/material/files/group/9/daiinizikankyokihonkeikakuminaosiban.pdf 。担当 市民環境課。R9終期のため第三次計画はR8〜R9策定見込みだが、プロポーザル・審議会等の着手は検索で未確認（有望）。関連：えびの市・高原町の循環型社会形成推進地域計画（R6〜R10）、えびの市地域再生可能エネルギービジョンあり。 広域：宮崎県地域公共交通計画（R6〜R10、広域的バス・地域間幹線バス対象）https://www.pref.miyazaki.lg.jp/sogokotsu/shigoto/butsuryu/20240221101503.html が広域バス部分をカバー（市単独計画ではない）。</t>
        </is>
      </c>
      <c r="S12" s="15" t="inlineStr">
        <is>
          <t>調査済</t>
        </is>
      </c>
      <c r="T12" s="17" t="inlineStr">
        <is>
          <t>掲載／期間満了</t>
        </is>
      </c>
    </row>
    <row r="13">
      <c r="A13" s="11" t="n">
        <v>10</v>
      </c>
      <c r="B13" s="11" t="inlineStr">
        <is>
          <t>三股町</t>
        </is>
      </c>
      <c r="C13" s="12">
        <f>IF(OR(D13="◎",E13="◎"),"◎ 営業",IF(OR(D13="△",E13="△"),"△ 着手済・要確認",IF(OR(D13="？",E13="？"),"？ 期間要確認","✕ 対象外")))</f>
        <v/>
      </c>
      <c r="D13" s="13">
        <f>IF(J13="計画なし","－",IF(J13="策定済","✕",IF(H13="","？",IF(AND(H13&gt;=TGT_MIN,H13&lt;=TGT_MAX),IF(J13="着手済","△","◎"),"✕"))))</f>
        <v/>
      </c>
      <c r="E13" s="13">
        <f>IF(P13="計画なし","－",IF(P13="策定済","✕",IF(N13="","？",IF(AND(N13&gt;=TGT_MIN,N13&lt;=TGT_MAX),IF(P13="着手済","△","◎"),"✕"))))</f>
        <v/>
      </c>
      <c r="F13" s="11" t="inlineStr">
        <is>
          <t>三股町地域公共交通計画（R5.3策定、R6.6一部改定）</t>
        </is>
      </c>
      <c r="G13" s="11" t="inlineStr">
        <is>
          <t>R5〜R9</t>
        </is>
      </c>
      <c r="H13" s="16" t="n">
        <v>9</v>
      </c>
      <c r="I13" s="13" t="inlineStr">
        <is>
          <t>推定</t>
        </is>
      </c>
      <c r="J13" s="13" t="inlineStr">
        <is>
          <t>未確認</t>
        </is>
      </c>
      <c r="K13" s="14" t="inlineStr">
        <is>
          <t>https://www.town.mimata.lg.jp/upload/file/01soumu/03gyosei/%E5%85%AC%E5%85%B1%E4%BA%A4%E9%80%9A%E8%A8%88%E7%94%BB/%E3%80%90%E5%AE%8C%E6%88%90%E7%89%88%E3%80%91%E2%98%85%E4%B8%89%E8%82%A1%E7%94%BA%E5%9C%B0%E5%9F%9F%E5%85%AC%E5%85%B1%E4%BA%A4%E9%80%9A%E8%A8%88%E7%94%BB.pdf</t>
        </is>
      </c>
      <c r="L13" s="11" t="n"/>
      <c r="M13" s="11" t="inlineStr">
        <is>
          <t>不明</t>
        </is>
      </c>
      <c r="N13" s="13" t="n"/>
      <c r="O13" s="13" t="inlineStr">
        <is>
          <t>不明</t>
        </is>
      </c>
      <c r="P13" s="13" t="inlineStr">
        <is>
          <t>計画なし</t>
        </is>
      </c>
      <c r="Q13" s="11" t="n"/>
      <c r="R13" s="11" t="inlineStr">
        <is>
          <t>交通：R5.3策定（R4年度策定）、R6.6.3地域公共交通会議で一部改定承認。策定ページ https://www.town.mimata.lg.jp/contents/1699.html 。計画期間は町サイト限定検索の要約で「令和5年度〜令和9年度の5年間、対象区域は町全域」（1回のみのため推定、R9終期・有望）。改定ページ https://www.town.mimata.lg.jp/contents/1909.html 。担当は総務課（行政係、計画PDFの格納パス01soumu/03gyoseiより）。次期計画の策定業務・協議会審議は検索で見つからず（未確認）。前回の策定受託者・金額は不明。コミュニティバス「くいまーる」をR6.4再編（三股駅結節）、R8.1〜2にオンデマンドバス無料実証実験 https://www.town.mimata.lg.jp/contents/2100.html 、バス予報導入。WebFetchは不可。環境：三股町環境基本条例（第8条に計画規定）はあるが、環境基本計画本体は検索で見つからず（計画なしと判断、要確認）。代替：地球温暖化対策実行計画（区域施策編）、重点対策加速化事業計画（R6〜R10）https://www.town.mimata.lg.jp/upload/file/08kansui/01kankyou/%E5%9C%B0%E7%90%83%E6%B8%A9%E6%9A%96%E5%8C%96/%E4%BA%8B%E6%A5%AD%E8%A8%88%E7%94%BB%EF%BC%88%E6%9C%AC%E4%BD%93%EF%BC%89.pdf 、第2次事務事業編（R4〜R12）https://www.town.mimata.lg.jp/contents/828.html 。担当 環境水道課。</t>
        </is>
      </c>
      <c r="S13" s="15" t="inlineStr">
        <is>
          <t>調査済</t>
        </is>
      </c>
      <c r="T13" s="11" t="inlineStr">
        <is>
          <t>掲載</t>
        </is>
      </c>
    </row>
    <row r="14">
      <c r="A14" s="11" t="n">
        <v>11</v>
      </c>
      <c r="B14" s="11" t="inlineStr">
        <is>
          <t>高原町</t>
        </is>
      </c>
      <c r="C14" s="12">
        <f>IF(OR(D14="◎",E14="◎"),"◎ 営業",IF(OR(D14="△",E14="△"),"△ 着手済・要確認",IF(OR(D14="？",E14="？"),"？ 期間要確認","✕ 対象外")))</f>
        <v/>
      </c>
      <c r="D14" s="13">
        <f>IF(J14="計画なし","－",IF(J14="策定済","✕",IF(H14="","？",IF(AND(H14&gt;=TGT_MIN,H14&lt;=TGT_MAX),IF(J14="着手済","△","◎"),"✕"))))</f>
        <v/>
      </c>
      <c r="E14" s="13">
        <f>IF(P14="計画なし","－",IF(P14="策定済","✕",IF(N14="","？",IF(AND(N14&gt;=TGT_MIN,N14&lt;=TGT_MAX),IF(P14="着手済","△","◎"),"✕"))))</f>
        <v/>
      </c>
      <c r="F14" s="11" t="inlineStr">
        <is>
          <t>高原町地域公共交通計画（R7.4改定）</t>
        </is>
      </c>
      <c r="G14" s="11" t="inlineStr">
        <is>
          <t>R6〜R10</t>
        </is>
      </c>
      <c r="H14" s="13" t="n">
        <v>10</v>
      </c>
      <c r="I14" s="13" t="inlineStr">
        <is>
          <t>確認済</t>
        </is>
      </c>
      <c r="J14" s="13" t="inlineStr">
        <is>
          <t>未確認</t>
        </is>
      </c>
      <c r="K14" s="14" t="inlineStr">
        <is>
          <t>https://www.town.takaharu.lg.jp/uploaded/life/303843_13457119_misc.pdf</t>
        </is>
      </c>
      <c r="L14" s="11" t="n"/>
      <c r="M14" s="11" t="inlineStr">
        <is>
          <t>不明</t>
        </is>
      </c>
      <c r="N14" s="13" t="n"/>
      <c r="O14" s="13" t="inlineStr">
        <is>
          <t>不明</t>
        </is>
      </c>
      <c r="P14" s="13" t="inlineStr">
        <is>
          <t>計画なし</t>
        </is>
      </c>
      <c r="Q14" s="11" t="n"/>
      <c r="R14" s="11" t="inlineStr">
        <is>
          <t>宮崎県西諸県郡高原町（神石高原町・久万高原町とは別）。交通：R6.3策定、R6.4〜R11.3の5か年。R7.4改定で乗合タクシーを町内全域デマンド化、小林祓川線を小林駅〜並木区間に短縮。改定ページ https://www.town.takaharu.lg.jp/soshiki/18/238554.html 。R8.7に「バス小林並木線と乗合タクシーの変更計画」パブコメ（小林並木線をR9.3末廃止予定、乗合タクシーを小林市内まで延伸）https://www.town.takaharu.lg.jp/soshiki/31/305198.html （計画の一部変更であり次期計画策定ではない）。小林市・えびの市との共同計画は確認できず（町単独計画）。環境：環境基本計画・温暖化対策実行計画とも町サイト検索で見つからず。えびの市と共同の循環型社会形成推進地域計画（R6〜R10）はあり https://www.env.go.jp/recycle/waste/3r_network/5_region/project_list/45_miyazaki/10_ebino_r6.pdf 。</t>
        </is>
      </c>
      <c r="S14" s="15" t="inlineStr">
        <is>
          <t>調査済</t>
        </is>
      </c>
      <c r="T14" s="11" t="inlineStr">
        <is>
          <t>掲載</t>
        </is>
      </c>
    </row>
    <row r="15">
      <c r="A15" s="11" t="n">
        <v>12</v>
      </c>
      <c r="B15" s="11" t="inlineStr">
        <is>
          <t>国富町</t>
        </is>
      </c>
      <c r="C15" s="12">
        <f>IF(OR(D15="◎",E15="◎"),"◎ 営業",IF(OR(D15="△",E15="△"),"△ 着手済・要確認",IF(OR(D15="？",E15="？"),"？ 期間要確認","✕ 対象外")))</f>
        <v/>
      </c>
      <c r="D15" s="13">
        <f>IF(J15="計画なし","－",IF(J15="策定済","✕",IF(H15="","？",IF(AND(H15&gt;=TGT_MIN,H15&lt;=TGT_MAX),IF(J15="着手済","△","◎"),"✕"))))</f>
        <v/>
      </c>
      <c r="E15" s="13">
        <f>IF(P15="計画なし","－",IF(P15="策定済","✕",IF(N15="","？",IF(AND(N15&gt;=TGT_MIN,N15&lt;=TGT_MAX),IF(P15="着手済","△","◎"),"✕"))))</f>
        <v/>
      </c>
      <c r="F15" s="11" t="inlineStr">
        <is>
          <t>国富町地域公共交通網形成計画</t>
        </is>
      </c>
      <c r="G15" s="11" t="inlineStr">
        <is>
          <t>不明</t>
        </is>
      </c>
      <c r="H15" s="13" t="n"/>
      <c r="I15" s="13" t="inlineStr">
        <is>
          <t>不明</t>
        </is>
      </c>
      <c r="J15" s="13" t="inlineStr">
        <is>
          <t>未確認</t>
        </is>
      </c>
      <c r="K15" s="11" t="n"/>
      <c r="L15" s="11" t="n"/>
      <c r="M15" s="11" t="inlineStr">
        <is>
          <t>不明</t>
        </is>
      </c>
      <c r="N15" s="13" t="n"/>
      <c r="O15" s="13" t="inlineStr">
        <is>
          <t>不明</t>
        </is>
      </c>
      <c r="P15" s="13" t="inlineStr">
        <is>
          <t>計画なし</t>
        </is>
      </c>
      <c r="Q15" s="11" t="n"/>
      <c r="R15" s="11" t="inlineStr">
        <is>
          <t>交通：立地適正化計画 http://www.town.kunitomi.miyazaki.jp/main/administration/1aea1a1faa8ec122ae91ac27aa78c6c3.pdf に関連計画として「国富町地域公共交通網形成計画」の記載があるが、本文・期間・URLは検索で確認できず。地域公共交通会議設置あり https://www.town.kunitomi.miyazaki.jp/main/administration/page000891.html 。R2.9末に宮崎交通 法ケ岳線・馬渡線廃止→町コミュニティバスで代替、デマンド型乗合タクシー「よつば号」運行。担当 企画政策課。環境：環境基本計画は見つからず。代替：国富町地球温暖化対策実行計画（区域施策編）R7.1策定、R7〜R12 http://www.town.kunitomi.miyazaki.jp/main/living/e89a1ade96220e0eba3a859198aef55e.pdf 。R7.2.28ゼロカーボンシティ宣言 https://www.town.kunitomi.miyazaki.jp/main/living/trash/page002177.html 。事務事業編R2.5策定。</t>
        </is>
      </c>
      <c r="S15" s="15" t="inlineStr">
        <is>
          <t>調査済</t>
        </is>
      </c>
      <c r="T15" s="17" t="inlineStr">
        <is>
          <t>未掲載【当方は計画あり】</t>
        </is>
      </c>
    </row>
    <row r="16">
      <c r="A16" s="11" t="n">
        <v>13</v>
      </c>
      <c r="B16" s="11" t="inlineStr">
        <is>
          <t>綾町</t>
        </is>
      </c>
      <c r="C16" s="12">
        <f>IF(OR(D16="◎",E16="◎"),"◎ 営業",IF(OR(D16="△",E16="△"),"△ 着手済・要確認",IF(OR(D16="？",E16="？"),"？ 期間要確認","✕ 対象外")))</f>
        <v/>
      </c>
      <c r="D16" s="13">
        <f>IF(J16="計画なし","－",IF(J16="策定済","✕",IF(H16="","？",IF(AND(H16&gt;=TGT_MIN,H16&lt;=TGT_MAX),IF(J16="着手済","△","◎"),"✕"))))</f>
        <v/>
      </c>
      <c r="E16" s="13">
        <f>IF(P16="計画なし","－",IF(P16="策定済","✕",IF(N16="","？",IF(AND(N16&gt;=TGT_MIN,N16&lt;=TGT_MAX),IF(P16="着手済","△","◎"),"✕"))))</f>
        <v/>
      </c>
      <c r="F16" s="11" t="n"/>
      <c r="G16" s="11" t="inlineStr">
        <is>
          <t>不明</t>
        </is>
      </c>
      <c r="H16" s="13" t="n"/>
      <c r="I16" s="13" t="inlineStr">
        <is>
          <t>不明</t>
        </is>
      </c>
      <c r="J16" s="13" t="inlineStr">
        <is>
          <t>計画なし</t>
        </is>
      </c>
      <c r="K16" s="11" t="n"/>
      <c r="L16" s="11" t="n"/>
      <c r="M16" s="11" t="inlineStr">
        <is>
          <t>不明</t>
        </is>
      </c>
      <c r="N16" s="13" t="n"/>
      <c r="O16" s="13" t="inlineStr">
        <is>
          <t>不明</t>
        </is>
      </c>
      <c r="P16" s="13" t="inlineStr">
        <is>
          <t>計画なし</t>
        </is>
      </c>
      <c r="Q16" s="11" t="n"/>
      <c r="R16" s="11" t="inlineStr">
        <is>
          <t>宮崎県東諸県郡綾町（香川県綾川町とは別）。交通：町単独の地域公共交通計画は検索で確認できず（計画なしと判断、要確認）。広域バスは宮崎県地域公共交通計画（R6〜R10、広域的バス・地域間幹線バス対象）https://www.pref.miyazaki.lg.jp/sogokotsu/shigoto/butsuryu/20240221101503.html。R7年度実証運行→R8.4からオンデマンド交通「ぐるっとあや」本格運行（担当 福祉保健課）https://www.town.aya.miyazaki.jp/soshiki/hukusihokenka/9031.html 、高齢者向け「おでかけバスカ」（宮崎交通路線バス）。R8年度「日本のひなた宮崎国スポ綾町輸送計画等策定業務委託」入札公告あり https://www.town.aya.miyazaki.jp/site/kokusupo2027/10906.html （国スポ輸送計画で公共交通計画ではない）。環境：環境基本計画・温暖化対策実行計画（区域施策編）・ゼロカーボン宣言とも検索で見つからず。関連：ユネスコエコパーク推進室、オーガニックビレッジ宣言、綾町バイオガスプラント建設計画（R7 FS、R8基本設計予定）https://www.town.aya.miyazaki.jp/soshiki/nourinsinkou/10881.html 。</t>
        </is>
      </c>
      <c r="S16" s="18" t="inlineStr">
        <is>
          <t>環境のみ調査</t>
        </is>
      </c>
      <c r="T16" s="11" t="inlineStr">
        <is>
          <t>未掲載</t>
        </is>
      </c>
    </row>
    <row r="17">
      <c r="A17" s="11" t="n">
        <v>14</v>
      </c>
      <c r="B17" s="11" t="inlineStr">
        <is>
          <t>高鍋町</t>
        </is>
      </c>
      <c r="C17" s="12">
        <f>IF(OR(D17="◎",E17="◎"),"◎ 営業",IF(OR(D17="△",E17="△"),"△ 着手済・要確認",IF(OR(D17="？",E17="？"),"？ 期間要確認","✕ 対象外")))</f>
        <v/>
      </c>
      <c r="D17" s="13">
        <f>IF(J17="計画なし","－",IF(J17="策定済","✕",IF(H17="","？",IF(AND(H17&gt;=TGT_MIN,H17&lt;=TGT_MAX),IF(J17="着手済","△","◎"),"✕"))))</f>
        <v/>
      </c>
      <c r="E17" s="13">
        <f>IF(P17="計画なし","－",IF(P17="策定済","✕",IF(N17="","？",IF(AND(N17&gt;=TGT_MIN,N17&lt;=TGT_MAX),IF(P17="着手済","△","◎"),"✕"))))</f>
        <v/>
      </c>
      <c r="F17" s="11" t="n"/>
      <c r="G17" s="11" t="inlineStr">
        <is>
          <t>不明</t>
        </is>
      </c>
      <c r="H17" s="13" t="n"/>
      <c r="I17" s="13" t="inlineStr">
        <is>
          <t>不明</t>
        </is>
      </c>
      <c r="J17" s="13" t="inlineStr">
        <is>
          <t>計画なし</t>
        </is>
      </c>
      <c r="K17" s="11" t="n"/>
      <c r="L17" s="11" t="inlineStr">
        <is>
          <t>第2次高鍋町環境基本計画</t>
        </is>
      </c>
      <c r="M17" s="11" t="inlineStr">
        <is>
          <t>R8〜R17</t>
        </is>
      </c>
      <c r="N17" s="16" t="n">
        <v>17</v>
      </c>
      <c r="O17" s="13" t="inlineStr">
        <is>
          <t>推定</t>
        </is>
      </c>
      <c r="P17" s="13" t="inlineStr">
        <is>
          <t>着手済</t>
        </is>
      </c>
      <c r="Q17" s="11" t="n"/>
      <c r="R17" s="11" t="inlineStr">
        <is>
          <t>交通：町単独の地域公共交通計画は検索で確認できず（計画なしと判断、要確認）。広域：宮崎県地域公共交通計画（R6〜R10、広域的バス・地域間幹線バス対象）https://www.pref.miyazaki.lg.jp/sogokotsu/shigoto/butsuryu/20240221101503.html。西都市・新富町と広域コミュニティバス「三納代線」「一丁田線」運行（R7.10から三和交通に事業者変更）https://www.town.takanabe.lg.jp/soshiki/chiikiseisaku/1/1/4613.html 、町デマンド交通あり（R8.10.9乗降所変更）https://www.town.takanabe.lg.jp/soshiki/chiikiseisaku/1/1/3730.html 。担当 地域政策課。環境：第7次高鍋町総合計画前期基本計画（R8.3）の関連計画表に「第2次高鍋町環境基本計画」「高鍋町地球温暖化対策実行計画」「気候変動適応計画」がいずれもR8〜R17として記載 https://www.town.takanabe.lg.jp/material/files/group/4/03_28-33.pdf 。計画書本体・策定済か否かは検索で確認できず（R8年度策定作業中の可能性→着手済扱い、要確認）。第1次計画の期間も未確認。SDGs未来都市計画（2025〜2027）https://www.town.takanabe.lg.jp/material/files/group/4/miraitoshikeikaku.pdf 。</t>
        </is>
      </c>
      <c r="S17" s="18" t="inlineStr">
        <is>
          <t>環境のみ調査</t>
        </is>
      </c>
      <c r="T17" s="11" t="inlineStr">
        <is>
          <t>未掲載</t>
        </is>
      </c>
    </row>
    <row r="18">
      <c r="A18" s="11" t="n">
        <v>15</v>
      </c>
      <c r="B18" s="11" t="inlineStr">
        <is>
          <t>新富町</t>
        </is>
      </c>
      <c r="C18" s="12">
        <f>IF(OR(D18="◎",E18="◎"),"◎ 営業",IF(OR(D18="△",E18="△"),"△ 着手済・要確認",IF(OR(D18="？",E18="？"),"？ 期間要確認","✕ 対象外")))</f>
        <v/>
      </c>
      <c r="D18" s="13">
        <f>IF(J18="計画なし","－",IF(J18="策定済","✕",IF(H18="","？",IF(AND(H18&gt;=TGT_MIN,H18&lt;=TGT_MAX),IF(J18="着手済","△","◎"),"✕"))))</f>
        <v/>
      </c>
      <c r="E18" s="13">
        <f>IF(P18="計画なし","－",IF(P18="策定済","✕",IF(N18="","？",IF(AND(N18&gt;=TGT_MIN,N18&lt;=TGT_MAX),IF(P18="着手済","△","◎"),"✕"))))</f>
        <v/>
      </c>
      <c r="F18" s="11" t="inlineStr">
        <is>
          <t>新富町地域公共交通計画</t>
        </is>
      </c>
      <c r="G18" s="11" t="inlineStr">
        <is>
          <t>R6〜（終期不明）</t>
        </is>
      </c>
      <c r="H18" s="13" t="n"/>
      <c r="I18" s="13" t="inlineStr">
        <is>
          <t>不明</t>
        </is>
      </c>
      <c r="J18" s="13" t="inlineStr">
        <is>
          <t>未確認</t>
        </is>
      </c>
      <c r="K18" s="14" t="inlineStr">
        <is>
          <t>https://www.town.shintomi.lg.jp/item/20459.htm</t>
        </is>
      </c>
      <c r="L18" s="11" t="n"/>
      <c r="M18" s="11" t="inlineStr">
        <is>
          <t>不明</t>
        </is>
      </c>
      <c r="N18" s="13" t="n"/>
      <c r="O18" s="13" t="inlineStr">
        <is>
          <t>不明</t>
        </is>
      </c>
      <c r="P18" s="13" t="inlineStr">
        <is>
          <t>計画なし</t>
        </is>
      </c>
      <c r="Q18" s="11" t="n"/>
      <c r="R18" s="11" t="inlineStr">
        <is>
          <t>交通：R6.3策定（新富町地域公共交通活性化協議会と連携、担当 総合政策課）。期間は検索で確認できず（5年なら R6〜R10 だが未確認）。コミュニティバス運行、R6.4県内初のEVバス導入。県の宮崎県地域公共交通計画（R6〜R10）も広域でカバー。環境：環境基本計画・区域施策編は検索で見つからず。代替：新富町ゼロカーボンシティ宣言（R5.12.15） https://www.town.shintomi.lg.jp/item/20470.htm 。</t>
        </is>
      </c>
      <c r="S18" s="15" t="inlineStr">
        <is>
          <t>調査済</t>
        </is>
      </c>
      <c r="T18" s="11" t="inlineStr">
        <is>
          <t>掲載</t>
        </is>
      </c>
    </row>
    <row r="19">
      <c r="A19" s="11" t="n">
        <v>16</v>
      </c>
      <c r="B19" s="11" t="inlineStr">
        <is>
          <t>西米良村</t>
        </is>
      </c>
      <c r="C19" s="12">
        <f>IF(OR(D19="◎",E19="◎"),"◎ 営業",IF(OR(D19="△",E19="△"),"△ 着手済・要確認",IF(OR(D19="？",E19="？"),"？ 期間要確認","✕ 対象外")))</f>
        <v/>
      </c>
      <c r="D19" s="13">
        <f>IF(J19="計画なし","－",IF(J19="策定済","✕",IF(H19="","？",IF(AND(H19&gt;=TGT_MIN,H19&lt;=TGT_MAX),IF(J19="着手済","△","◎"),"✕"))))</f>
        <v/>
      </c>
      <c r="E19" s="13">
        <f>IF(P19="計画なし","－",IF(P19="策定済","✕",IF(N19="","？",IF(AND(N19&gt;=TGT_MIN,N19&lt;=TGT_MAX),IF(P19="着手済","△","◎"),"✕"))))</f>
        <v/>
      </c>
      <c r="F19" s="11" t="n"/>
      <c r="G19" s="11" t="inlineStr">
        <is>
          <t>不明</t>
        </is>
      </c>
      <c r="H19" s="13" t="n"/>
      <c r="I19" s="13" t="inlineStr">
        <is>
          <t>不明</t>
        </is>
      </c>
      <c r="J19" s="13" t="inlineStr">
        <is>
          <t>計画なし</t>
        </is>
      </c>
      <c r="K19" s="11" t="n"/>
      <c r="L19" s="11" t="n"/>
      <c r="M19" s="11" t="inlineStr">
        <is>
          <t>不明</t>
        </is>
      </c>
      <c r="N19" s="13" t="n"/>
      <c r="O19" s="13" t="inlineStr">
        <is>
          <t>不明</t>
        </is>
      </c>
      <c r="P19" s="13" t="inlineStr">
        <is>
          <t>計画なし</t>
        </is>
      </c>
      <c r="Q19" s="11" t="n"/>
      <c r="R19" s="11" t="inlineStr">
        <is>
          <t>交通：村単独の地域公共交通計画は検索で見つからず（村営バス・デマンド対応あり）。県の宮崎県地域公共交通計画（R6〜R10）が広域カバー。環境：環境基本計画・区域施策編とも見つからず。</t>
        </is>
      </c>
      <c r="S19" s="18" t="inlineStr">
        <is>
          <t>環境のみ調査</t>
        </is>
      </c>
      <c r="T19" s="11" t="inlineStr">
        <is>
          <t>未掲載</t>
        </is>
      </c>
    </row>
    <row r="20">
      <c r="A20" s="11" t="n">
        <v>17</v>
      </c>
      <c r="B20" s="11" t="inlineStr">
        <is>
          <t>木城町</t>
        </is>
      </c>
      <c r="C20" s="12">
        <f>IF(OR(D20="◎",E20="◎"),"◎ 営業",IF(OR(D20="△",E20="△"),"△ 着手済・要確認",IF(OR(D20="？",E20="？"),"？ 期間要確認","✕ 対象外")))</f>
        <v/>
      </c>
      <c r="D20" s="13">
        <f>IF(J20="計画なし","－",IF(J20="策定済","✕",IF(H20="","？",IF(AND(H20&gt;=TGT_MIN,H20&lt;=TGT_MAX),IF(J20="着手済","△","◎"),"✕"))))</f>
        <v/>
      </c>
      <c r="E20" s="13">
        <f>IF(P20="計画なし","－",IF(P20="策定済","✕",IF(N20="","？",IF(AND(N20&gt;=TGT_MIN,N20&lt;=TGT_MAX),IF(P20="着手済","△","◎"),"✕"))))</f>
        <v/>
      </c>
      <c r="F20" s="11" t="inlineStr">
        <is>
          <t>木城町地域公共交通計画</t>
        </is>
      </c>
      <c r="G20" s="11" t="inlineStr">
        <is>
          <t>R6〜R10</t>
        </is>
      </c>
      <c r="H20" s="13" t="n">
        <v>10</v>
      </c>
      <c r="I20" s="13" t="inlineStr">
        <is>
          <t>確認済</t>
        </is>
      </c>
      <c r="J20" s="13" t="inlineStr">
        <is>
          <t>未確認</t>
        </is>
      </c>
      <c r="K20" s="14" t="inlineStr">
        <is>
          <t>https://www.town.kijo.lg.jp/sosikikarasagasu/tiikiseisakuka/7/1/2433.html</t>
        </is>
      </c>
      <c r="L20" s="11" t="n"/>
      <c r="M20" s="11" t="inlineStr">
        <is>
          <t>不明</t>
        </is>
      </c>
      <c r="N20" s="13" t="n"/>
      <c r="O20" s="13" t="inlineStr">
        <is>
          <t>不明</t>
        </is>
      </c>
      <c r="P20" s="13" t="inlineStr">
        <is>
          <t>計画なし</t>
        </is>
      </c>
      <c r="Q20" s="11" t="n"/>
      <c r="R20" s="11" t="inlineStr">
        <is>
          <t>交通：対象期間R6〜R10（担当 地域政策課）。環境：環境基本計画は見つからず。代替として木城町カーボンニュートラル計画（R5.2） https://www.town.kijo.lg.jp/material/files/group/8/carbonneutralkeikaku.pdf 。</t>
        </is>
      </c>
      <c r="S20" s="15" t="inlineStr">
        <is>
          <t>調査済</t>
        </is>
      </c>
      <c r="T20" s="11" t="inlineStr">
        <is>
          <t>掲載</t>
        </is>
      </c>
    </row>
    <row r="21">
      <c r="A21" s="11" t="n">
        <v>18</v>
      </c>
      <c r="B21" s="11" t="inlineStr">
        <is>
          <t>川南町</t>
        </is>
      </c>
      <c r="C21" s="12">
        <f>IF(OR(D21="◎",E21="◎"),"◎ 営業",IF(OR(D21="△",E21="△"),"△ 着手済・要確認",IF(OR(D21="？",E21="？"),"？ 期間要確認","✕ 対象外")))</f>
        <v/>
      </c>
      <c r="D21" s="13">
        <f>IF(J21="計画なし","－",IF(J21="策定済","✕",IF(H21="","？",IF(AND(H21&gt;=TGT_MIN,H21&lt;=TGT_MAX),IF(J21="着手済","△","◎"),"✕"))))</f>
        <v/>
      </c>
      <c r="E21" s="13">
        <f>IF(P21="計画なし","－",IF(P21="策定済","✕",IF(N21="","？",IF(AND(N21&gt;=TGT_MIN,N21&lt;=TGT_MAX),IF(P21="着手済","△","◎"),"✕"))))</f>
        <v/>
      </c>
      <c r="F21" s="11" t="n"/>
      <c r="G21" s="11" t="inlineStr">
        <is>
          <t>不明</t>
        </is>
      </c>
      <c r="H21" s="13" t="n"/>
      <c r="I21" s="13" t="inlineStr">
        <is>
          <t>不明</t>
        </is>
      </c>
      <c r="J21" s="13" t="inlineStr">
        <is>
          <t>計画なし</t>
        </is>
      </c>
      <c r="K21" s="11" t="n"/>
      <c r="L21" s="11" t="n"/>
      <c r="M21" s="11" t="inlineStr">
        <is>
          <t>不明</t>
        </is>
      </c>
      <c r="N21" s="13" t="n"/>
      <c r="O21" s="13" t="inlineStr">
        <is>
          <t>不明</t>
        </is>
      </c>
      <c r="P21" s="13" t="inlineStr">
        <is>
          <t>計画なし</t>
        </is>
      </c>
      <c r="Q21" s="11" t="n"/>
      <c r="R21" s="11" t="inlineStr">
        <is>
          <t>交通：町単独の地域公共交通計画は検索で見つからず（トロントロンバス＝定時路線＋オンデマンド、川南町地域公共交通会議あり）。R7.12議会で乗合タクシー導入が議論、R8.10からタクシー撤退を受け町内常駐タクシー体制 https://www.town.kawaminami.miyazaki.jp/soshiki/2/16936.html 。県計画（R6〜R10）が広域カバー。環境：環境基本計画は見つからず。代替として川南町再生可能エネルギー導入計画及び地球温暖化対策実行計画（区域施策編・事務事業編）R6.1、ゼロカーボンシティ宣言済 https://www.town.kawaminami.miyazaki.jp/uploaded/attachment/5648.pdf 。</t>
        </is>
      </c>
      <c r="S21" s="18" t="inlineStr">
        <is>
          <t>環境のみ調査</t>
        </is>
      </c>
      <c r="T21" s="11" t="inlineStr">
        <is>
          <t>未掲載</t>
        </is>
      </c>
    </row>
    <row r="22">
      <c r="A22" s="11" t="n">
        <v>19</v>
      </c>
      <c r="B22" s="11" t="inlineStr">
        <is>
          <t>都農町</t>
        </is>
      </c>
      <c r="C22" s="12">
        <f>IF(OR(D22="◎",E22="◎"),"◎ 営業",IF(OR(D22="△",E22="△"),"△ 着手済・要確認",IF(OR(D22="？",E22="？"),"？ 期間要確認","✕ 対象外")))</f>
        <v/>
      </c>
      <c r="D22" s="13">
        <f>IF(J22="計画なし","－",IF(J22="策定済","✕",IF(H22="","？",IF(AND(H22&gt;=TGT_MIN,H22&lt;=TGT_MAX),IF(J22="着手済","△","◎"),"✕"))))</f>
        <v/>
      </c>
      <c r="E22" s="13">
        <f>IF(P22="計画なし","－",IF(P22="策定済","✕",IF(N22="","？",IF(AND(N22&gt;=TGT_MIN,N22&lt;=TGT_MAX),IF(P22="着手済","△","◎"),"✕"))))</f>
        <v/>
      </c>
      <c r="F22" s="11" t="n"/>
      <c r="G22" s="11" t="inlineStr">
        <is>
          <t>不明</t>
        </is>
      </c>
      <c r="H22" s="13" t="n"/>
      <c r="I22" s="13" t="inlineStr">
        <is>
          <t>不明</t>
        </is>
      </c>
      <c r="J22" s="13" t="inlineStr">
        <is>
          <t>計画なし</t>
        </is>
      </c>
      <c r="K22" s="11" t="n"/>
      <c r="L22" s="11" t="n"/>
      <c r="M22" s="11" t="inlineStr">
        <is>
          <t>不明</t>
        </is>
      </c>
      <c r="N22" s="13" t="n"/>
      <c r="O22" s="13" t="inlineStr">
        <is>
          <t>不明</t>
        </is>
      </c>
      <c r="P22" s="13" t="inlineStr">
        <is>
          <t>計画なし</t>
        </is>
      </c>
      <c r="Q22" s="11" t="n"/>
      <c r="R22" s="11" t="inlineStr">
        <is>
          <t>交通：町単独の地域公共交通計画は検索で見つからず（町公式サイト内検索でも出ず）。コミュニティバスはR8.4から一部定時路線を除き事前予約制へ移行 https://www.town.tsuno.lg.jp/article?articleId=604ec335889ebd12ec684b26 。県計画（R6〜R10）が広域カバー。第6次長期総合計画がH29〜R8で今年度終期（次期総合計画策定中と推定）。環境：環境基本計画・区域施策編は見つからず（木質バイオマス発電の整備計画あり）。</t>
        </is>
      </c>
      <c r="S22" s="18" t="inlineStr">
        <is>
          <t>環境のみ調査</t>
        </is>
      </c>
      <c r="T22" s="11" t="inlineStr">
        <is>
          <t>未掲載</t>
        </is>
      </c>
    </row>
    <row r="23">
      <c r="A23" s="11" t="n">
        <v>20</v>
      </c>
      <c r="B23" s="11" t="inlineStr">
        <is>
          <t>門川町</t>
        </is>
      </c>
      <c r="C23" s="12">
        <f>IF(OR(D23="◎",E23="◎"),"◎ 営業",IF(OR(D23="△",E23="△"),"△ 着手済・要確認",IF(OR(D23="？",E23="？"),"？ 期間要確認","✕ 対象外")))</f>
        <v/>
      </c>
      <c r="D23" s="13">
        <f>IF(J23="計画なし","－",IF(J23="策定済","✕",IF(H23="","？",IF(AND(H23&gt;=TGT_MIN,H23&lt;=TGT_MAX),IF(J23="着手済","△","◎"),"✕"))))</f>
        <v/>
      </c>
      <c r="E23" s="13">
        <f>IF(P23="計画なし","－",IF(P23="策定済","✕",IF(N23="","？",IF(AND(N23&gt;=TGT_MIN,N23&lt;=TGT_MAX),IF(P23="着手済","△","◎"),"✕"))))</f>
        <v/>
      </c>
      <c r="F23" s="11" t="inlineStr">
        <is>
          <t>門川町地域公共交通計画（R6.1改訂）</t>
        </is>
      </c>
      <c r="G23" s="11" t="inlineStr">
        <is>
          <t>R5〜R9</t>
        </is>
      </c>
      <c r="H23" s="13" t="n">
        <v>9</v>
      </c>
      <c r="I23" s="13" t="inlineStr">
        <is>
          <t>確認済</t>
        </is>
      </c>
      <c r="J23" s="13" t="inlineStr">
        <is>
          <t>未確認</t>
        </is>
      </c>
      <c r="K23" s="14" t="inlineStr">
        <is>
          <t>https://www.town.kadogawa.lg.jp/live/data/772474da5c2da6f187648a7d061279dd.pdf</t>
        </is>
      </c>
      <c r="L23" s="11" t="inlineStr">
        <is>
          <t>第2次門川町環境基本計画</t>
        </is>
      </c>
      <c r="M23" s="11" t="inlineStr">
        <is>
          <t>R5〜R14</t>
        </is>
      </c>
      <c r="N23" s="13" t="n">
        <v>14</v>
      </c>
      <c r="O23" s="13" t="inlineStr">
        <is>
          <t>確認済</t>
        </is>
      </c>
      <c r="P23" s="13" t="inlineStr">
        <is>
          <t>未確認</t>
        </is>
      </c>
      <c r="Q23" s="14" t="inlineStr">
        <is>
          <t>https://www.town.kadogawa.lg.jp/news/data/730a8477ba8ab68d33388d679ee484d0.pdf</t>
        </is>
      </c>
      <c r="R23" s="11" t="inlineStr">
        <is>
          <t>交通：町単独計画（日向市との共同計画ではない）。前計画の門川町地域公共交通網形成計画（H28〜R1）を評価して策定、R6.1改訂。R9終期のため次期計画はR8〜R9策定見込みだが、着手（委託・会議）は検索で未確認（有望）。路線バス維持・乗合タクシー（かどっぴータクシー）https://www.town.kadogawa.lg.jp/live/traffic/page003600.html 、公共交通ガイドブックR8.4改定。担当課・前回受託者は未確認。環境：R5〜R14の10年、中間目標年度R9（中間見直しの可能性）。</t>
        </is>
      </c>
      <c r="S23" s="15" t="inlineStr">
        <is>
          <t>調査済</t>
        </is>
      </c>
      <c r="T23" s="11" t="inlineStr">
        <is>
          <t>掲載（広域：日向・東臼杵）</t>
        </is>
      </c>
    </row>
    <row r="24">
      <c r="A24" s="11" t="n">
        <v>21</v>
      </c>
      <c r="B24" s="11" t="inlineStr">
        <is>
          <t>諸塚村</t>
        </is>
      </c>
      <c r="C24" s="12">
        <f>IF(OR(D24="◎",E24="◎"),"◎ 営業",IF(OR(D24="△",E24="△"),"△ 着手済・要確認",IF(OR(D24="？",E24="？"),"？ 期間要確認","✕ 対象外")))</f>
        <v/>
      </c>
      <c r="D24" s="13">
        <f>IF(J24="計画なし","－",IF(J24="策定済","✕",IF(H24="","？",IF(AND(H24&gt;=TGT_MIN,H24&lt;=TGT_MAX),IF(J24="着手済","△","◎"),"✕"))))</f>
        <v/>
      </c>
      <c r="E24" s="13">
        <f>IF(P24="計画なし","－",IF(P24="策定済","✕",IF(N24="","？",IF(AND(N24&gt;=TGT_MIN,N24&lt;=TGT_MAX),IF(P24="着手済","△","◎"),"✕"))))</f>
        <v/>
      </c>
      <c r="F24" s="11" t="inlineStr">
        <is>
          <t>宮崎県地域公共交通計画（県全域の広域計画。町村単独計画は未確認）</t>
        </is>
      </c>
      <c r="G24" s="11" t="inlineStr">
        <is>
          <t>R6〜R10</t>
        </is>
      </c>
      <c r="H24" s="13" t="n">
        <v>10</v>
      </c>
      <c r="I24" s="13" t="inlineStr">
        <is>
          <t>確認済</t>
        </is>
      </c>
      <c r="J24" s="13" t="inlineStr">
        <is>
          <t>未確認</t>
        </is>
      </c>
      <c r="K24" s="14" t="inlineStr">
        <is>
          <t>https://www.pref.miyazaki.lg.jp/sogokotsu/shigoto/butsuryu/20240221101503.html</t>
        </is>
      </c>
      <c r="L24" s="11" t="n"/>
      <c r="M24" s="11" t="inlineStr">
        <is>
          <t>不明</t>
        </is>
      </c>
      <c r="N24" s="13" t="n"/>
      <c r="O24" s="13" t="inlineStr">
        <is>
          <t>不明</t>
        </is>
      </c>
      <c r="P24" s="13" t="inlineStr">
        <is>
          <t>計画なし</t>
        </is>
      </c>
      <c r="Q24" s="11" t="n"/>
      <c r="R24" s="11" t="inlineStr">
        <is>
          <t>交通：村単独の地域公共交通計画は検索で確認できず。県計画（R6〜R10、県全域・広域バス路線中心）がカバー。旧『日向・東臼杵地域公共交通網形成計画』（日向市・門川町・美郷町・諸塚村・椎葉村、H28.4〜R4.9）は期間満了、協議会はR4年度で解散（日向市地域公共交通計画R5.3 https://www.hyugacity.jp/sp/tempimg/20240124090032.pdf に記載）。村は地域バスを諸塚交通に委託運行（国交省事例 https://www.mlit.go.jp/sogoseisaku/transport/pdf/100_morotsuka.pdf ）。第6次総合長期計画後期基本計画（R7.3）で公共交通維持を掲げる https://www.vill.morotsuka.miyazaki.jp/material/files/group/3/1114.pdf 。R8.10.1から宮崎交通×ヤマト運輸の路線バス型公共ライドシェア『ねこみやバス』実証運行（日向市・美郷町・諸塚村・椎葉村、〜R9.3、R9.4本格運行目標） https://www.miyakoh.co.jp/news/mediafile/8163cd6c3a9036e3cb1cb968d1444335eae2ee44.pdf 。環境：環境基本計画・区域施策編・ゼロカーボン宣言とも検索で確認できず。</t>
        </is>
      </c>
      <c r="S24" s="15" t="inlineStr">
        <is>
          <t>調査済</t>
        </is>
      </c>
      <c r="T24" s="17" t="inlineStr">
        <is>
          <t>掲載（広域：日向・東臼杵）／期間満了</t>
        </is>
      </c>
    </row>
    <row r="25">
      <c r="A25" s="11" t="n">
        <v>22</v>
      </c>
      <c r="B25" s="11" t="inlineStr">
        <is>
          <t>椎葉村</t>
        </is>
      </c>
      <c r="C25" s="12">
        <f>IF(OR(D25="◎",E25="◎"),"◎ 営業",IF(OR(D25="△",E25="△"),"△ 着手済・要確認",IF(OR(D25="？",E25="？"),"？ 期間要確認","✕ 対象外")))</f>
        <v/>
      </c>
      <c r="D25" s="13">
        <f>IF(J25="計画なし","－",IF(J25="策定済","✕",IF(H25="","？",IF(AND(H25&gt;=TGT_MIN,H25&lt;=TGT_MAX),IF(J25="着手済","△","◎"),"✕"))))</f>
        <v/>
      </c>
      <c r="E25" s="13">
        <f>IF(P25="計画なし","－",IF(P25="策定済","✕",IF(N25="","？",IF(AND(N25&gt;=TGT_MIN,N25&lt;=TGT_MAX),IF(P25="着手済","△","◎"),"✕"))))</f>
        <v/>
      </c>
      <c r="F25" s="11" t="inlineStr">
        <is>
          <t>宮崎県地域公共交通計画（県全域の広域計画。町村単独計画は未確認）</t>
        </is>
      </c>
      <c r="G25" s="11" t="inlineStr">
        <is>
          <t>R6〜R10</t>
        </is>
      </c>
      <c r="H25" s="13" t="n">
        <v>10</v>
      </c>
      <c r="I25" s="13" t="inlineStr">
        <is>
          <t>確認済</t>
        </is>
      </c>
      <c r="J25" s="13" t="inlineStr">
        <is>
          <t>未確認</t>
        </is>
      </c>
      <c r="K25" s="14" t="inlineStr">
        <is>
          <t>https://www.pref.miyazaki.lg.jp/sogokotsu/shigoto/butsuryu/20240221101503.html</t>
        </is>
      </c>
      <c r="L25" s="11" t="n"/>
      <c r="M25" s="11" t="inlineStr">
        <is>
          <t>不明</t>
        </is>
      </c>
      <c r="N25" s="13" t="n"/>
      <c r="O25" s="13" t="inlineStr">
        <is>
          <t>不明</t>
        </is>
      </c>
      <c r="P25" s="13" t="inlineStr">
        <is>
          <t>計画なし</t>
        </is>
      </c>
      <c r="Q25" s="11" t="n"/>
      <c r="R25" s="11" t="inlineStr">
        <is>
          <t>交通：村単独の地域公共交通計画は検索で確認できず。県計画（R6〜R10）がカバー。旧『日向・東臼杵地域公共交通網形成計画』（日向市・門川町・美郷町・諸塚村・椎葉村、H28.4〜R4.9）は期間満了、協議会はR4年度で解散（日向市地域公共交通計画R5.3 https://www.hyugacity.jp/sp/tempimg/20240124090032.pdf に記載）。村営バス・予約型タクシー（担当：地域振興課 https://www.vill.shiiba.miyazaki.jp/promote/bus.php ）、過疎計画（R3〜R7）でオンデマンドバス運行事業、総合計画の個別施策で自家用有償旅客運送の検討 https://www.vill.shiiba.miyazaki.jp/promote/008_20_%E9%81%93%E8%B7%AF%E3%83%BB%E5%9C%B0%E5%9F%9F%E4%BA%A4%E9%80%9A%E7%B6%B2%E3%81%AE%E6%95%B4%E5%82%99.pdf 。R8.10.1から宮崎交通×ヤマト運輸の路線バス型公共ライドシェア『ねこみやバス』実証運行（日向市・美郷町・諸塚村・椎葉村、〜R9.3、R9.4本格運行目標） https://www.miyakoh.co.jp/news/mediafile/8163cd6c3a9036e3cb1cb968d1444335eae2ee44.pdf 。環境：環境基本計画・区域施策編・ゼロカーボン宣言とも検索で確認できず。</t>
        </is>
      </c>
      <c r="S25" s="15" t="inlineStr">
        <is>
          <t>調査済</t>
        </is>
      </c>
      <c r="T25" s="17" t="inlineStr">
        <is>
          <t>掲載（広域：日向・東臼杵）／期間満了</t>
        </is>
      </c>
    </row>
    <row r="26">
      <c r="A26" s="11" t="n">
        <v>23</v>
      </c>
      <c r="B26" s="11" t="inlineStr">
        <is>
          <t>美郷町</t>
        </is>
      </c>
      <c r="C26" s="12">
        <f>IF(OR(D26="◎",E26="◎"),"◎ 営業",IF(OR(D26="△",E26="△"),"△ 着手済・要確認",IF(OR(D26="？",E26="？"),"？ 期間要確認","✕ 対象外")))</f>
        <v/>
      </c>
      <c r="D26" s="13">
        <f>IF(J26="計画なし","－",IF(J26="策定済","✕",IF(H26="","？",IF(AND(H26&gt;=TGT_MIN,H26&lt;=TGT_MAX),IF(J26="着手済","△","◎"),"✕"))))</f>
        <v/>
      </c>
      <c r="E26" s="13">
        <f>IF(P26="計画なし","－",IF(P26="策定済","✕",IF(N26="","？",IF(AND(N26&gt;=TGT_MIN,N26&lt;=TGT_MAX),IF(P26="着手済","△","◎"),"✕"))))</f>
        <v/>
      </c>
      <c r="F26" s="11" t="inlineStr">
        <is>
          <t>宮崎県地域公共交通計画（県全域の広域計画。町村単独計画は未確認）</t>
        </is>
      </c>
      <c r="G26" s="11" t="inlineStr">
        <is>
          <t>R6〜R10</t>
        </is>
      </c>
      <c r="H26" s="13" t="n">
        <v>10</v>
      </c>
      <c r="I26" s="13" t="inlineStr">
        <is>
          <t>確認済</t>
        </is>
      </c>
      <c r="J26" s="13" t="inlineStr">
        <is>
          <t>未確認</t>
        </is>
      </c>
      <c r="K26" s="14" t="inlineStr">
        <is>
          <t>https://www.pref.miyazaki.lg.jp/sogokotsu/shigoto/butsuryu/20240221101503.html</t>
        </is>
      </c>
      <c r="L26" s="11" t="n"/>
      <c r="M26" s="11" t="inlineStr">
        <is>
          <t>不明</t>
        </is>
      </c>
      <c r="N26" s="13" t="n"/>
      <c r="O26" s="13" t="inlineStr">
        <is>
          <t>不明</t>
        </is>
      </c>
      <c r="P26" s="13" t="inlineStr">
        <is>
          <t>計画なし</t>
        </is>
      </c>
      <c r="Q26" s="11" t="n"/>
      <c r="R26" s="11" t="inlineStr">
        <is>
          <t>宮崎県東臼杵郡美郷町（town.miyazaki-misato.lg.jp）。交通：町議会会議録（R3第1回定例会 https://www.town.miyazaki-misato.lg.jp/gikai/kiji003494/3_494_476_up_e03hoou3.pdf ）で『美郷町地域公共交通計画及び日向・東臼杵地域公共交通再編実施計画』に基づく施策と答弁があるが、町計画の本文・期間は検索で確認できず（旧網形成計画期の計画の可能性）。現行は県計画（R6〜R10）がカバー。旧『日向・東臼杵地域公共交通網形成計画』（日向市・門川町・美郷町・諸塚村・椎葉村、H28.4〜R4.9）は期間満了、協議会はR4年度で解散（日向市地域公共交通計画R5.3 https://www.hyugacity.jp/sp/tempimg/20240124090032.pdf に記載）。通院目的のコミュニティバスを運行。R8.10.1から宮崎交通×ヤマト運輸の路線バス型公共ライドシェア『ねこみやバス』実証運行（日向市・美郷町・諸塚村・椎葉村、〜R9.3、R9.4本格運行目標） https://www.miyakoh.co.jp/news/mediafile/8163cd6c3a9036e3cb1cb968d1444335eae2ee44.pdf 。環境：環境基本計画は確認できず。地球温暖化対策実行計画（事務事業編）は作成済、『地球温暖化防止の里宣言』あり（R3議会答弁 https://www.town.miyazaki-misato.lg.jp/gikai/kiji003494/3_494_472_up_64q42zzx.pdf ）。区域施策編は未確認。※秋田県美郷町の交通計画（R4.3）・温暖化計画とは別。</t>
        </is>
      </c>
      <c r="S26" s="15" t="inlineStr">
        <is>
          <t>調査済</t>
        </is>
      </c>
      <c r="T26" s="17" t="inlineStr">
        <is>
          <t>掲載（広域：日向・東臼杵）／期間満了</t>
        </is>
      </c>
    </row>
    <row r="27">
      <c r="A27" s="11" t="n">
        <v>24</v>
      </c>
      <c r="B27" s="11" t="inlineStr">
        <is>
          <t>高千穂町</t>
        </is>
      </c>
      <c r="C27" s="12">
        <f>IF(OR(D27="◎",E27="◎"),"◎ 営業",IF(OR(D27="△",E27="△"),"△ 着手済・要確認",IF(OR(D27="？",E27="？"),"？ 期間要確認","✕ 対象外")))</f>
        <v/>
      </c>
      <c r="D27" s="13">
        <f>IF(J27="計画なし","－",IF(J27="策定済","✕",IF(H27="","？",IF(AND(H27&gt;=TGT_MIN,H27&lt;=TGT_MAX),IF(J27="着手済","△","◎"),"✕"))))</f>
        <v/>
      </c>
      <c r="E27" s="13">
        <f>IF(P27="計画なし","－",IF(P27="策定済","✕",IF(N27="","？",IF(AND(N27&gt;=TGT_MIN,N27&lt;=TGT_MAX),IF(P27="着手済","△","◎"),"✕"))))</f>
        <v/>
      </c>
      <c r="F27" s="11" t="inlineStr">
        <is>
          <t>高千穂町地域公共交通計画（策定準備中）</t>
        </is>
      </c>
      <c r="G27" s="11" t="inlineStr">
        <is>
          <t>不明</t>
        </is>
      </c>
      <c r="H27" s="13" t="n"/>
      <c r="I27" s="13" t="inlineStr">
        <is>
          <t>不明</t>
        </is>
      </c>
      <c r="J27" s="13" t="inlineStr">
        <is>
          <t>着手済</t>
        </is>
      </c>
      <c r="K27" s="14" t="inlineStr">
        <is>
          <t>https://www.town-takachiho.jp/top/soshiki/kikakukanko/2881.html</t>
        </is>
      </c>
      <c r="L27" s="11" t="n"/>
      <c r="M27" s="11" t="inlineStr">
        <is>
          <t>不明</t>
        </is>
      </c>
      <c r="N27" s="13" t="n"/>
      <c r="O27" s="13" t="inlineStr">
        <is>
          <t>不明</t>
        </is>
      </c>
      <c r="P27" s="13" t="inlineStr">
        <is>
          <t>計画なし</t>
        </is>
      </c>
      <c r="Q27" s="11" t="n"/>
      <c r="R27" s="11" t="inlineStr">
        <is>
          <t>交通：現行の町単独計画は確認できず（県計画R6〜R10が広域カバー。西臼杵3町の共同計画はH20年代の『西臼杵地域公共交通総合連携計画』のみで現行の共同計画は確認できず）。【着手済】企画観光課が『地域公共交通計画策定事前調査業務』を公募型プロポーザル（R8.5.20公募、7.3プレゼン、7.10結果通知、上限5,922,000円税込）→第一優先交渉者ランドブレイン㈱福岡事務所、契約期間〜R9.3.31。本計画策定はR9年度以降の見込み（営業機会：本策定業務）。コミュニティバス『ふれあいバス』運行 https://www.town-takachiho.jp/top/soshiki/kikakukanko/fureaibasu/index.html 。環境：環境基本計画・区域施策編・ゼロカーボン宣言とも検索で確認できず。</t>
        </is>
      </c>
      <c r="S27" s="15" t="inlineStr">
        <is>
          <t>調査済</t>
        </is>
      </c>
      <c r="T27" s="17" t="inlineStr">
        <is>
          <t>未掲載【当方は計画あり】</t>
        </is>
      </c>
    </row>
    <row r="28">
      <c r="A28" s="11" t="n">
        <v>25</v>
      </c>
      <c r="B28" s="11" t="inlineStr">
        <is>
          <t>日之影町</t>
        </is>
      </c>
      <c r="C28" s="12">
        <f>IF(OR(D28="◎",E28="◎"),"◎ 営業",IF(OR(D28="△",E28="△"),"△ 着手済・要確認",IF(OR(D28="？",E28="？"),"？ 期間要確認","✕ 対象外")))</f>
        <v/>
      </c>
      <c r="D28" s="13">
        <f>IF(J28="計画なし","－",IF(J28="策定済","✕",IF(H28="","？",IF(AND(H28&gt;=TGT_MIN,H28&lt;=TGT_MAX),IF(J28="着手済","△","◎"),"✕"))))</f>
        <v/>
      </c>
      <c r="E28" s="13">
        <f>IF(P28="計画なし","－",IF(P28="策定済","✕",IF(N28="","？",IF(AND(N28&gt;=TGT_MIN,N28&lt;=TGT_MAX),IF(P28="着手済","△","◎"),"✕"))))</f>
        <v/>
      </c>
      <c r="F28" s="11" t="inlineStr">
        <is>
          <t>日之影町地域公共交通計画</t>
        </is>
      </c>
      <c r="G28" s="11" t="inlineStr">
        <is>
          <t>R5〜R9</t>
        </is>
      </c>
      <c r="H28" s="13" t="n">
        <v>9</v>
      </c>
      <c r="I28" s="13" t="inlineStr">
        <is>
          <t>確認済</t>
        </is>
      </c>
      <c r="J28" s="13" t="inlineStr">
        <is>
          <t>未確認</t>
        </is>
      </c>
      <c r="K28" s="14" t="inlineStr">
        <is>
          <t>https://www.town.hinokage.lg.jp/docs/2023032900016/file_contents/keikaku_.pdf</t>
        </is>
      </c>
      <c r="L28" s="11" t="n"/>
      <c r="M28" s="11" t="inlineStr">
        <is>
          <t>不明</t>
        </is>
      </c>
      <c r="N28" s="13" t="n"/>
      <c r="O28" s="13" t="inlineStr">
        <is>
          <t>不明</t>
        </is>
      </c>
      <c r="P28" s="13" t="inlineStr">
        <is>
          <t>計画なし</t>
        </is>
      </c>
      <c r="Q28" s="11" t="n"/>
      <c r="R28" s="11" t="inlineStr">
        <is>
          <t>交通：R5.3策定、R5〜R9の5か年（町単独。西臼杵共同計画ではない）。計画本文に最終年度R9に効果検証し次期計画を策定と明記。R4.4に地域公共交通会議を活性化再生法に基づく会議へ改組。R8.6.1に令和8年度第1回地域公共交通会議開催（議事録あり https://www.town.hinokage.lg.jp/docs/2022042900023/ 、議題は未確認）→次期計画（R10〜）策定はR8〜R9着手見込み（有望、委託公告は未確認）。前回策定業務の受託者・金額は検索で確認できず。関連：宮崎交通延岡〜高千穂線の一部（県道北方高千穂線旧道区間）廃止を補完しすまいるバス八戸線を本格運行、町内全域の予約型乗合交通を本格運行（R6.10） https://www.town.hinokage.lg.jp/docs/2016020200106/ 、R8.7〜八戸線迂回運行。環境：環境基本計画は確認できず。代替として『日之影町地球温暖化対策実行計画（区域施策編）』策定済（期間未確認）、ゼロカーボンシティ宣言（R6.3頃） https://www.town.hinokage.lg.jp/docs/2024030700011/ 。</t>
        </is>
      </c>
      <c r="S28" s="15" t="inlineStr">
        <is>
          <t>調査済</t>
        </is>
      </c>
      <c r="T28" s="11" t="inlineStr">
        <is>
          <t>掲載</t>
        </is>
      </c>
    </row>
    <row r="29">
      <c r="A29" s="11" t="n">
        <v>26</v>
      </c>
      <c r="B29" s="11" t="inlineStr">
        <is>
          <t>五ヶ瀬町</t>
        </is>
      </c>
      <c r="C29" s="12">
        <f>IF(OR(D29="◎",E29="◎"),"◎ 営業",IF(OR(D29="△",E29="△"),"△ 着手済・要確認",IF(OR(D29="？",E29="？"),"？ 期間要確認","✕ 対象外")))</f>
        <v/>
      </c>
      <c r="D29" s="13">
        <f>IF(J29="計画なし","－",IF(J29="策定済","✕",IF(H29="","？",IF(AND(H29&gt;=TGT_MIN,H29&lt;=TGT_MAX),IF(J29="着手済","△","◎"),"✕"))))</f>
        <v/>
      </c>
      <c r="E29" s="13">
        <f>IF(P29="計画なし","－",IF(P29="策定済","✕",IF(N29="","？",IF(AND(N29&gt;=TGT_MIN,N29&lt;=TGT_MAX),IF(P29="着手済","△","◎"),"✕"))))</f>
        <v/>
      </c>
      <c r="F29" s="11" t="inlineStr">
        <is>
          <t>宮崎県地域公共交通計画（県全域の広域計画。町村単独計画は未確認）</t>
        </is>
      </c>
      <c r="G29" s="11" t="inlineStr">
        <is>
          <t>R6〜R10</t>
        </is>
      </c>
      <c r="H29" s="13" t="n">
        <v>10</v>
      </c>
      <c r="I29" s="13" t="inlineStr">
        <is>
          <t>確認済</t>
        </is>
      </c>
      <c r="J29" s="13" t="inlineStr">
        <is>
          <t>未確認</t>
        </is>
      </c>
      <c r="K29" s="14" t="inlineStr">
        <is>
          <t>https://www.pref.miyazaki.lg.jp/sogokotsu/shigoto/butsuryu/20240221101503.html</t>
        </is>
      </c>
      <c r="L29" s="11" t="n"/>
      <c r="M29" s="11" t="inlineStr">
        <is>
          <t>不明</t>
        </is>
      </c>
      <c r="N29" s="13" t="n"/>
      <c r="O29" s="13" t="inlineStr">
        <is>
          <t>不明</t>
        </is>
      </c>
      <c r="P29" s="13" t="inlineStr">
        <is>
          <t>計画なし</t>
        </is>
      </c>
      <c r="Q29" s="11" t="n"/>
      <c r="R29" s="11" t="inlineStr">
        <is>
          <t>交通：町単独の地域公共交通計画は検索で確認できず。県計画（R6〜R10）が広域カバー、西臼杵3町の現行共同計画も確認できず。コミュニティバス『Gライン』（H19.10〜、担当：企画課、R6.8から一部区間・便でデマンド型運行導入） https://www.town.gokase.miyazaki.jp/kakuka/kikaku/110.html 。五ヶ瀬町総合交通対策運営委員会・地域公共交通会議あり。環境：環境基本計画・区域施策編は確認できず。ゼロカーボンシティ宣言を表明 https://www.town.gokase.miyazaki.jp/kakuka/kikaku/1233.html （区域施策編策定の可能性あり、要確認）。</t>
        </is>
      </c>
      <c r="S29" s="15" t="inlineStr">
        <is>
          <t>調査済</t>
        </is>
      </c>
      <c r="T29" s="17" t="inlineStr">
        <is>
          <t>未掲載【当方は計画あり】</t>
        </is>
      </c>
    </row>
  </sheetData>
  <autoFilter ref="A3:T29"/>
  <conditionalFormatting sqref="A4:T29">
    <cfRule type="expression" priority="5" dxfId="0">
      <formula>LEFT($C4,1)="◎"</formula>
    </cfRule>
    <cfRule type="expression" priority="6" dxfId="1">
      <formula>LEFT($C4,1)="△"</formula>
    </cfRule>
    <cfRule type="expression" priority="7" dxfId="2">
      <formula>LEFT($C4,1)="？"</formula>
    </cfRule>
    <cfRule type="expression" priority="8" dxfId="3">
      <formula>LEFT($C4,1)="✕"</formula>
    </cfRule>
  </conditionalFormatting>
  <conditionalFormatting sqref="H4:H29">
    <cfRule type="expression" priority="1" dxfId="4" stopIfTrue="1">
      <formula>AND(ISNUMBER(H4),H4&gt;=TGT_MIN,H4&lt;=TGT_MAX)</formula>
    </cfRule>
    <cfRule type="expression" priority="2" dxfId="5">
      <formula>AND(ISNUMBER(H4),H4=TGT_MAX+1)</formula>
    </cfRule>
  </conditionalFormatting>
  <conditionalFormatting sqref="N4:N29">
    <cfRule type="expression" priority="3" dxfId="4" stopIfTrue="1">
      <formula>AND(ISNUMBER(N4),N4&gt;=TGT_MIN,N4&lt;=TGT_MAX)</formula>
    </cfRule>
    <cfRule type="expression" priority="4" dxfId="5">
      <formula>AND(ISNUMBER(N4),N4=TGT_MAX+1)</formula>
    </cfRule>
  </conditionalFormatting>
  <dataValidations count="1">
    <dataValidation sqref="J4:J29 P4:P29" showDropDown="0" showInputMessage="0" showErrorMessage="0" allowBlank="1" type="list">
      <formula1>"未確認,着手済,策定済,計画なし"</formula1>
    </dataValidation>
  </dataValidations>
  <hyperlinks>
    <hyperlink xmlns:r="http://schemas.openxmlformats.org/officeDocument/2006/relationships" ref="K4" r:id="rId1"/>
    <hyperlink xmlns:r="http://schemas.openxmlformats.org/officeDocument/2006/relationships" ref="Q4" r:id="rId2"/>
    <hyperlink xmlns:r="http://schemas.openxmlformats.org/officeDocument/2006/relationships" ref="K5" r:id="rId3"/>
    <hyperlink xmlns:r="http://schemas.openxmlformats.org/officeDocument/2006/relationships" ref="Q5" r:id="rId4"/>
    <hyperlink xmlns:r="http://schemas.openxmlformats.org/officeDocument/2006/relationships" ref="K6" r:id="rId5"/>
    <hyperlink xmlns:r="http://schemas.openxmlformats.org/officeDocument/2006/relationships" ref="Q6" r:id="rId6"/>
    <hyperlink xmlns:r="http://schemas.openxmlformats.org/officeDocument/2006/relationships" ref="K7" r:id="rId7"/>
    <hyperlink xmlns:r="http://schemas.openxmlformats.org/officeDocument/2006/relationships" ref="K8" r:id="rId8"/>
    <hyperlink xmlns:r="http://schemas.openxmlformats.org/officeDocument/2006/relationships" ref="Q8" r:id="rId9"/>
    <hyperlink xmlns:r="http://schemas.openxmlformats.org/officeDocument/2006/relationships" ref="K9" r:id="rId10"/>
    <hyperlink xmlns:r="http://schemas.openxmlformats.org/officeDocument/2006/relationships" ref="Q9" r:id="rId11"/>
    <hyperlink xmlns:r="http://schemas.openxmlformats.org/officeDocument/2006/relationships" ref="K10" r:id="rId12"/>
    <hyperlink xmlns:r="http://schemas.openxmlformats.org/officeDocument/2006/relationships" ref="K11" r:id="rId13"/>
    <hyperlink xmlns:r="http://schemas.openxmlformats.org/officeDocument/2006/relationships" ref="Q11" r:id="rId14"/>
    <hyperlink xmlns:r="http://schemas.openxmlformats.org/officeDocument/2006/relationships" ref="K12" r:id="rId15"/>
    <hyperlink xmlns:r="http://schemas.openxmlformats.org/officeDocument/2006/relationships" ref="Q12" r:id="rId16"/>
    <hyperlink xmlns:r="http://schemas.openxmlformats.org/officeDocument/2006/relationships" ref="K13" r:id="rId17"/>
    <hyperlink xmlns:r="http://schemas.openxmlformats.org/officeDocument/2006/relationships" ref="K14" r:id="rId18"/>
    <hyperlink xmlns:r="http://schemas.openxmlformats.org/officeDocument/2006/relationships" ref="K18" r:id="rId19"/>
    <hyperlink xmlns:r="http://schemas.openxmlformats.org/officeDocument/2006/relationships" ref="K20" r:id="rId20"/>
    <hyperlink xmlns:r="http://schemas.openxmlformats.org/officeDocument/2006/relationships" ref="K23" r:id="rId21"/>
    <hyperlink xmlns:r="http://schemas.openxmlformats.org/officeDocument/2006/relationships" ref="Q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2026-10-21T01:12:07Z</dcterms:created>
  <dcterms:modified xsi:type="dcterms:W3CDTF">2026-10-21T01:12:08Z</dcterms:modified>
</cp:coreProperties>
</file>