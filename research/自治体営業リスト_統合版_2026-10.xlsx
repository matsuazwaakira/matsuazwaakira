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営業メモ" sheetId="10" state="visible" r:id="rId10"/>
    <sheet name="ファクトチェック結果" sheetId="11" state="visible" r:id="rId11"/>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'営業メモ'!$A$4:$M$33</definedName>
    <definedName name="_xlnm.Print_Titles" localSheetId="9">'営業メモ'!$4:$4</definedName>
    <definedName name="_xlnm._FilterDatabase" localSheetId="10" hidden="1">'ファクトチェック結果'!$A$4:$L$50</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
      <name val="Arial"/>
      <b val="1"/>
      <color rgb="00FFFFFF"/>
      <sz val="10"/>
    </font>
    <font>
      <name val="Arial"/>
      <sz val="9"/>
    </font>
    <font>
      <name val="Arial"/>
      <color rgb="000563C1"/>
      <sz val="8"/>
      <u val="single"/>
    </font>
    <font>
      <name val="Arial"/>
      <b val="1"/>
      <color rgb="00C00000"/>
      <sz val="11"/>
    </font>
    <font>
      <name val="Arial"/>
      <b val="1"/>
      <sz val="9"/>
    </font>
    <font>
      <name val="Arial"/>
      <color rgb="000563C1"/>
      <sz val="10"/>
      <u val="single"/>
    </font>
  </fonts>
  <fills count="9">
    <fill>
      <patternFill/>
    </fill>
    <fill>
      <patternFill patternType="gray125"/>
    </fill>
    <fill>
      <patternFill patternType="solid">
        <fgColor rgb="001F4E78"/>
      </patternFill>
    </fill>
    <fill>
      <patternFill patternType="solid">
        <fgColor rgb="00FFFF00"/>
      </patternFill>
    </fill>
    <fill>
      <patternFill patternType="solid">
        <fgColor rgb="00E2EFDA"/>
      </patternFill>
    </fill>
    <fill>
      <patternFill patternType="solid">
        <fgColor rgb="00FFF2CC"/>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18"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xf numFmtId="0" fontId="18" fillId="0" borderId="1" applyAlignment="1" pivotButton="0" quotePrefix="0" xfId="0">
      <alignment horizontal="center" vertical="top"/>
    </xf>
    <xf numFmtId="0" fontId="13" fillId="2" borderId="0" applyAlignment="1" pivotButton="0" quotePrefix="0" xfId="0">
      <alignment horizontal="center" vertical="center" wrapText="1"/>
    </xf>
    <xf numFmtId="0" fontId="14"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horizontal="center" vertical="top"/>
    </xf>
    <xf numFmtId="0" fontId="14" fillId="4"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horizontal="center" vertical="top"/>
    </xf>
    <xf numFmtId="0" fontId="14" fillId="5" borderId="1" applyAlignment="1" pivotButton="0" quotePrefix="0" xfId="0">
      <alignment vertical="top" wrapText="1"/>
    </xf>
    <xf numFmtId="0" fontId="17" fillId="0" borderId="0" pivotButton="0" quotePrefix="0" xfId="0"/>
    <xf numFmtId="0" fontId="14" fillId="0" borderId="0" pivotButton="0" quotePrefix="0" xfId="0"/>
    <xf numFmtId="0" fontId="5" fillId="6" borderId="1" applyAlignment="1" pivotButton="0" quotePrefix="0" xfId="0">
      <alignment horizontal="center" vertical="top"/>
    </xf>
    <xf numFmtId="0" fontId="5" fillId="7" borderId="1" applyAlignment="1" pivotButton="0" quotePrefix="0" xfId="0">
      <alignment horizontal="center" vertical="top"/>
    </xf>
    <xf numFmtId="0" fontId="5" fillId="8"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_rels/sheet10.xml.rels><Relationships xmlns="http://schemas.openxmlformats.org/package/2006/relationships"><Relationship Type="http://schemas.openxmlformats.org/officeDocument/2006/relationships/hyperlink" Target="https://www.city.towada.lg.jp/kurashi/koutsuu/files/keikaku.pdf" TargetMode="External" Id="rId1" /><Relationship Type="http://schemas.openxmlformats.org/officeDocument/2006/relationships/hyperlink" Target="https://www.town.imabetsu.lg.jp/gyousei/koukai/2023-0828-1639-1.html" TargetMode="External" Id="rId2" /><Relationship Type="http://schemas.openxmlformats.org/officeDocument/2006/relationships/hyperlink" Target="http://www.town.owani.lg.jp/aboutowani/plan/kokyo-kotsu.html" TargetMode="External" Id="rId3" /><Relationship Type="http://schemas.openxmlformats.org/officeDocument/2006/relationships/hyperlink" Target="https://www.town.nakadomari.lg.jp/soshikikarasagasu/sogosenryakuka/gyomuannai/5/1/1/4311.html" TargetMode="External" Id="rId4" /><Relationship Type="http://schemas.openxmlformats.org/officeDocument/2006/relationships/hyperlink" Target="https://www.city.kuji.lg.jp/soshiki/chiikizukurishinko/1/6/1/1835.html" TargetMode="External" Id="rId5" /><Relationship Type="http://schemas.openxmlformats.org/officeDocument/2006/relationships/hyperlink" Target="https://www.city.shiroishi.miyagi.jp/soshiki/17/27078.html" TargetMode="External" Id="rId6" /><Relationship Type="http://schemas.openxmlformats.org/officeDocument/2006/relationships/hyperlink" Target="https://www.city.natori.miyagi.jp/page/4327.html" TargetMode="External" Id="rId7" /><Relationship Type="http://schemas.openxmlformats.org/officeDocument/2006/relationships/hyperlink" Target="https://www.city.akita.lg.jp/kurashi/recycle/1016631/1006116.html" TargetMode="External" Id="rId8" /><Relationship Type="http://schemas.openxmlformats.org/officeDocument/2006/relationships/hyperlink" Target="https://www.city.noshiro.lg.jp/sangyo/kankyo/keikaku/22091" TargetMode="External" Id="rId9" /><Relationship Type="http://schemas.openxmlformats.org/officeDocument/2006/relationships/hyperlink" Target="https://www.city.odate.lg.jp/city/soshiki/koutsu/p11901"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itaakita.akita.jp/news/p15700" TargetMode="External" Id="rId12" /><Relationship Type="http://schemas.openxmlformats.org/officeDocument/2006/relationships/hyperlink" Target="https://www.town.gojome.akita.jp/kurashi/koukyoukoutsu/2085" TargetMode="External" Id="rId13" /><Relationship Type="http://schemas.openxmlformats.org/officeDocument/2006/relationships/hyperlink" Target="https://www.city.murayama.lg.jp/kurashi/shizen/kankyohozen/kankyoukihon.html" TargetMode="External" Id="rId14" /><Relationship Type="http://schemas.openxmlformats.org/officeDocument/2006/relationships/hyperlink" Target="https://www.town.asahi.yamagata.jp/portal/soshikinogoannai/somuka/bosaigakari/3_1/3/2438.html" TargetMode="External" Id="rId15" /><Relationship Type="http://schemas.openxmlformats.org/officeDocument/2006/relationships/hyperlink" Target="https://www.city.iwaki.lg.jp/www/contents/1679296597893/simple/koukyoukoutuukeikaku1.pdf" TargetMode="External" Id="rId16" /><Relationship Type="http://schemas.openxmlformats.org/officeDocument/2006/relationships/hyperlink" Target="https://www.vill.samegawa.fukushima.jp/sp/page/page002592.html" TargetMode="External" Id="rId17" /><Relationship Type="http://schemas.openxmlformats.org/officeDocument/2006/relationships/hyperlink" Target="https://www.pref.fukushima.lg.jp/sec/16005d/hinan-koutsuu-keikaku.html" TargetMode="External" Id="rId18" /><Relationship Type="http://schemas.openxmlformats.org/officeDocument/2006/relationships/hyperlink" Target="https://www.city.hitachiomiya.lg.jp/kurashi_gyousei/gyousei/plan/r0/page003126.html" TargetMode="External" Id="rId19" /><Relationship Type="http://schemas.openxmlformats.org/officeDocument/2006/relationships/hyperlink" Target="https://www.town.ami.lg.jp/cmsfiles/contents/0000009/9640/keikaku.pdf" TargetMode="External" Id="rId20" /><Relationship Type="http://schemas.openxmlformats.org/officeDocument/2006/relationships/hyperlink" Target="https://www.town.goka.lg.jp/data/doc/1690350530_doc_20_0.pdf" TargetMode="External" Id="rId21" /><Relationship Type="http://schemas.openxmlformats.org/officeDocument/2006/relationships/hyperlink" Target="https://www.city.tochigi.lg.jp/uploaded/attachment/63013.pdf" TargetMode="External" Id="rId22" /><Relationship Type="http://schemas.openxmlformats.org/officeDocument/2006/relationships/hyperlink" Target="https://www.city.kanuma.tochigi.jp/manage/contents/upload/623824c0af645.pdf" TargetMode="External" Id="rId23" /><Relationship Type="http://schemas.openxmlformats.org/officeDocument/2006/relationships/hyperlink" Target="https://www.city.nikko.lg.jp/material/files/group/33/tiikikoukyoukoutuukeikaku.pdf" TargetMode="External" Id="rId24" /><Relationship Type="http://schemas.openxmlformats.org/officeDocument/2006/relationships/hyperlink" Target="https://www.city.ohtawara.tochigi.jp/docs/2026073100056" TargetMode="External" Id="rId25" /><Relationship Type="http://schemas.openxmlformats.org/officeDocument/2006/relationships/hyperlink" Target="https://www.city.nasushiobara.tochigi.jp/soshikikarasagasu/kb/shinoseisakutokeikaku/1/5506.html" TargetMode="External" Id="rId26" /><Relationship Type="http://schemas.openxmlformats.org/officeDocument/2006/relationships/hyperlink" Target="https://www.city.tochigi-sakura.lg.jp/life/000014/000590/p001957.html" TargetMode="External" Id="rId27" /><Relationship Type="http://schemas.openxmlformats.org/officeDocument/2006/relationships/hyperlink" Target="https://www.town.nasu.lg.jp/0242/info-0000002729-1.html" TargetMode="External" Id="rId28" /><Relationship Type="http://schemas.openxmlformats.org/officeDocument/2006/relationships/hyperlink" Target="https://www.town.tochigi-nakagawa.lg.jp/life/kurashi/2023-0331-0958-5.html" TargetMode="External" Id="rId29" /></Relationships>
</file>

<file path=xl/worksheets/_rels/sheet11.xml.rels><Relationships xmlns="http://schemas.openxmlformats.org/package/2006/relationships"><Relationship Type="http://schemas.openxmlformats.org/officeDocument/2006/relationships/hyperlink" Target="https://www.city.goshogawara.lg.jp/kurashi/machi/files/suishinnkeikaku-gaiyou.ver.pdf" TargetMode="External" Id="rId1" /><Relationship Type="http://schemas.openxmlformats.org/officeDocument/2006/relationships/hyperlink" Target="https://www.city.towada.lg.jp/kurashi/koutsuu/files/keikaku.pdf" TargetMode="External" Id="rId2" /><Relationship Type="http://schemas.openxmlformats.org/officeDocument/2006/relationships/hyperlink" Target="https://www.town.imabetsu.lg.jp/gyousei/koukai/2023-0828-1639-1.html" TargetMode="External" Id="rId3" /><Relationship Type="http://schemas.openxmlformats.org/officeDocument/2006/relationships/hyperlink" Target="http://www.town.owani.lg.jp/aboutowani/plan/kokyo-kotsu.html" TargetMode="External" Id="rId4" /><Relationship Type="http://schemas.openxmlformats.org/officeDocument/2006/relationships/hyperlink" Target="https://www.town.nakadomari.lg.jp/soshikikarasagasu/sogosenryakuka/gyomuannai/5/1/1/4311.html" TargetMode="External" Id="rId5" /><Relationship Type="http://schemas.openxmlformats.org/officeDocument/2006/relationships/hyperlink" Target="https://www.city.kuji.lg.jp/soshiki/chiikizukurishinko/1/6/1/1835.html" TargetMode="External" Id="rId6" /><Relationship Type="http://schemas.openxmlformats.org/officeDocument/2006/relationships/hyperlink" Target="https://www.city.shiroishi.miyagi.jp/soshiki/17/27078.html" TargetMode="External" Id="rId7" /><Relationship Type="http://schemas.openxmlformats.org/officeDocument/2006/relationships/hyperlink" Target="https://www.city.natori.miyagi.jp/page/4327.html" TargetMode="External" Id="rId8" /><Relationship Type="http://schemas.openxmlformats.org/officeDocument/2006/relationships/hyperlink" Target="https://www.city.akita.lg.jp/_res/projects/default_project/_page_/001/006/108/r2-1nenhoukoku.pdf"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uploads/public/pages_0000011901_00/R07.8%E6%9C%88%E6%94%B9%E6%AD%A3.%E5%A4%A7%E9%A4%A8%E5%B8%82%E5%9C%B0%E5%9F%9F%E5%85%AC%E5%85%B1%E4%BA%A4%E8%A8%88%E7%94%BB_.pdf" TargetMode="External" Id="rId11" /><Relationship Type="http://schemas.openxmlformats.org/officeDocument/2006/relationships/hyperlink" Target="https://realtime-nippon.com/archives/052094230123001/"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city.kitaakita.akita.jp/archive/p13109" TargetMode="External" Id="rId14" /><Relationship Type="http://schemas.openxmlformats.org/officeDocument/2006/relationships/hyperlink" Target="https://www.town.gojome.akita.jp/kurashi/koukyoukoutsu/2085" TargetMode="External" Id="rId15" /><Relationship Type="http://schemas.openxmlformats.org/officeDocument/2006/relationships/hyperlink" Target="https://www.town.gojome.akita.jp/kurashi/koukyoukoutsu/2085" TargetMode="External" Id="rId16" /><Relationship Type="http://schemas.openxmlformats.org/officeDocument/2006/relationships/hyperlink" Target="https://www.town.gojome.akita.jp/kurashi/koukyoukoutsu/2085" TargetMode="External" Id="rId17" /><Relationship Type="http://schemas.openxmlformats.org/officeDocument/2006/relationships/hyperlink" Target="https://www.city.murayama.lg.jp/kurashi/shizen/kankyohozen/kankyoukihon.files/kankyou-2.pdf" TargetMode="External" Id="rId18" /><Relationship Type="http://schemas.openxmlformats.org/officeDocument/2006/relationships/hyperlink" Target="https://www.town.asahi.yamagata.jp/portal/soshikinogoannai/somuka/bosaigakari/3_1/3/2438.html" TargetMode="External" Id="rId19" /><Relationship Type="http://schemas.openxmlformats.org/officeDocument/2006/relationships/hyperlink" Target="https://www.city.fukushima.fukushima.jp/material/files/group/62/40koutuukeikaku-honnpenn1.pdf" TargetMode="External" Id="rId20" /><Relationship Type="http://schemas.openxmlformats.org/officeDocument/2006/relationships/hyperlink" Target="https://www.city.iwaki.lg.jp/www/contents/1679296597893/index.html" TargetMode="External" Id="rId21" /><Relationship Type="http://schemas.openxmlformats.org/officeDocument/2006/relationships/hyperlink" Target="https://www.vill.samegawa.fukushima.jp/sp/page/page002592.html" TargetMode="External" Id="rId22" /><Relationship Type="http://schemas.openxmlformats.org/officeDocument/2006/relationships/hyperlink" Target="https://www.pref.fukushima.lg.jp/uploaded/attachment/738677.pdf" TargetMode="External" Id="rId23" /><Relationship Type="http://schemas.openxmlformats.org/officeDocument/2006/relationships/hyperlink" Target="https://www.pref.fukushima.lg.jp/uploaded/attachment/738677.pdf" TargetMode="External" Id="rId24" /><Relationship Type="http://schemas.openxmlformats.org/officeDocument/2006/relationships/hyperlink" Target="https://www.pref.fukushima.lg.jp/uploaded/attachment/738677.pdf" TargetMode="External" Id="rId25" /><Relationship Type="http://schemas.openxmlformats.org/officeDocument/2006/relationships/hyperlink" Target="https://www.pref.fukushima.lg.jp/uploaded/attachment/738677.pdf" TargetMode="External" Id="rId26" /><Relationship Type="http://schemas.openxmlformats.org/officeDocument/2006/relationships/hyperlink" Target="https://www.pref.fukushima.lg.jp/uploaded/attachment/738677.pdf" TargetMode="External" Id="rId27" /><Relationship Type="http://schemas.openxmlformats.org/officeDocument/2006/relationships/hyperlink" Target="https://www.pref.fukushima.lg.jp/uploaded/attachment/738677.pdf" TargetMode="External" Id="rId28" /><Relationship Type="http://schemas.openxmlformats.org/officeDocument/2006/relationships/hyperlink" Target="https://www.pref.fukushima.lg.jp/uploaded/attachment/738677.pdf" TargetMode="External" Id="rId29" /><Relationship Type="http://schemas.openxmlformats.org/officeDocument/2006/relationships/hyperlink" Target="https://www.pref.fukushima.lg.jp/uploaded/attachment/738677.pdf" TargetMode="External" Id="rId30" /><Relationship Type="http://schemas.openxmlformats.org/officeDocument/2006/relationships/hyperlink" Target="https://www.pref.fukushima.lg.jp/uploaded/attachment/738677.pdf" TargetMode="External" Id="rId31" /><Relationship Type="http://schemas.openxmlformats.org/officeDocument/2006/relationships/hyperlink" Target="https://www.city.hitachiomiya.lg.jp/kurashi_gyousei/gyousei/plan/r0/page003126.html" TargetMode="External" Id="rId32" /><Relationship Type="http://schemas.openxmlformats.org/officeDocument/2006/relationships/hyperlink" Target="https://www.city.hitachiomiya.lg.jp/data/doc/1673312876_doc_1_0.pdf" TargetMode="External" Id="rId33" /><Relationship Type="http://schemas.openxmlformats.org/officeDocument/2006/relationships/hyperlink" Target="https://www.town.ami.lg.jp/cmsfiles/contents/0000009/9640/gaiyo.pdf" TargetMode="External" Id="rId34" /><Relationship Type="http://schemas.openxmlformats.org/officeDocument/2006/relationships/hyperlink" Target="https://www.town.goka.lg.jp/kurashi-machi-shigoto/kurashi/kurashi-tetsuzuki/lifeline/koukyoukoutsuu/page005231.html" TargetMode="External" Id="rId35" /><Relationship Type="http://schemas.openxmlformats.org/officeDocument/2006/relationships/hyperlink" Target="https://www.city.tochigi.lg.jp/uploaded/attachment/63013.pdf" TargetMode="External" Id="rId36" /><Relationship Type="http://schemas.openxmlformats.org/officeDocument/2006/relationships/hyperlink" Target="https://www.city.kanuma.tochigi.jp/manage/contents/upload/6a3b627349ac7.pdf" TargetMode="External" Id="rId37" /><Relationship Type="http://schemas.openxmlformats.org/officeDocument/2006/relationships/hyperlink" Target="https://www.city.nikko.lg.jp/material/files/group/33/tiikikoukyoukoutuukeikaku.pdf" TargetMode="External" Id="rId38" /><Relationship Type="http://schemas.openxmlformats.org/officeDocument/2006/relationships/hyperlink" Target="https://www.city.tochigi-sakura.lg.jp/life/000014/000121/000403/p001957.html" TargetMode="External" Id="rId39" /><Relationship Type="http://schemas.openxmlformats.org/officeDocument/2006/relationships/hyperlink" Target="https://www.city.kanuma.tochigi.jp/manage/contents/upload/6976cd070c260.pdf" TargetMode="External" Id="rId40" /><Relationship Type="http://schemas.openxmlformats.org/officeDocument/2006/relationships/hyperlink" Target="https://www.city.ohtawara.tochigi.jp/docs/2022032900019/" TargetMode="External" Id="rId41" /><Relationship Type="http://schemas.openxmlformats.org/officeDocument/2006/relationships/hyperlink" Target="https://www.city.nasushiobara.tochigi.jp/soshikikarasagasu/kb/shinoseisakutokeikaku/1/5506.html" TargetMode="External" Id="rId42" /><Relationship Type="http://schemas.openxmlformats.org/officeDocument/2006/relationships/hyperlink" Target="https://www.town.nasu.lg.jp/0242/info-0000002729-1.html" TargetMode="External" Id="rId43" /><Relationship Type="http://schemas.openxmlformats.org/officeDocument/2006/relationships/hyperlink" Target="https://www.city.nasushiobara.tochigi.jp/soshikikarasagasu/kb/shinoseisakutokeikaku/1/5504.html" TargetMode="External" Id="rId44" /><Relationship Type="http://schemas.openxmlformats.org/officeDocument/2006/relationships/hyperlink" Target="https://www.city.nasushiobara.tochigi.jp/material/files/group/13/dai2ki_kankyokihonkeikaku_an.pdf" TargetMode="External" Id="rId45" /><Relationship Type="http://schemas.openxmlformats.org/officeDocument/2006/relationships/hyperlink" Target="https://www.city.ohtawara.tochigi.jp/docs/2026091600026" TargetMode="External" Id="rId46" /></Relationships>
</file>

<file path=xl/worksheets/sheet1.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自治体営業リスト（統合版）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row r="40">
      <c r="A40" s="2" t="inlineStr">
        <is>
          <t>■ シート一覧（クリックで移動）</t>
        </is>
      </c>
    </row>
    <row r="41">
      <c r="B41" s="9" t="inlineStr">
        <is>
          <t>青森県</t>
        </is>
      </c>
    </row>
    <row r="42">
      <c r="B42" s="9" t="inlineStr">
        <is>
          <t>岩手県</t>
        </is>
      </c>
    </row>
    <row r="43">
      <c r="B43" s="9" t="inlineStr">
        <is>
          <t>宮城県</t>
        </is>
      </c>
    </row>
    <row r="44">
      <c r="B44" s="9" t="inlineStr">
        <is>
          <t>秋田県</t>
        </is>
      </c>
    </row>
    <row r="45">
      <c r="B45" s="9" t="inlineStr">
        <is>
          <t>山形県</t>
        </is>
      </c>
    </row>
    <row r="46">
      <c r="B46" s="9" t="inlineStr">
        <is>
          <t>福島県</t>
        </is>
      </c>
    </row>
    <row r="47">
      <c r="B47" s="9" t="inlineStr">
        <is>
          <t>茨城県</t>
        </is>
      </c>
    </row>
    <row r="48">
      <c r="B48" s="9" t="inlineStr">
        <is>
          <t>栃木県</t>
        </is>
      </c>
    </row>
    <row r="49">
      <c r="B49" s="9" t="inlineStr">
        <is>
          <t>営業メモ</t>
        </is>
      </c>
    </row>
    <row r="50">
      <c r="B50" s="9" t="inlineStr">
        <is>
          <t>ファクトチェック結果</t>
        </is>
      </c>
    </row>
  </sheetData>
  <dataValidations count="1">
    <dataValidation sqref="C4 C5" showDropDown="0" showInputMessage="0" showErrorMessage="0" allowBlank="0" type="list">
      <formula1>"7,8,9,10,11,12,13,14,15"</formula1>
    </dataValidation>
  </dataValidations>
  <hyperlinks>
    <hyperlink ref="B41" location="'青森県'!A1" display="青森県"/>
    <hyperlink ref="B42" location="'岩手県'!A1" display="岩手県"/>
    <hyperlink ref="B43" location="'宮城県'!A1" display="宮城県"/>
    <hyperlink ref="B44" location="'秋田県'!A1" display="秋田県"/>
    <hyperlink ref="B45" location="'山形県'!A1" display="山形県"/>
    <hyperlink ref="B46" location="'福島県'!A1" display="福島県"/>
    <hyperlink ref="B47" location="'茨城県'!A1" display="茨城県"/>
    <hyperlink ref="B48" location="'栃木県'!A1" display="栃木県"/>
    <hyperlink ref="B49" location="'営業メモ'!A1" display="営業メモ"/>
    <hyperlink ref="B50" location="'ファクトチェック結果'!A1" display="ファクトチェック結果"/>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青森県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青森市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青森市地域公共交通計画</t>
        </is>
      </c>
      <c r="G4" s="12" t="inlineStr">
        <is>
          <t>R6〜R10</t>
        </is>
      </c>
      <c r="H4" s="14" t="n">
        <v>10</v>
      </c>
      <c r="I4" s="14" t="inlineStr">
        <is>
          <t>確認済</t>
        </is>
      </c>
      <c r="J4" s="14" t="inlineStr">
        <is>
          <t>未確認</t>
        </is>
      </c>
      <c r="K4" s="15" t="inlineStr">
        <is>
          <t>https://www.city.aomori.aomori.jp/somu/shiseijouhou/jyouhou-koukai/tyougi/documents/tiikikoutuumoukeikaku.pdf</t>
        </is>
      </c>
      <c r="L4" s="12" t="inlineStr">
        <is>
          <t>青森市環境基本計画（令和7年12月制定の青森市環境基本条例第8条に基づき策定中）</t>
        </is>
      </c>
      <c r="M4" s="12" t="inlineStr">
        <is>
          <t>R8〜R10</t>
        </is>
      </c>
      <c r="N4" s="14" t="n">
        <v>10</v>
      </c>
      <c r="O4" s="14" t="inlineStr">
        <is>
          <t>確認済</t>
        </is>
      </c>
      <c r="P4" s="14" t="inlineStr">
        <is>
          <t>着手済</t>
        </is>
      </c>
      <c r="Q4" s="15" t="inlineStr">
        <is>
          <t>https://www.city.aomori.aomori.jp/_res/projects/default_project/_page_/001/011/090/05_080722siryou3.pdf</t>
        </is>
      </c>
      <c r="R4" s="12"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6" t="inlineStr">
        <is>
          <t>調査済</t>
        </is>
      </c>
      <c r="T4" s="12" t="inlineStr">
        <is>
          <t>掲載</t>
        </is>
      </c>
    </row>
    <row r="5">
      <c r="A5" s="12" t="n">
        <v>2</v>
      </c>
      <c r="B5" s="12" t="inlineStr">
        <is>
          <t>弘前市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弘前市地域公共交通計画</t>
        </is>
      </c>
      <c r="G5" s="12" t="inlineStr">
        <is>
          <t>R6〜R10</t>
        </is>
      </c>
      <c r="H5" s="14" t="n">
        <v>10</v>
      </c>
      <c r="I5" s="14" t="inlineStr">
        <is>
          <t>確認済</t>
        </is>
      </c>
      <c r="J5" s="14" t="inlineStr">
        <is>
          <t>未確認</t>
        </is>
      </c>
      <c r="K5" s="15" t="inlineStr">
        <is>
          <t>https://www.city.hirosaki.aomori.jp/jouhou/keikaku/kokyokotu/kotsukeikaku.pdf</t>
        </is>
      </c>
      <c r="L5" s="12" t="inlineStr">
        <is>
          <t>第3次弘前市環境基本計画</t>
        </is>
      </c>
      <c r="M5" s="12" t="inlineStr">
        <is>
          <t>R3〜R12</t>
        </is>
      </c>
      <c r="N5" s="17" t="n">
        <v>12</v>
      </c>
      <c r="O5" s="14" t="inlineStr">
        <is>
          <t>推定</t>
        </is>
      </c>
      <c r="P5" s="14" t="inlineStr">
        <is>
          <t>未確認</t>
        </is>
      </c>
      <c r="Q5" s="15" t="inlineStr">
        <is>
          <t>https://www.city.hirosaki.aomori.jp/jouhou/keikaku/2021-0401-kankyoukihon.html</t>
        </is>
      </c>
      <c r="R5" s="12" t="inlineStr">
        <is>
          <t>環境：R3.3策定（改訂）の記載は資料編 https://city.hirosaki.aomori.jp/jouhou/keikaku/files/shiryouhen.pdf で示唆されるが、期間は今回の検索でも確認できず推定のまま。</t>
        </is>
      </c>
      <c r="S5" s="16" t="inlineStr">
        <is>
          <t>調査済</t>
        </is>
      </c>
      <c r="T5" s="12" t="inlineStr">
        <is>
          <t>掲載</t>
        </is>
      </c>
    </row>
    <row r="6">
      <c r="A6" s="12" t="n">
        <v>3</v>
      </c>
      <c r="B6" s="12" t="inlineStr">
        <is>
          <t>八戸市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八戸圏域地域公共交通計画（広域）</t>
        </is>
      </c>
      <c r="G6" s="12" t="inlineStr">
        <is>
          <t>R5〜R10</t>
        </is>
      </c>
      <c r="H6" s="14" t="n">
        <v>10</v>
      </c>
      <c r="I6" s="14" t="inlineStr">
        <is>
          <t>確認済</t>
        </is>
      </c>
      <c r="J6" s="14" t="inlineStr">
        <is>
          <t>未確認</t>
        </is>
      </c>
      <c r="K6" s="15" t="inlineStr">
        <is>
          <t>https://wwwtb.mlit.go.jp/tohoku/content/000181287.pdf</t>
        </is>
      </c>
      <c r="L6" s="12" t="inlineStr">
        <is>
          <t>第3次八戸市環境基本計画</t>
        </is>
      </c>
      <c r="M6" s="12" t="inlineStr">
        <is>
          <t>R5〜R14</t>
        </is>
      </c>
      <c r="N6" s="17" t="n">
        <v>14</v>
      </c>
      <c r="O6" s="14" t="inlineStr">
        <is>
          <t>推定</t>
        </is>
      </c>
      <c r="P6" s="14" t="inlineStr">
        <is>
          <t>未確認</t>
        </is>
      </c>
      <c r="Q6" s="15" t="inlineStr">
        <is>
          <t>https://www.city.hachinohe.aomori.jp/gyoseijoho/keikaku_plan/kurashi_tetsuzuki/1/1/7959.html</t>
        </is>
      </c>
      <c r="R6" s="12" t="inlineStr">
        <is>
          <t>環境：今回の検索でも期間確認できず推定のまま。関連：第2次八戸市地球温暖化対策実行計画区域施策編 https://www.city.hachinohe.aomori.jp/gyoseijoho/keikaku_plan/kurashi_tetsuzuki/1/1/7961.html 。</t>
        </is>
      </c>
      <c r="S6" s="16" t="inlineStr">
        <is>
          <t>調査済</t>
        </is>
      </c>
      <c r="T6" s="18" t="inlineStr">
        <is>
          <t>掲載（広域：八戸圏域）／期間満了</t>
        </is>
      </c>
    </row>
    <row r="7">
      <c r="A7" s="12" t="n">
        <v>4</v>
      </c>
      <c r="B7" s="12" t="inlineStr">
        <is>
          <t>黒石市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黒石市地域公共交通計画</t>
        </is>
      </c>
      <c r="G7" s="12" t="inlineStr">
        <is>
          <t>R7〜R11</t>
        </is>
      </c>
      <c r="H7" s="14" t="n">
        <v>11</v>
      </c>
      <c r="I7" s="14" t="inlineStr">
        <is>
          <t>確認済</t>
        </is>
      </c>
      <c r="J7" s="14" t="inlineStr">
        <is>
          <t>策定済</t>
        </is>
      </c>
      <c r="K7" s="15" t="inlineStr">
        <is>
          <t>http://www.city.kuroishi.aomori.jp/shisei/keikaku/2025-0523-1102-33.html</t>
        </is>
      </c>
      <c r="L7" s="12" t="inlineStr">
        <is>
          <t>第二次黒石市環境基本計画</t>
        </is>
      </c>
      <c r="M7" s="12" t="inlineStr">
        <is>
          <t>不明</t>
        </is>
      </c>
      <c r="N7" s="14" t="n"/>
      <c r="O7" s="14" t="inlineStr">
        <is>
          <t>不明</t>
        </is>
      </c>
      <c r="P7" s="14" t="inlineStr">
        <is>
          <t>未確認</t>
        </is>
      </c>
      <c r="Q7" s="15" t="inlineStr">
        <is>
          <t>http://www.city.kuroishi.aomori.jp/shisei/keikaku/kankyou-kihon-keikaku.html</t>
        </is>
      </c>
      <c r="R7" s="12"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6" t="inlineStr">
        <is>
          <t>調査済</t>
        </is>
      </c>
      <c r="T7" s="12" t="inlineStr">
        <is>
          <t>掲載</t>
        </is>
      </c>
    </row>
    <row r="8">
      <c r="A8" s="12" t="n">
        <v>5</v>
      </c>
      <c r="B8" s="12" t="inlineStr">
        <is>
          <t>五所川原市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五所川原市地域公共交通計画</t>
        </is>
      </c>
      <c r="G8" s="12" t="inlineStr">
        <is>
          <t>R5〜R10</t>
        </is>
      </c>
      <c r="H8" s="14" t="n">
        <v>10</v>
      </c>
      <c r="I8" s="14" t="inlineStr">
        <is>
          <t>確認済</t>
        </is>
      </c>
      <c r="J8" s="14" t="inlineStr">
        <is>
          <t>未確認</t>
        </is>
      </c>
      <c r="K8" s="15" t="inlineStr">
        <is>
          <t>https://www.city.goshogawara.lg.jp/kurashi/machi/chiikikoukyokoutsukeikaku.html</t>
        </is>
      </c>
      <c r="L8" s="12" t="n"/>
      <c r="M8" s="12" t="inlineStr">
        <is>
          <t>不明</t>
        </is>
      </c>
      <c r="N8" s="14" t="n"/>
      <c r="O8" s="14" t="inlineStr">
        <is>
          <t>不明</t>
        </is>
      </c>
      <c r="P8" s="14" t="inlineStr">
        <is>
          <t>未確認</t>
        </is>
      </c>
      <c r="Q8" s="12" t="n"/>
      <c r="R8" s="12"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19" t="inlineStr">
        <is>
          <t>交通のみ調査</t>
        </is>
      </c>
      <c r="T8" s="12" t="inlineStr">
        <is>
          <t>掲載</t>
        </is>
      </c>
    </row>
    <row r="9">
      <c r="A9" s="12" t="n">
        <v>6</v>
      </c>
      <c r="B9" s="12" t="inlineStr">
        <is>
          <t>十和田市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十和田市地域公共交通計画</t>
        </is>
      </c>
      <c r="G9" s="12" t="inlineStr">
        <is>
          <t>R5〜R9</t>
        </is>
      </c>
      <c r="H9" s="14" t="n">
        <v>9</v>
      </c>
      <c r="I9" s="14" t="inlineStr">
        <is>
          <t>確認済</t>
        </is>
      </c>
      <c r="J9" s="14" t="inlineStr">
        <is>
          <t>未確認</t>
        </is>
      </c>
      <c r="K9" s="15" t="inlineStr">
        <is>
          <t>https://www.city.towada.lg.jp/kurashi/koutsu/files/keikaku.pdf</t>
        </is>
      </c>
      <c r="L9" s="12" t="n"/>
      <c r="M9" s="12" t="inlineStr">
        <is>
          <t>不明</t>
        </is>
      </c>
      <c r="N9" s="14" t="n"/>
      <c r="O9" s="14" t="inlineStr">
        <is>
          <t>不明</t>
        </is>
      </c>
      <c r="P9" s="14" t="inlineStr">
        <is>
          <t>計画なし</t>
        </is>
      </c>
      <c r="Q9" s="12" t="n"/>
      <c r="R9" s="12"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6" t="inlineStr">
        <is>
          <t>調査済</t>
        </is>
      </c>
      <c r="T9" s="12" t="inlineStr">
        <is>
          <t>掲載</t>
        </is>
      </c>
      <c r="U9" s="20" t="inlineStr">
        <is>
          <t>→メモ</t>
        </is>
      </c>
    </row>
    <row r="10">
      <c r="A10" s="12" t="n">
        <v>7</v>
      </c>
      <c r="B10" s="12" t="inlineStr">
        <is>
          <t>三沢市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三沢市地域公共交通計画</t>
        </is>
      </c>
      <c r="G10" s="12" t="inlineStr">
        <is>
          <t>不明</t>
        </is>
      </c>
      <c r="H10" s="14" t="n"/>
      <c r="I10" s="14" t="inlineStr">
        <is>
          <t>不明</t>
        </is>
      </c>
      <c r="J10" s="14" t="inlineStr">
        <is>
          <t>未確認</t>
        </is>
      </c>
      <c r="K10" s="15" t="inlineStr">
        <is>
          <t>https://www.city.misawa.lg.jp/index.cfm/12,21981,57,254,html</t>
        </is>
      </c>
      <c r="L10" s="12" t="inlineStr">
        <is>
          <t>第2次三沢市環境基本計画</t>
        </is>
      </c>
      <c r="M10" s="12" t="inlineStr">
        <is>
          <t>H31〜R10</t>
        </is>
      </c>
      <c r="N10" s="14" t="n">
        <v>10</v>
      </c>
      <c r="O10" s="14" t="inlineStr">
        <is>
          <t>確認済</t>
        </is>
      </c>
      <c r="P10" s="14" t="inlineStr">
        <is>
          <t>未確認</t>
        </is>
      </c>
      <c r="Q10" s="15" t="inlineStr">
        <is>
          <t>https://www.city.misawa.lg.jp/index.cfm/12,31881,c,html/31881/20181207-151357.pdf</t>
        </is>
      </c>
      <c r="R10" s="12"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6" t="inlineStr">
        <is>
          <t>調査済</t>
        </is>
      </c>
      <c r="T10" s="12" t="inlineStr">
        <is>
          <t>掲載</t>
        </is>
      </c>
    </row>
    <row r="11">
      <c r="A11" s="12" t="n">
        <v>8</v>
      </c>
      <c r="B11" s="12" t="inlineStr">
        <is>
          <t>むつ市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下北地域公共交通計画（広域）</t>
        </is>
      </c>
      <c r="G11" s="12" t="inlineStr">
        <is>
          <t>R7〜R11</t>
        </is>
      </c>
      <c r="H11" s="14" t="n">
        <v>11</v>
      </c>
      <c r="I11" s="14" t="inlineStr">
        <is>
          <t>確認済</t>
        </is>
      </c>
      <c r="J11" s="14" t="inlineStr">
        <is>
          <t>策定済</t>
        </is>
      </c>
      <c r="K11" s="15" t="inlineStr">
        <is>
          <t>https://www.city.mutsu.lg.jp/government/katsudou/kyoudou/files/simokitatiikikoukyoukoutuukeikakusoann.pdf</t>
        </is>
      </c>
      <c r="L11" s="12" t="n"/>
      <c r="M11" s="12" t="inlineStr">
        <is>
          <t>不明</t>
        </is>
      </c>
      <c r="N11" s="14" t="n"/>
      <c r="O11" s="14" t="inlineStr">
        <is>
          <t>不明</t>
        </is>
      </c>
      <c r="P11" s="14" t="inlineStr">
        <is>
          <t>未確認</t>
        </is>
      </c>
      <c r="Q11" s="12" t="n"/>
      <c r="R11" s="12"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19" t="inlineStr">
        <is>
          <t>交通のみ調査</t>
        </is>
      </c>
      <c r="T11" s="12" t="inlineStr">
        <is>
          <t>掲載（広域：下北地域）</t>
        </is>
      </c>
    </row>
    <row r="12">
      <c r="A12" s="12" t="n">
        <v>9</v>
      </c>
      <c r="B12" s="12" t="inlineStr">
        <is>
          <t>つがる市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n"/>
      <c r="G12" s="12" t="inlineStr">
        <is>
          <t>不明</t>
        </is>
      </c>
      <c r="H12" s="14" t="n"/>
      <c r="I12" s="14" t="inlineStr">
        <is>
          <t>不明</t>
        </is>
      </c>
      <c r="J12" s="14" t="inlineStr">
        <is>
          <t>未確認</t>
        </is>
      </c>
      <c r="K12" s="12" t="n"/>
      <c r="L12" s="12" t="inlineStr">
        <is>
          <t>第2次つがる市環境基本計画</t>
        </is>
      </c>
      <c r="M12" s="12" t="inlineStr">
        <is>
          <t>不明</t>
        </is>
      </c>
      <c r="N12" s="14" t="n"/>
      <c r="O12" s="14" t="inlineStr">
        <is>
          <t>不明</t>
        </is>
      </c>
      <c r="P12" s="14" t="inlineStr">
        <is>
          <t>未確認</t>
        </is>
      </c>
      <c r="Q12" s="15" t="inlineStr">
        <is>
          <t>https://www.city.tsugaru.aomori.jp/soshiki/minsei/shimin/kankyoeisei/gomi/kankyoukihonkeikaku/10184.html</t>
        </is>
      </c>
      <c r="R12" s="12"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19" t="inlineStr">
        <is>
          <t>環境のみ調査</t>
        </is>
      </c>
      <c r="T12" s="12" t="inlineStr">
        <is>
          <t>未掲載</t>
        </is>
      </c>
    </row>
    <row r="13">
      <c r="A13" s="12" t="n">
        <v>10</v>
      </c>
      <c r="B13" s="12" t="inlineStr">
        <is>
          <t>平川市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平川市地域公共交通計画</t>
        </is>
      </c>
      <c r="G13" s="12" t="inlineStr">
        <is>
          <t>不明</t>
        </is>
      </c>
      <c r="H13" s="14" t="n"/>
      <c r="I13" s="14" t="inlineStr">
        <is>
          <t>不明</t>
        </is>
      </c>
      <c r="J13" s="14" t="inlineStr">
        <is>
          <t>未確認</t>
        </is>
      </c>
      <c r="K13" s="15" t="inlineStr">
        <is>
          <t>https://www.city.hirakawa.lg.jp/kurashi/keikaku/2021-0514-1007-25.html</t>
        </is>
      </c>
      <c r="L13" s="12" t="inlineStr">
        <is>
          <t>平川市環境基本計画</t>
        </is>
      </c>
      <c r="M13" s="12" t="inlineStr">
        <is>
          <t>H29〜R8</t>
        </is>
      </c>
      <c r="N13" s="14" t="n">
        <v>8</v>
      </c>
      <c r="O13" s="14" t="inlineStr">
        <is>
          <t>確認済</t>
        </is>
      </c>
      <c r="P13" s="14" t="inlineStr">
        <is>
          <t>未確認</t>
        </is>
      </c>
      <c r="Q13" s="15" t="inlineStr">
        <is>
          <t>https://www.city.hirakawa.lg.jp/kurashi/keikaku/kankyokihonkeikaku.html</t>
        </is>
      </c>
      <c r="R13" s="12"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6" t="inlineStr">
        <is>
          <t>調査済</t>
        </is>
      </c>
      <c r="T13" s="12" t="inlineStr">
        <is>
          <t>掲載</t>
        </is>
      </c>
    </row>
    <row r="14">
      <c r="A14" s="12" t="n">
        <v>11</v>
      </c>
      <c r="B14" s="12" t="inlineStr">
        <is>
          <t>平内町</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平内町地域公共交通計画</t>
        </is>
      </c>
      <c r="G14" s="12" t="inlineStr">
        <is>
          <t>R4〜R8</t>
        </is>
      </c>
      <c r="H14" s="17" t="n">
        <v>8</v>
      </c>
      <c r="I14" s="14" t="inlineStr">
        <is>
          <t>推定</t>
        </is>
      </c>
      <c r="J14" s="14" t="inlineStr">
        <is>
          <t>未確認</t>
        </is>
      </c>
      <c r="K14" s="15" t="inlineStr">
        <is>
          <t>https://www.town.hiranai.aomori.jp/chosei/machizukuri/3/1241.html</t>
        </is>
      </c>
      <c r="L14" s="12" t="n"/>
      <c r="M14" s="12" t="inlineStr">
        <is>
          <t>不明</t>
        </is>
      </c>
      <c r="N14" s="14" t="n"/>
      <c r="O14" s="14" t="inlineStr">
        <is>
          <t>不明</t>
        </is>
      </c>
      <c r="P14" s="14" t="inlineStr">
        <is>
          <t>計画なし</t>
        </is>
      </c>
      <c r="Q14" s="12" t="n"/>
      <c r="R14" s="12"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6" t="inlineStr">
        <is>
          <t>調査済</t>
        </is>
      </c>
      <c r="T14" s="12" t="inlineStr">
        <is>
          <t>掲載</t>
        </is>
      </c>
    </row>
    <row r="15">
      <c r="A15" s="12" t="n">
        <v>12</v>
      </c>
      <c r="B15" s="12" t="inlineStr">
        <is>
          <t>今別町</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今別町地域公共交通計画</t>
        </is>
      </c>
      <c r="G15" s="12" t="inlineStr">
        <is>
          <t>R5〜R9</t>
        </is>
      </c>
      <c r="H15" s="14" t="n">
        <v>9</v>
      </c>
      <c r="I15" s="14" t="inlineStr">
        <is>
          <t>確認済</t>
        </is>
      </c>
      <c r="J15" s="14" t="inlineStr">
        <is>
          <t>未確認</t>
        </is>
      </c>
      <c r="K15" s="15" t="inlineStr">
        <is>
          <t>https://www.town.imabetsu.lg.jp/gyousei/koukai/2023-0828-1639-1.html</t>
        </is>
      </c>
      <c r="L15" s="12" t="n"/>
      <c r="M15" s="12" t="inlineStr">
        <is>
          <t>不明</t>
        </is>
      </c>
      <c r="N15" s="14" t="n"/>
      <c r="O15" s="14" t="inlineStr">
        <is>
          <t>不明</t>
        </is>
      </c>
      <c r="P15" s="14" t="inlineStr">
        <is>
          <t>未確認</t>
        </is>
      </c>
      <c r="Q15" s="12" t="n"/>
      <c r="R15" s="12"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19" t="inlineStr">
        <is>
          <t>交通のみ調査</t>
        </is>
      </c>
      <c r="T15" s="12" t="inlineStr">
        <is>
          <t>掲載</t>
        </is>
      </c>
      <c r="U15" s="20" t="inlineStr">
        <is>
          <t>→メモ</t>
        </is>
      </c>
    </row>
    <row r="16">
      <c r="A16" s="12" t="n">
        <v>13</v>
      </c>
      <c r="B16" s="12" t="inlineStr">
        <is>
          <t>蓬田村</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n"/>
      <c r="G16" s="12" t="inlineStr">
        <is>
          <t>不明</t>
        </is>
      </c>
      <c r="H16" s="14" t="n"/>
      <c r="I16" s="14" t="inlineStr">
        <is>
          <t>不明</t>
        </is>
      </c>
      <c r="J16" s="14" t="inlineStr">
        <is>
          <t>未確認</t>
        </is>
      </c>
      <c r="K16" s="12" t="n"/>
      <c r="L16" s="12" t="n"/>
      <c r="M16" s="12" t="inlineStr">
        <is>
          <t>不明</t>
        </is>
      </c>
      <c r="N16" s="14" t="n"/>
      <c r="O16" s="14" t="inlineStr">
        <is>
          <t>不明</t>
        </is>
      </c>
      <c r="P16" s="14" t="inlineStr">
        <is>
          <t>未確認</t>
        </is>
      </c>
      <c r="Q16" s="12" t="n"/>
      <c r="R16" s="12"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19" t="inlineStr">
        <is>
          <t>未調査</t>
        </is>
      </c>
      <c r="T16" s="12" t="inlineStr">
        <is>
          <t>未掲載</t>
        </is>
      </c>
    </row>
    <row r="17">
      <c r="A17" s="12" t="n">
        <v>14</v>
      </c>
      <c r="B17" s="12" t="inlineStr">
        <is>
          <t>外ヶ浜町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外ヶ浜町地域公共交通計画</t>
        </is>
      </c>
      <c r="G17" s="12" t="inlineStr">
        <is>
          <t>R6〜R10</t>
        </is>
      </c>
      <c r="H17" s="17" t="n">
        <v>10</v>
      </c>
      <c r="I17" s="14" t="inlineStr">
        <is>
          <t>推定</t>
        </is>
      </c>
      <c r="J17" s="14" t="inlineStr">
        <is>
          <t>未確認</t>
        </is>
      </c>
      <c r="K17" s="15" t="inlineStr">
        <is>
          <t>https://www.town.sotogahama.lg.jp/gyosei/public/2024-0227-tiikikoukyokoutukeikaku_pabukome.html</t>
        </is>
      </c>
      <c r="L17" s="12" t="n"/>
      <c r="M17" s="12" t="inlineStr">
        <is>
          <t>不明</t>
        </is>
      </c>
      <c r="N17" s="14" t="n"/>
      <c r="O17" s="14" t="inlineStr">
        <is>
          <t>不明</t>
        </is>
      </c>
      <c r="P17" s="14" t="inlineStr">
        <is>
          <t>計画なし</t>
        </is>
      </c>
      <c r="Q17" s="12" t="n"/>
      <c r="R17" s="12"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6" t="inlineStr">
        <is>
          <t>調査済</t>
        </is>
      </c>
      <c r="T17" s="12" t="inlineStr">
        <is>
          <t>掲載</t>
        </is>
      </c>
    </row>
    <row r="18">
      <c r="A18" s="12" t="n">
        <v>15</v>
      </c>
      <c r="B18" s="12" t="inlineStr">
        <is>
          <t>鰺ヶ沢町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鰺ヶ沢町地域公共交通計画</t>
        </is>
      </c>
      <c r="G18" s="12" t="inlineStr">
        <is>
          <t>R6〜R10</t>
        </is>
      </c>
      <c r="H18" s="17" t="n">
        <v>10</v>
      </c>
      <c r="I18" s="14" t="inlineStr">
        <is>
          <t>推定</t>
        </is>
      </c>
      <c r="J18" s="14" t="inlineStr">
        <is>
          <t>未確認</t>
        </is>
      </c>
      <c r="K18" s="15" t="inlineStr">
        <is>
          <t>http://www.town.ajigasawa.lg.jp/gyosei_jyoho/kotsu/kokyokotukeikaku.html</t>
        </is>
      </c>
      <c r="L18" s="12" t="n"/>
      <c r="M18" s="12" t="inlineStr">
        <is>
          <t>不明</t>
        </is>
      </c>
      <c r="N18" s="14" t="n"/>
      <c r="O18" s="14" t="inlineStr">
        <is>
          <t>不明</t>
        </is>
      </c>
      <c r="P18" s="14" t="inlineStr">
        <is>
          <t>計画なし</t>
        </is>
      </c>
      <c r="Q18" s="12" t="n"/>
      <c r="R18" s="12"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6" t="inlineStr">
        <is>
          <t>調査済</t>
        </is>
      </c>
      <c r="T18" s="12" t="inlineStr">
        <is>
          <t>掲載</t>
        </is>
      </c>
    </row>
    <row r="19">
      <c r="A19" s="12" t="n">
        <v>16</v>
      </c>
      <c r="B19" s="12" t="inlineStr">
        <is>
          <t>深浦町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深浦町地域公共交通計画</t>
        </is>
      </c>
      <c r="G19" s="12" t="inlineStr">
        <is>
          <t>R6〜R10</t>
        </is>
      </c>
      <c r="H19" s="17" t="n">
        <v>10</v>
      </c>
      <c r="I19" s="14" t="inlineStr">
        <is>
          <t>推定</t>
        </is>
      </c>
      <c r="J19" s="14" t="inlineStr">
        <is>
          <t>未確認</t>
        </is>
      </c>
      <c r="K19" s="15" t="inlineStr">
        <is>
          <t>https://www.town.fukaura.lg.jp/doc/2020031800019/file_contents/2020031800019_fixed_docs_2020031800019_file_contents_kotsukeikaku.pdf</t>
        </is>
      </c>
      <c r="L19" s="12" t="n"/>
      <c r="M19" s="12" t="inlineStr">
        <is>
          <t>不明</t>
        </is>
      </c>
      <c r="N19" s="14" t="n"/>
      <c r="O19" s="14" t="inlineStr">
        <is>
          <t>不明</t>
        </is>
      </c>
      <c r="P19" s="14" t="inlineStr">
        <is>
          <t>計画なし</t>
        </is>
      </c>
      <c r="Q19" s="12" t="n"/>
      <c r="R19" s="12"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6" t="inlineStr">
        <is>
          <t>調査済</t>
        </is>
      </c>
      <c r="T19" s="12" t="inlineStr">
        <is>
          <t>掲載</t>
        </is>
      </c>
    </row>
    <row r="20">
      <c r="A20" s="12" t="n">
        <v>17</v>
      </c>
      <c r="B20" s="12" t="inlineStr">
        <is>
          <t>西目屋村</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n"/>
      <c r="G20" s="12" t="inlineStr">
        <is>
          <t>不明</t>
        </is>
      </c>
      <c r="H20" s="14" t="n"/>
      <c r="I20" s="14" t="inlineStr">
        <is>
          <t>不明</t>
        </is>
      </c>
      <c r="J20" s="14" t="inlineStr">
        <is>
          <t>未確認</t>
        </is>
      </c>
      <c r="K20" s="12" t="n"/>
      <c r="L20" s="12" t="n"/>
      <c r="M20" s="12" t="inlineStr">
        <is>
          <t>不明</t>
        </is>
      </c>
      <c r="N20" s="14" t="n"/>
      <c r="O20" s="14" t="inlineStr">
        <is>
          <t>不明</t>
        </is>
      </c>
      <c r="P20" s="14" t="inlineStr">
        <is>
          <t>計画なし</t>
        </is>
      </c>
      <c r="Q20" s="12" t="n"/>
      <c r="R20" s="12"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19" t="inlineStr">
        <is>
          <t>環境のみ調査</t>
        </is>
      </c>
      <c r="T20" s="12" t="inlineStr">
        <is>
          <t>未掲載</t>
        </is>
      </c>
    </row>
    <row r="21">
      <c r="A21" s="12" t="n">
        <v>18</v>
      </c>
      <c r="B21" s="12" t="inlineStr">
        <is>
          <t>藤崎町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19" t="inlineStr">
        <is>
          <t>環境のみ調査</t>
        </is>
      </c>
      <c r="T21" s="12" t="inlineStr">
        <is>
          <t>未掲載</t>
        </is>
      </c>
    </row>
    <row r="22">
      <c r="A22" s="12" t="n">
        <v>19</v>
      </c>
      <c r="B22" s="12" t="inlineStr">
        <is>
          <t>大鰐町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大鰐町地域公共交通計画</t>
        </is>
      </c>
      <c r="G22" s="12" t="inlineStr">
        <is>
          <t>R5〜R9</t>
        </is>
      </c>
      <c r="H22" s="17" t="n">
        <v>9</v>
      </c>
      <c r="I22" s="14" t="inlineStr">
        <is>
          <t>推定</t>
        </is>
      </c>
      <c r="J22" s="14" t="inlineStr">
        <is>
          <t>未確認</t>
        </is>
      </c>
      <c r="K22" s="15" t="inlineStr">
        <is>
          <t>http://www.town.owani.lg.jp/aboutowani/plan/kokyo-kotsu.html</t>
        </is>
      </c>
      <c r="L22" s="12" t="n"/>
      <c r="M22" s="12" t="inlineStr">
        <is>
          <t>不明</t>
        </is>
      </c>
      <c r="N22" s="14" t="n"/>
      <c r="O22" s="14" t="inlineStr">
        <is>
          <t>不明</t>
        </is>
      </c>
      <c r="P22" s="14" t="inlineStr">
        <is>
          <t>未確認</t>
        </is>
      </c>
      <c r="Q22" s="12" t="n"/>
      <c r="R22" s="12"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19" t="inlineStr">
        <is>
          <t>交通のみ調査</t>
        </is>
      </c>
      <c r="T22" s="12" t="inlineStr">
        <is>
          <t>掲載</t>
        </is>
      </c>
      <c r="U22" s="20" t="inlineStr">
        <is>
          <t>→メモ</t>
        </is>
      </c>
    </row>
    <row r="23">
      <c r="A23" s="12" t="n">
        <v>20</v>
      </c>
      <c r="B23" s="12" t="inlineStr">
        <is>
          <t>田舎館村</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n"/>
      <c r="G23" s="12" t="inlineStr">
        <is>
          <t>不明</t>
        </is>
      </c>
      <c r="H23" s="14" t="n"/>
      <c r="I23" s="14" t="inlineStr">
        <is>
          <t>不明</t>
        </is>
      </c>
      <c r="J23" s="14" t="inlineStr">
        <is>
          <t>未確認</t>
        </is>
      </c>
      <c r="K23" s="12" t="n"/>
      <c r="L23" s="12" t="n"/>
      <c r="M23" s="12" t="inlineStr">
        <is>
          <t>不明</t>
        </is>
      </c>
      <c r="N23" s="14" t="n"/>
      <c r="O23" s="14" t="inlineStr">
        <is>
          <t>不明</t>
        </is>
      </c>
      <c r="P23" s="14" t="inlineStr">
        <is>
          <t>未確認</t>
        </is>
      </c>
      <c r="Q23" s="12" t="n"/>
      <c r="R23" s="12"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19" t="inlineStr">
        <is>
          <t>未調査</t>
        </is>
      </c>
      <c r="T23" s="12" t="inlineStr">
        <is>
          <t>未掲載</t>
        </is>
      </c>
    </row>
    <row r="24">
      <c r="A24" s="12" t="n">
        <v>21</v>
      </c>
      <c r="B24" s="12" t="inlineStr">
        <is>
          <t>板柳町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n"/>
      <c r="G24" s="12" t="inlineStr">
        <is>
          <t>不明</t>
        </is>
      </c>
      <c r="H24" s="14" t="n"/>
      <c r="I24" s="14" t="inlineStr">
        <is>
          <t>不明</t>
        </is>
      </c>
      <c r="J24" s="14" t="inlineStr">
        <is>
          <t>未確認</t>
        </is>
      </c>
      <c r="K24" s="12" t="n"/>
      <c r="L24" s="12" t="n"/>
      <c r="M24" s="12" t="inlineStr">
        <is>
          <t>不明</t>
        </is>
      </c>
      <c r="N24" s="14" t="n"/>
      <c r="O24" s="14" t="inlineStr">
        <is>
          <t>不明</t>
        </is>
      </c>
      <c r="P24" s="14" t="inlineStr">
        <is>
          <t>未確認</t>
        </is>
      </c>
      <c r="Q24" s="12" t="n"/>
      <c r="R24" s="12"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19" t="inlineStr">
        <is>
          <t>未調査</t>
        </is>
      </c>
      <c r="T24" s="12" t="inlineStr">
        <is>
          <t>未掲載</t>
        </is>
      </c>
    </row>
    <row r="25">
      <c r="A25" s="12" t="n">
        <v>22</v>
      </c>
      <c r="B25" s="12" t="inlineStr">
        <is>
          <t>鶴田町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n"/>
      <c r="G25" s="12" t="inlineStr">
        <is>
          <t>不明</t>
        </is>
      </c>
      <c r="H25" s="14" t="n"/>
      <c r="I25" s="14" t="inlineStr">
        <is>
          <t>不明</t>
        </is>
      </c>
      <c r="J25" s="14" t="inlineStr">
        <is>
          <t>未確認</t>
        </is>
      </c>
      <c r="K25" s="12" t="n"/>
      <c r="L25" s="12" t="n"/>
      <c r="M25" s="12" t="inlineStr">
        <is>
          <t>不明</t>
        </is>
      </c>
      <c r="N25" s="14" t="n"/>
      <c r="O25" s="14" t="inlineStr">
        <is>
          <t>不明</t>
        </is>
      </c>
      <c r="P25" s="14" t="inlineStr">
        <is>
          <t>計画なし</t>
        </is>
      </c>
      <c r="Q25" s="12" t="n"/>
      <c r="R25" s="12"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19" t="inlineStr">
        <is>
          <t>環境のみ調査</t>
        </is>
      </c>
      <c r="T25" s="12" t="inlineStr">
        <is>
          <t>未掲載</t>
        </is>
      </c>
    </row>
    <row r="26">
      <c r="A26" s="12" t="n">
        <v>23</v>
      </c>
      <c r="B26" s="12" t="inlineStr">
        <is>
          <t>中泊町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中泊町地域公共交通計画</t>
        </is>
      </c>
      <c r="G26" s="12" t="inlineStr">
        <is>
          <t>R5〜R9</t>
        </is>
      </c>
      <c r="H26" s="14" t="n">
        <v>9</v>
      </c>
      <c r="I26" s="14" t="inlineStr">
        <is>
          <t>確認済</t>
        </is>
      </c>
      <c r="J26" s="14" t="inlineStr">
        <is>
          <t>未確認</t>
        </is>
      </c>
      <c r="K26" s="15" t="inlineStr">
        <is>
          <t>https://www.town.nakadomari.lg.jp/material/files/group/3/koutuukeikakur6.pdf</t>
        </is>
      </c>
      <c r="L26" s="12" t="n"/>
      <c r="M26" s="12" t="inlineStr">
        <is>
          <t>不明</t>
        </is>
      </c>
      <c r="N26" s="14" t="n"/>
      <c r="O26" s="14" t="inlineStr">
        <is>
          <t>不明</t>
        </is>
      </c>
      <c r="P26" s="14" t="inlineStr">
        <is>
          <t>計画なし</t>
        </is>
      </c>
      <c r="Q26" s="12" t="n"/>
      <c r="R26" s="12"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6" t="inlineStr">
        <is>
          <t>調査済</t>
        </is>
      </c>
      <c r="T26" s="12" t="inlineStr">
        <is>
          <t>掲載</t>
        </is>
      </c>
      <c r="U26" s="20" t="inlineStr">
        <is>
          <t>→メモ</t>
        </is>
      </c>
    </row>
    <row r="27">
      <c r="A27" s="12" t="n">
        <v>24</v>
      </c>
      <c r="B27" s="12" t="inlineStr">
        <is>
          <t>野辺地町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n"/>
      <c r="G27" s="12" t="inlineStr">
        <is>
          <t>不明</t>
        </is>
      </c>
      <c r="H27" s="14" t="n"/>
      <c r="I27" s="14" t="inlineStr">
        <is>
          <t>不明</t>
        </is>
      </c>
      <c r="J27" s="14" t="inlineStr">
        <is>
          <t>未確認</t>
        </is>
      </c>
      <c r="K27" s="12" t="n"/>
      <c r="L27" s="12" t="n"/>
      <c r="M27" s="12" t="inlineStr">
        <is>
          <t>不明</t>
        </is>
      </c>
      <c r="N27" s="14" t="n"/>
      <c r="O27" s="14" t="inlineStr">
        <is>
          <t>不明</t>
        </is>
      </c>
      <c r="P27" s="14" t="inlineStr">
        <is>
          <t>未確認</t>
        </is>
      </c>
      <c r="Q27" s="12" t="n"/>
      <c r="R27" s="12"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19" t="inlineStr">
        <is>
          <t>未調査</t>
        </is>
      </c>
      <c r="T27" s="12" t="inlineStr">
        <is>
          <t>未掲載</t>
        </is>
      </c>
    </row>
    <row r="28">
      <c r="A28" s="12" t="n">
        <v>25</v>
      </c>
      <c r="B28" s="12" t="inlineStr">
        <is>
          <t>七戸町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七戸町地域公共交通網形成計画</t>
        </is>
      </c>
      <c r="G28" s="12" t="inlineStr">
        <is>
          <t>不明</t>
        </is>
      </c>
      <c r="H28" s="14" t="n"/>
      <c r="I28" s="14" t="inlineStr">
        <is>
          <t>不明</t>
        </is>
      </c>
      <c r="J28" s="14" t="inlineStr">
        <is>
          <t>未確認</t>
        </is>
      </c>
      <c r="K28" s="15" t="inlineStr">
        <is>
          <t>https://www.town.shichinohe.lg.jp/gyosei/keikaku/kurashi/post-197.html</t>
        </is>
      </c>
      <c r="L28" s="12" t="n"/>
      <c r="M28" s="12" t="inlineStr">
        <is>
          <t>不明</t>
        </is>
      </c>
      <c r="N28" s="14" t="n"/>
      <c r="O28" s="14" t="inlineStr">
        <is>
          <t>不明</t>
        </is>
      </c>
      <c r="P28" s="14" t="inlineStr">
        <is>
          <t>計画なし</t>
        </is>
      </c>
      <c r="Q28" s="12" t="n"/>
      <c r="R28" s="12"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6" t="inlineStr">
        <is>
          <t>調査済</t>
        </is>
      </c>
      <c r="T28" s="18" t="inlineStr">
        <is>
          <t>掲載／期間満了</t>
        </is>
      </c>
    </row>
    <row r="29">
      <c r="A29" s="12" t="n">
        <v>26</v>
      </c>
      <c r="B29" s="12" t="inlineStr">
        <is>
          <t>六戸町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n"/>
      <c r="G29" s="12" t="inlineStr">
        <is>
          <t>不明</t>
        </is>
      </c>
      <c r="H29" s="14" t="n"/>
      <c r="I29" s="14" t="inlineStr">
        <is>
          <t>不明</t>
        </is>
      </c>
      <c r="J29" s="14" t="inlineStr">
        <is>
          <t>着手済</t>
        </is>
      </c>
      <c r="K29" s="12" t="n"/>
      <c r="L29" s="12" t="n"/>
      <c r="M29" s="12" t="inlineStr">
        <is>
          <t>不明</t>
        </is>
      </c>
      <c r="N29" s="14" t="n"/>
      <c r="O29" s="14" t="inlineStr">
        <is>
          <t>不明</t>
        </is>
      </c>
      <c r="P29" s="14" t="inlineStr">
        <is>
          <t>未確認</t>
        </is>
      </c>
      <c r="Q29" s="12" t="n"/>
      <c r="R29" s="12"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19" t="inlineStr">
        <is>
          <t>未調査</t>
        </is>
      </c>
      <c r="T29" s="12" t="inlineStr">
        <is>
          <t>未掲載</t>
        </is>
      </c>
    </row>
    <row r="30">
      <c r="A30" s="12" t="n">
        <v>27</v>
      </c>
      <c r="B30" s="12" t="inlineStr">
        <is>
          <t>横浜町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n"/>
      <c r="G30" s="12" t="inlineStr">
        <is>
          <t>不明</t>
        </is>
      </c>
      <c r="H30" s="14" t="n"/>
      <c r="I30" s="14" t="inlineStr">
        <is>
          <t>不明</t>
        </is>
      </c>
      <c r="J30" s="14" t="inlineStr">
        <is>
          <t>未確認</t>
        </is>
      </c>
      <c r="K30" s="12" t="n"/>
      <c r="L30" s="12" t="n"/>
      <c r="M30" s="12" t="inlineStr">
        <is>
          <t>不明</t>
        </is>
      </c>
      <c r="N30" s="14" t="n"/>
      <c r="O30" s="14" t="inlineStr">
        <is>
          <t>不明</t>
        </is>
      </c>
      <c r="P30" s="14" t="inlineStr">
        <is>
          <t>未確認</t>
        </is>
      </c>
      <c r="Q30" s="12" t="n"/>
      <c r="R30" s="12"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19" t="inlineStr">
        <is>
          <t>未調査</t>
        </is>
      </c>
      <c r="T30" s="12" t="inlineStr">
        <is>
          <t>未掲載</t>
        </is>
      </c>
    </row>
    <row r="31">
      <c r="A31" s="12" t="n">
        <v>28</v>
      </c>
      <c r="B31" s="12" t="inlineStr">
        <is>
          <t>東北町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n"/>
      <c r="G31" s="12" t="inlineStr">
        <is>
          <t>不明</t>
        </is>
      </c>
      <c r="H31" s="14" t="n"/>
      <c r="I31" s="14" t="inlineStr">
        <is>
          <t>不明</t>
        </is>
      </c>
      <c r="J31" s="14" t="inlineStr">
        <is>
          <t>未確認</t>
        </is>
      </c>
      <c r="K31" s="12" t="n"/>
      <c r="L31" s="12" t="n"/>
      <c r="M31" s="12" t="inlineStr">
        <is>
          <t>不明</t>
        </is>
      </c>
      <c r="N31" s="14" t="n"/>
      <c r="O31" s="14" t="inlineStr">
        <is>
          <t>不明</t>
        </is>
      </c>
      <c r="P31" s="14" t="inlineStr">
        <is>
          <t>計画なし</t>
        </is>
      </c>
      <c r="Q31" s="12" t="n"/>
      <c r="R31" s="12"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19" t="inlineStr">
        <is>
          <t>環境のみ調査</t>
        </is>
      </c>
      <c r="T31" s="12" t="inlineStr">
        <is>
          <t>未掲載</t>
        </is>
      </c>
    </row>
    <row r="32">
      <c r="A32" s="12" t="n">
        <v>29</v>
      </c>
      <c r="B32" s="12" t="inlineStr">
        <is>
          <t>六ヶ所村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六ヶ所村地域公共交通計画</t>
        </is>
      </c>
      <c r="G32" s="12" t="inlineStr">
        <is>
          <t>R7〜（終期不明）</t>
        </is>
      </c>
      <c r="H32" s="14" t="n"/>
      <c r="I32" s="14" t="inlineStr">
        <is>
          <t>不明</t>
        </is>
      </c>
      <c r="J32" s="14" t="inlineStr">
        <is>
          <t>策定済</t>
        </is>
      </c>
      <c r="K32" s="15" t="inlineStr">
        <is>
          <t>https://www.rokkasho.jp/index.cfm/14,19918,c,html/19918/20250620-120455.pdf</t>
        </is>
      </c>
      <c r="L32" s="12" t="n"/>
      <c r="M32" s="12" t="inlineStr">
        <is>
          <t>不明</t>
        </is>
      </c>
      <c r="N32" s="14" t="n"/>
      <c r="O32" s="14" t="inlineStr">
        <is>
          <t>不明</t>
        </is>
      </c>
      <c r="P32" s="14" t="inlineStr">
        <is>
          <t>計画なし</t>
        </is>
      </c>
      <c r="Q32" s="12" t="n"/>
      <c r="R32" s="12"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6" t="inlineStr">
        <is>
          <t>調査済</t>
        </is>
      </c>
      <c r="T32" s="12" t="inlineStr">
        <is>
          <t>掲載</t>
        </is>
      </c>
    </row>
    <row r="33">
      <c r="A33" s="12" t="n">
        <v>30</v>
      </c>
      <c r="B33" s="12" t="inlineStr">
        <is>
          <t>おいらせ町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八戸圏域地域公共交通計画（八戸圏域8市町村共同）</t>
        </is>
      </c>
      <c r="G33" s="12" t="inlineStr">
        <is>
          <t>R5〜R10</t>
        </is>
      </c>
      <c r="H33" s="14" t="n">
        <v>10</v>
      </c>
      <c r="I33" s="14" t="inlineStr">
        <is>
          <t>確認済</t>
        </is>
      </c>
      <c r="J33" s="14" t="inlineStr">
        <is>
          <t>未確認</t>
        </is>
      </c>
      <c r="K33" s="15" t="inlineStr">
        <is>
          <t>https://wwwtb.mlit.go.jp/tohoku/content/000181287.pdf</t>
        </is>
      </c>
      <c r="L33" s="12" t="n"/>
      <c r="M33" s="12" t="inlineStr">
        <is>
          <t>不明</t>
        </is>
      </c>
      <c r="N33" s="14" t="n"/>
      <c r="O33" s="14" t="inlineStr">
        <is>
          <t>不明</t>
        </is>
      </c>
      <c r="P33" s="14" t="inlineStr">
        <is>
          <t>未確認</t>
        </is>
      </c>
      <c r="Q33" s="12" t="n"/>
      <c r="R33" s="12"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19" t="inlineStr">
        <is>
          <t>交通のみ調査</t>
        </is>
      </c>
      <c r="T33" s="12" t="inlineStr">
        <is>
          <t>掲載（広域：八戸圏域）</t>
        </is>
      </c>
    </row>
    <row r="34">
      <c r="A34" s="12" t="n">
        <v>31</v>
      </c>
      <c r="B34" s="12" t="inlineStr">
        <is>
          <t>大間町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下北地域公共交通計画（下北地域公共交通総合連携協議会：むつ市・大間町・東通村・風間浦村・佐井村）</t>
        </is>
      </c>
      <c r="G34" s="12" t="inlineStr">
        <is>
          <t>R7〜R11</t>
        </is>
      </c>
      <c r="H34" s="14" t="n">
        <v>11</v>
      </c>
      <c r="I34" s="14" t="inlineStr">
        <is>
          <t>確認済</t>
        </is>
      </c>
      <c r="J34" s="14" t="inlineStr">
        <is>
          <t>策定済</t>
        </is>
      </c>
      <c r="K34" s="15" t="inlineStr">
        <is>
          <t>https://www.city.mutsu.lg.jp/government/katsudou/kyoudou/files/simokitatiikikoukyoukoutuukeikakusoann.pdf</t>
        </is>
      </c>
      <c r="L34" s="12" t="n"/>
      <c r="M34" s="12" t="inlineStr">
        <is>
          <t>不明</t>
        </is>
      </c>
      <c r="N34" s="14" t="n"/>
      <c r="O34" s="14" t="inlineStr">
        <is>
          <t>不明</t>
        </is>
      </c>
      <c r="P34" s="14" t="inlineStr">
        <is>
          <t>未確認</t>
        </is>
      </c>
      <c r="Q34" s="12" t="n"/>
      <c r="R34"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19" t="inlineStr">
        <is>
          <t>交通のみ調査</t>
        </is>
      </c>
      <c r="T34" s="12" t="inlineStr">
        <is>
          <t>掲載（広域：下北地域）</t>
        </is>
      </c>
    </row>
    <row r="35">
      <c r="A35" s="12" t="n">
        <v>32</v>
      </c>
      <c r="B35" s="12" t="inlineStr">
        <is>
          <t>東通村</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下北地域公共交通計画（下北地域公共交通総合連携協議会：むつ市・大間町・東通村・風間浦村・佐井村）</t>
        </is>
      </c>
      <c r="G35" s="12" t="inlineStr">
        <is>
          <t>R7〜R11</t>
        </is>
      </c>
      <c r="H35" s="14" t="n">
        <v>11</v>
      </c>
      <c r="I35" s="14" t="inlineStr">
        <is>
          <t>確認済</t>
        </is>
      </c>
      <c r="J35" s="14" t="inlineStr">
        <is>
          <t>策定済</t>
        </is>
      </c>
      <c r="K35" s="15" t="inlineStr">
        <is>
          <t>https://www.city.mutsu.lg.jp/government/katsudou/kyoudou/files/simokitatiikikoukyoukoutuukeikakusoann.pdf</t>
        </is>
      </c>
      <c r="L35" s="12" t="n"/>
      <c r="M35" s="12" t="inlineStr">
        <is>
          <t>不明</t>
        </is>
      </c>
      <c r="N35" s="14" t="n"/>
      <c r="O35" s="14" t="inlineStr">
        <is>
          <t>不明</t>
        </is>
      </c>
      <c r="P35" s="14" t="inlineStr">
        <is>
          <t>未確認</t>
        </is>
      </c>
      <c r="Q35" s="12" t="n"/>
      <c r="R35" s="12"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19" t="inlineStr">
        <is>
          <t>交通のみ調査</t>
        </is>
      </c>
      <c r="T35" s="12" t="inlineStr">
        <is>
          <t>掲載（広域：下北地域）</t>
        </is>
      </c>
    </row>
    <row r="36">
      <c r="A36" s="12" t="n">
        <v>33</v>
      </c>
      <c r="B36" s="12" t="inlineStr">
        <is>
          <t>風間浦村</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inlineStr">
        <is>
          <t>下北地域公共交通計画（下北地域公共交通総合連携協議会：むつ市・大間町・東通村・風間浦村・佐井村）</t>
        </is>
      </c>
      <c r="G36" s="12" t="inlineStr">
        <is>
          <t>R7〜R11</t>
        </is>
      </c>
      <c r="H36" s="14" t="n">
        <v>11</v>
      </c>
      <c r="I36" s="14" t="inlineStr">
        <is>
          <t>確認済</t>
        </is>
      </c>
      <c r="J36" s="14" t="inlineStr">
        <is>
          <t>策定済</t>
        </is>
      </c>
      <c r="K36" s="15" t="inlineStr">
        <is>
          <t>https://www.city.mutsu.lg.jp/government/katsudou/kyoudou/files/simokitatiikikoukyoukoutuukeikakusoann.pdf</t>
        </is>
      </c>
      <c r="L36" s="12" t="n"/>
      <c r="M36" s="12" t="inlineStr">
        <is>
          <t>不明</t>
        </is>
      </c>
      <c r="N36" s="14" t="n"/>
      <c r="O36" s="14" t="inlineStr">
        <is>
          <t>不明</t>
        </is>
      </c>
      <c r="P36" s="14" t="inlineStr">
        <is>
          <t>未確認</t>
        </is>
      </c>
      <c r="Q36" s="12" t="n"/>
      <c r="R36"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19" t="inlineStr">
        <is>
          <t>交通のみ調査</t>
        </is>
      </c>
      <c r="T36" s="12" t="inlineStr">
        <is>
          <t>掲載（広域：下北地域）</t>
        </is>
      </c>
    </row>
    <row r="37">
      <c r="A37" s="12" t="n">
        <v>34</v>
      </c>
      <c r="B37" s="12" t="inlineStr">
        <is>
          <t>佐井村</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下北地域公共交通計画（下北地域公共交通総合連携協議会：むつ市・大間町・東通村・風間浦村・佐井村）</t>
        </is>
      </c>
      <c r="G37" s="12" t="inlineStr">
        <is>
          <t>R7〜R11</t>
        </is>
      </c>
      <c r="H37" s="14" t="n">
        <v>11</v>
      </c>
      <c r="I37" s="14" t="inlineStr">
        <is>
          <t>確認済</t>
        </is>
      </c>
      <c r="J37" s="14" t="inlineStr">
        <is>
          <t>策定済</t>
        </is>
      </c>
      <c r="K37" s="15" t="inlineStr">
        <is>
          <t>https://www.city.mutsu.lg.jp/government/katsudou/kyoudou/files/simokitatiikikoukyoukoutuukeikakusoann.pdf</t>
        </is>
      </c>
      <c r="L37" s="12" t="n"/>
      <c r="M37" s="12" t="inlineStr">
        <is>
          <t>不明</t>
        </is>
      </c>
      <c r="N37" s="14" t="n"/>
      <c r="O37" s="14" t="inlineStr">
        <is>
          <t>不明</t>
        </is>
      </c>
      <c r="P37" s="14" t="inlineStr">
        <is>
          <t>未確認</t>
        </is>
      </c>
      <c r="Q37" s="12" t="n"/>
      <c r="R37" s="12"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19" t="inlineStr">
        <is>
          <t>交通のみ調査</t>
        </is>
      </c>
      <c r="T37" s="12" t="inlineStr">
        <is>
          <t>掲載（広域：下北地域）</t>
        </is>
      </c>
    </row>
    <row r="38">
      <c r="A38" s="12" t="n">
        <v>35</v>
      </c>
      <c r="B38" s="12" t="inlineStr">
        <is>
          <t>三戸町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八戸圏域地域公共交通計画（八戸圏域8市町村共同）</t>
        </is>
      </c>
      <c r="G38" s="12" t="inlineStr">
        <is>
          <t>R5〜R10</t>
        </is>
      </c>
      <c r="H38" s="14" t="n">
        <v>10</v>
      </c>
      <c r="I38" s="14" t="inlineStr">
        <is>
          <t>確認済</t>
        </is>
      </c>
      <c r="J38" s="14" t="inlineStr">
        <is>
          <t>未確認</t>
        </is>
      </c>
      <c r="K38" s="15" t="inlineStr">
        <is>
          <t>https://wwwtb.mlit.go.jp/tohoku/content/000181287.pdf</t>
        </is>
      </c>
      <c r="L38" s="12" t="n"/>
      <c r="M38" s="12" t="inlineStr">
        <is>
          <t>不明</t>
        </is>
      </c>
      <c r="N38" s="14" t="n"/>
      <c r="O38" s="14" t="inlineStr">
        <is>
          <t>不明</t>
        </is>
      </c>
      <c r="P38" s="14" t="inlineStr">
        <is>
          <t>計画なし</t>
        </is>
      </c>
      <c r="Q38" s="12" t="n"/>
      <c r="R38" s="12"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6" t="inlineStr">
        <is>
          <t>調査済</t>
        </is>
      </c>
      <c r="T38" s="12" t="inlineStr">
        <is>
          <t>掲載（広域：八戸圏域）</t>
        </is>
      </c>
    </row>
    <row r="39">
      <c r="A39" s="12" t="n">
        <v>36</v>
      </c>
      <c r="B39" s="12" t="inlineStr">
        <is>
          <t>五戸町</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八戸圏域地域公共交通計画（八戸圏域8市町村共同）</t>
        </is>
      </c>
      <c r="G39" s="12" t="inlineStr">
        <is>
          <t>R5〜R10</t>
        </is>
      </c>
      <c r="H39" s="14" t="n">
        <v>10</v>
      </c>
      <c r="I39" s="14" t="inlineStr">
        <is>
          <t>確認済</t>
        </is>
      </c>
      <c r="J39" s="14" t="inlineStr">
        <is>
          <t>未確認</t>
        </is>
      </c>
      <c r="K39" s="15" t="inlineStr">
        <is>
          <t>https://wwwtb.mlit.go.jp/tohoku/content/000181287.pdf</t>
        </is>
      </c>
      <c r="L39" s="12" t="n"/>
      <c r="M39" s="12" t="inlineStr">
        <is>
          <t>不明</t>
        </is>
      </c>
      <c r="N39" s="14" t="n"/>
      <c r="O39" s="14" t="inlineStr">
        <is>
          <t>不明</t>
        </is>
      </c>
      <c r="P39" s="14" t="inlineStr">
        <is>
          <t>計画なし</t>
        </is>
      </c>
      <c r="Q39" s="12" t="n"/>
      <c r="R39" s="12"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6" t="inlineStr">
        <is>
          <t>調査済</t>
        </is>
      </c>
      <c r="T39" s="12" t="inlineStr">
        <is>
          <t>掲載（広域：八戸圏域）</t>
        </is>
      </c>
    </row>
    <row r="40">
      <c r="A40" s="12" t="n">
        <v>37</v>
      </c>
      <c r="B40" s="12" t="inlineStr">
        <is>
          <t>田子町</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八戸圏域地域公共交通計画（八戸圏域8市町村共同）</t>
        </is>
      </c>
      <c r="G40" s="12" t="inlineStr">
        <is>
          <t>R5〜R10</t>
        </is>
      </c>
      <c r="H40" s="14" t="n">
        <v>10</v>
      </c>
      <c r="I40" s="14" t="inlineStr">
        <is>
          <t>確認済</t>
        </is>
      </c>
      <c r="J40" s="14" t="inlineStr">
        <is>
          <t>未確認</t>
        </is>
      </c>
      <c r="K40" s="15" t="inlineStr">
        <is>
          <t>https://wwwtb.mlit.go.jp/tohoku/content/000181287.pdf</t>
        </is>
      </c>
      <c r="L40" s="12" t="n"/>
      <c r="M40" s="12" t="inlineStr">
        <is>
          <t>不明</t>
        </is>
      </c>
      <c r="N40" s="14" t="n"/>
      <c r="O40" s="14" t="inlineStr">
        <is>
          <t>不明</t>
        </is>
      </c>
      <c r="P40" s="14" t="inlineStr">
        <is>
          <t>未確認</t>
        </is>
      </c>
      <c r="Q40" s="12" t="n"/>
      <c r="R40" s="12"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19" t="inlineStr">
        <is>
          <t>交通のみ調査</t>
        </is>
      </c>
      <c r="T40" s="12" t="inlineStr">
        <is>
          <t>掲載（広域：八戸圏域）</t>
        </is>
      </c>
    </row>
    <row r="41">
      <c r="A41" s="12" t="n">
        <v>38</v>
      </c>
      <c r="B41" s="12" t="inlineStr">
        <is>
          <t>南部町</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inlineStr">
        <is>
          <t>八戸圏域地域公共交通計画（八戸圏域8市町村共同）</t>
        </is>
      </c>
      <c r="G41" s="12" t="inlineStr">
        <is>
          <t>R5〜R10</t>
        </is>
      </c>
      <c r="H41" s="14" t="n">
        <v>10</v>
      </c>
      <c r="I41" s="14" t="inlineStr">
        <is>
          <t>確認済</t>
        </is>
      </c>
      <c r="J41" s="14" t="inlineStr">
        <is>
          <t>未確認</t>
        </is>
      </c>
      <c r="K41" s="15" t="inlineStr">
        <is>
          <t>https://wwwtb.mlit.go.jp/tohoku/content/000181287.pdf</t>
        </is>
      </c>
      <c r="L41" s="12" t="n"/>
      <c r="M41" s="12" t="inlineStr">
        <is>
          <t>不明</t>
        </is>
      </c>
      <c r="N41" s="14" t="n"/>
      <c r="O41" s="14" t="inlineStr">
        <is>
          <t>不明</t>
        </is>
      </c>
      <c r="P41" s="14" t="inlineStr">
        <is>
          <t>未確認</t>
        </is>
      </c>
      <c r="Q41" s="12" t="n"/>
      <c r="R41" s="12"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19" t="inlineStr">
        <is>
          <t>交通のみ調査</t>
        </is>
      </c>
      <c r="T41" s="12" t="inlineStr">
        <is>
          <t>掲載（広域：八戸圏域）</t>
        </is>
      </c>
    </row>
    <row r="42">
      <c r="A42" s="12" t="n">
        <v>39</v>
      </c>
      <c r="B42" s="12" t="inlineStr">
        <is>
          <t>階上町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八戸圏域地域公共交通計画（八戸圏域8市町村共同）</t>
        </is>
      </c>
      <c r="G42" s="12" t="inlineStr">
        <is>
          <t>R5〜R10</t>
        </is>
      </c>
      <c r="H42" s="14" t="n">
        <v>10</v>
      </c>
      <c r="I42" s="14" t="inlineStr">
        <is>
          <t>確認済</t>
        </is>
      </c>
      <c r="J42" s="14" t="inlineStr">
        <is>
          <t>未確認</t>
        </is>
      </c>
      <c r="K42" s="15" t="inlineStr">
        <is>
          <t>https://wwwtb.mlit.go.jp/tohoku/content/000181287.pdf</t>
        </is>
      </c>
      <c r="L42" s="12" t="n"/>
      <c r="M42" s="12" t="inlineStr">
        <is>
          <t>不明</t>
        </is>
      </c>
      <c r="N42" s="14" t="n"/>
      <c r="O42" s="14" t="inlineStr">
        <is>
          <t>不明</t>
        </is>
      </c>
      <c r="P42" s="14" t="inlineStr">
        <is>
          <t>未確認</t>
        </is>
      </c>
      <c r="Q42" s="12" t="n"/>
      <c r="R42" s="12"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19" t="inlineStr">
        <is>
          <t>交通のみ調査</t>
        </is>
      </c>
      <c r="T42" s="12" t="inlineStr">
        <is>
          <t>掲載（広域：八戸圏域）</t>
        </is>
      </c>
    </row>
    <row r="43">
      <c r="A43" s="12" t="n">
        <v>40</v>
      </c>
      <c r="B43" s="12" t="inlineStr">
        <is>
          <t>新郷村</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inlineStr">
        <is>
          <t>八戸圏域地域公共交通計画（八戸圏域8市町村共同）</t>
        </is>
      </c>
      <c r="G43" s="12" t="inlineStr">
        <is>
          <t>R5〜R10</t>
        </is>
      </c>
      <c r="H43" s="14" t="n">
        <v>10</v>
      </c>
      <c r="I43" s="14" t="inlineStr">
        <is>
          <t>確認済</t>
        </is>
      </c>
      <c r="J43" s="14" t="inlineStr">
        <is>
          <t>未確認</t>
        </is>
      </c>
      <c r="K43" s="15" t="inlineStr">
        <is>
          <t>https://wwwtb.mlit.go.jp/tohoku/content/000181287.pdf</t>
        </is>
      </c>
      <c r="L43" s="12" t="n"/>
      <c r="M43" s="12" t="inlineStr">
        <is>
          <t>不明</t>
        </is>
      </c>
      <c r="N43" s="14" t="n"/>
      <c r="O43" s="14" t="inlineStr">
        <is>
          <t>不明</t>
        </is>
      </c>
      <c r="P43" s="14" t="inlineStr">
        <is>
          <t>計画なし</t>
        </is>
      </c>
      <c r="Q43" s="12" t="n"/>
      <c r="R43" s="12"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6" t="inlineStr">
        <is>
          <t>調査済</t>
        </is>
      </c>
      <c r="T43" s="12"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ref="U9" location="'営業メモ'!C5" display="→メモ"/>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ref="U15" location="'営業メモ'!C6" display="→メモ"/>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ref="U22" location="'営業メモ'!C7" display="→メモ"/>
    <hyperlink xmlns:r="http://schemas.openxmlformats.org/officeDocument/2006/relationships" ref="K26" r:id="rId23"/>
    <hyperlink ref="U26" location="'営業メモ'!C8" display="→メモ"/>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岩手県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盛岡市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盛岡都市圏地域公共交通計画（盛岡市・滝沢市・矢巾町共同）</t>
        </is>
      </c>
      <c r="G4" s="12" t="inlineStr">
        <is>
          <t>R8〜R12</t>
        </is>
      </c>
      <c r="H4" s="14" t="n">
        <v>12</v>
      </c>
      <c r="I4" s="14" t="inlineStr">
        <is>
          <t>確認済</t>
        </is>
      </c>
      <c r="J4" s="14" t="inlineStr">
        <is>
          <t>策定済</t>
        </is>
      </c>
      <c r="K4" s="15" t="inlineStr">
        <is>
          <t>https://www.city.morioka.iwate.jp/_res/projects/default_project/_page_/001/043/162/R7honpen.pdf</t>
        </is>
      </c>
      <c r="L4" s="12" t="inlineStr">
        <is>
          <t>盛岡市環境基本計画（第三次）</t>
        </is>
      </c>
      <c r="M4" s="12" t="inlineStr">
        <is>
          <t>R3〜R12</t>
        </is>
      </c>
      <c r="N4" s="14" t="n">
        <v>12</v>
      </c>
      <c r="O4" s="14" t="inlineStr">
        <is>
          <t>確認済</t>
        </is>
      </c>
      <c r="P4" s="14" t="inlineStr">
        <is>
          <t>未確認</t>
        </is>
      </c>
      <c r="Q4" s="15" t="inlineStr">
        <is>
          <t>https://www.city.morioka.iwate.jp/_res/projects/default_project/_page_/001/010/054/kihonntekizikou.pdf</t>
        </is>
      </c>
      <c r="R4" s="12" t="inlineStr">
        <is>
          <t>交通：3市町共同の都市圏計画をR7.9.30公表（R8〜R12）。環境：R3〜R12の10年計画、改定作業は未確認。</t>
        </is>
      </c>
      <c r="S4" s="16" t="inlineStr">
        <is>
          <t>調査済</t>
        </is>
      </c>
      <c r="T4" s="12" t="inlineStr">
        <is>
          <t>掲載（広域：盛岡市・滝沢市・矢巾町）</t>
        </is>
      </c>
    </row>
    <row r="5">
      <c r="A5" s="12" t="n">
        <v>2</v>
      </c>
      <c r="B5" s="12" t="inlineStr">
        <is>
          <t>宮古市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宮古市地域公共交通計画</t>
        </is>
      </c>
      <c r="G5" s="12" t="inlineStr">
        <is>
          <t>R5〜R11</t>
        </is>
      </c>
      <c r="H5" s="14" t="n">
        <v>11</v>
      </c>
      <c r="I5" s="14" t="inlineStr">
        <is>
          <t>確認済</t>
        </is>
      </c>
      <c r="J5" s="14" t="inlineStr">
        <is>
          <t>未確認</t>
        </is>
      </c>
      <c r="K5" s="15" t="inlineStr">
        <is>
          <t>https://www.city.miyako.iwate.jp/material/files/group/8/miyakositiikikoukyoukoutuukeikaku.pdf</t>
        </is>
      </c>
      <c r="L5" s="12" t="inlineStr">
        <is>
          <t>宮古市環境基本計画（R7.3策定）</t>
        </is>
      </c>
      <c r="M5" s="12" t="inlineStr">
        <is>
          <t>R7〜R12</t>
        </is>
      </c>
      <c r="N5" s="14" t="n">
        <v>12</v>
      </c>
      <c r="O5" s="14" t="inlineStr">
        <is>
          <t>確認済</t>
        </is>
      </c>
      <c r="P5" s="14" t="inlineStr">
        <is>
          <t>策定済</t>
        </is>
      </c>
      <c r="Q5" s="15" t="inlineStr">
        <is>
          <t>https://www.city.miyako.iwate.jp/material/files/group/14/kihonkeikaku.pdf</t>
        </is>
      </c>
      <c r="R5" s="12"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6" t="inlineStr">
        <is>
          <t>調査済</t>
        </is>
      </c>
      <c r="T5" s="12" t="inlineStr">
        <is>
          <t>掲載（広域：三陸鉄道沿線地域等）</t>
        </is>
      </c>
    </row>
    <row r="6">
      <c r="A6" s="12" t="n">
        <v>3</v>
      </c>
      <c r="B6" s="12" t="inlineStr">
        <is>
          <t>大船渡市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大船渡市地域公共交通計画</t>
        </is>
      </c>
      <c r="G6" s="12" t="inlineStr">
        <is>
          <t>R8〜R12</t>
        </is>
      </c>
      <c r="H6" s="14" t="n">
        <v>12</v>
      </c>
      <c r="I6" s="14" t="inlineStr">
        <is>
          <t>確認済</t>
        </is>
      </c>
      <c r="J6" s="14" t="inlineStr">
        <is>
          <t>策定済</t>
        </is>
      </c>
      <c r="K6" s="15" t="inlineStr">
        <is>
          <t>https://www.city.ofunato.iwate.jp/archive/contents-5125</t>
        </is>
      </c>
      <c r="L6" s="12" t="inlineStr">
        <is>
          <t>第3次大船渡市環境基本計画</t>
        </is>
      </c>
      <c r="M6" s="12" t="inlineStr">
        <is>
          <t>R5〜R14</t>
        </is>
      </c>
      <c r="N6" s="14" t="n">
        <v>14</v>
      </c>
      <c r="O6" s="14" t="inlineStr">
        <is>
          <t>確認済</t>
        </is>
      </c>
      <c r="P6" s="14" t="inlineStr">
        <is>
          <t>未確認</t>
        </is>
      </c>
      <c r="Q6" s="15" t="inlineStr">
        <is>
          <t>https://www.city.ofunato.iwate.jp/site/kankyokeikaku/</t>
        </is>
      </c>
      <c r="R6" s="12"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6" t="inlineStr">
        <is>
          <t>調査済</t>
        </is>
      </c>
      <c r="T6" s="12" t="inlineStr">
        <is>
          <t>掲載（広域：三陸鉄道沿線地域等）</t>
        </is>
      </c>
    </row>
    <row r="7">
      <c r="A7" s="12" t="n">
        <v>4</v>
      </c>
      <c r="B7" s="12" t="inlineStr">
        <is>
          <t>花巻市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花巻市地域公共交通計画</t>
        </is>
      </c>
      <c r="G7" s="12" t="inlineStr">
        <is>
          <t>R6〜R10</t>
        </is>
      </c>
      <c r="H7" s="14" t="n">
        <v>10</v>
      </c>
      <c r="I7" s="14" t="inlineStr">
        <is>
          <t>確認済</t>
        </is>
      </c>
      <c r="J7" s="14" t="inlineStr">
        <is>
          <t>未確認</t>
        </is>
      </c>
      <c r="K7" s="15" t="inlineStr">
        <is>
          <t>https://www.city.hanamaki.iwate.jp/_res/projects/default_project/_page_/001/021/245/keikaku.pdf</t>
        </is>
      </c>
      <c r="L7" s="12" t="inlineStr">
        <is>
          <t>第3次花巻市環境基本計画</t>
        </is>
      </c>
      <c r="M7" s="12" t="inlineStr">
        <is>
          <t>R6〜R13</t>
        </is>
      </c>
      <c r="N7" s="14" t="n">
        <v>13</v>
      </c>
      <c r="O7" s="14" t="inlineStr">
        <is>
          <t>確認済</t>
        </is>
      </c>
      <c r="P7" s="14" t="inlineStr">
        <is>
          <t>未確認</t>
        </is>
      </c>
      <c r="Q7" s="15" t="inlineStr">
        <is>
          <t>https://www.city.hanamaki.iwate.jp/shisei/shisei/keikaku/1002782.html</t>
        </is>
      </c>
      <c r="R7" s="12" t="inlineStr">
        <is>
          <t>交通：R6.3策定、R6〜R10の5年。環境：第2次（H28.3〜R6.3満了）の後継としてR6.3に第3次策定（R6〜R13の8年）、区域施策編を別冊で同時策定。</t>
        </is>
      </c>
      <c r="S7" s="16" t="inlineStr">
        <is>
          <t>調査済</t>
        </is>
      </c>
      <c r="T7" s="12" t="inlineStr">
        <is>
          <t>掲載</t>
        </is>
      </c>
    </row>
    <row r="8">
      <c r="A8" s="12" t="n">
        <v>5</v>
      </c>
      <c r="B8" s="12" t="inlineStr">
        <is>
          <t>北上市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北上市地域公共交通計画2026-2030</t>
        </is>
      </c>
      <c r="G8" s="12" t="inlineStr">
        <is>
          <t>R8〜R12</t>
        </is>
      </c>
      <c r="H8" s="14" t="n">
        <v>12</v>
      </c>
      <c r="I8" s="14" t="inlineStr">
        <is>
          <t>確認済</t>
        </is>
      </c>
      <c r="J8" s="14" t="inlineStr">
        <is>
          <t>策定済</t>
        </is>
      </c>
      <c r="K8" s="15" t="inlineStr">
        <is>
          <t>https://www.city.kitakami.iwate.jp/life/soshikikarasagasu/toshisaiseisuishin/koutsuuseisaku/1_1/21919.html</t>
        </is>
      </c>
      <c r="L8" s="12" t="inlineStr">
        <is>
          <t>北上市環境基本計画（第三次、R8.3改定）</t>
        </is>
      </c>
      <c r="M8" s="12" t="inlineStr">
        <is>
          <t>R3〜R12</t>
        </is>
      </c>
      <c r="N8" s="14" t="n">
        <v>12</v>
      </c>
      <c r="O8" s="14" t="inlineStr">
        <is>
          <t>確認済</t>
        </is>
      </c>
      <c r="P8" s="14" t="inlineStr">
        <is>
          <t>未確認</t>
        </is>
      </c>
      <c r="Q8" s="15" t="inlineStr">
        <is>
          <t>https://www.city.kitakami.iwate.jp/material/files/group/14/kankyokeikaku_0803.pdf</t>
        </is>
      </c>
      <c r="R8" s="12" t="inlineStr">
        <is>
          <t>交通：R8〜R12の新計画を策定（案 R8.3.13会議資料 https://www.city.kitakami.iwate.jp/material/files/group/56/260313_siryou.pdf ）。環境：第三次R3〜R12、R8.3中間改定（区域施策編も改定）。</t>
        </is>
      </c>
      <c r="S8" s="16" t="inlineStr">
        <is>
          <t>調査済</t>
        </is>
      </c>
      <c r="T8" s="12" t="inlineStr">
        <is>
          <t>掲載</t>
        </is>
      </c>
    </row>
    <row r="9">
      <c r="A9" s="12" t="n">
        <v>6</v>
      </c>
      <c r="B9" s="12" t="inlineStr">
        <is>
          <t>久慈市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久慈市地域公共交通計画（R6.3策定）</t>
        </is>
      </c>
      <c r="G9" s="12" t="inlineStr">
        <is>
          <t>H30〜R9</t>
        </is>
      </c>
      <c r="H9" s="17" t="n">
        <v>9</v>
      </c>
      <c r="I9" s="14" t="inlineStr">
        <is>
          <t>推定</t>
        </is>
      </c>
      <c r="J9" s="14" t="inlineStr">
        <is>
          <t>未確認</t>
        </is>
      </c>
      <c r="K9" s="15" t="inlineStr">
        <is>
          <t>https://www.city.kuji.lg.jp/material/files/group/19/keikaku.pdf</t>
        </is>
      </c>
      <c r="L9" s="12" t="inlineStr">
        <is>
          <t>第2次久慈市環境基本計画</t>
        </is>
      </c>
      <c r="M9" s="12" t="inlineStr">
        <is>
          <t>H30〜R9</t>
        </is>
      </c>
      <c r="N9" s="14" t="n">
        <v>9</v>
      </c>
      <c r="O9" s="14" t="inlineStr">
        <is>
          <t>確認済</t>
        </is>
      </c>
      <c r="P9" s="14" t="inlineStr">
        <is>
          <t>未確認</t>
        </is>
      </c>
      <c r="Q9" s="15" t="inlineStr">
        <is>
          <t>https://www.city.kuji.lg.jp/material/files/group/19/2021_kuji_kankyou_1.pdf</t>
        </is>
      </c>
      <c r="R9" s="12"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6" t="inlineStr">
        <is>
          <t>調査済</t>
        </is>
      </c>
      <c r="T9" s="12" t="inlineStr">
        <is>
          <t>掲載（広域：三陸鉄道沿線地域等）</t>
        </is>
      </c>
      <c r="U9" s="20" t="inlineStr">
        <is>
          <t>→メモ</t>
        </is>
      </c>
    </row>
    <row r="10">
      <c r="A10" s="12" t="n">
        <v>7</v>
      </c>
      <c r="B10" s="12" t="inlineStr">
        <is>
          <t>遠野市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遠野市地域公共交通計画</t>
        </is>
      </c>
      <c r="G10" s="12" t="inlineStr">
        <is>
          <t>R7〜R12</t>
        </is>
      </c>
      <c r="H10" s="14" t="n">
        <v>12</v>
      </c>
      <c r="I10" s="14" t="inlineStr">
        <is>
          <t>確認済</t>
        </is>
      </c>
      <c r="J10" s="14" t="inlineStr">
        <is>
          <t>策定済</t>
        </is>
      </c>
      <c r="K10" s="15" t="inlineStr">
        <is>
          <t>https://www.city.tono.iwate.jp/index.cfm/50,13281,311,html</t>
        </is>
      </c>
      <c r="L10" s="12" t="inlineStr">
        <is>
          <t>第5次遠野市環境基本計画</t>
        </is>
      </c>
      <c r="M10" s="12" t="inlineStr">
        <is>
          <t>R8〜R12</t>
        </is>
      </c>
      <c r="N10" s="14" t="n">
        <v>12</v>
      </c>
      <c r="O10" s="14" t="inlineStr">
        <is>
          <t>確認済</t>
        </is>
      </c>
      <c r="P10" s="14" t="inlineStr">
        <is>
          <t>策定済</t>
        </is>
      </c>
      <c r="Q10" s="15" t="inlineStr">
        <is>
          <t>https://www.city.tono.iwate.jp/index.cfm/45,34797,247,html</t>
        </is>
      </c>
      <c r="R10" s="12"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6" t="inlineStr">
        <is>
          <t>調査済</t>
        </is>
      </c>
      <c r="T10" s="12" t="inlineStr">
        <is>
          <t>掲載</t>
        </is>
      </c>
    </row>
    <row r="11">
      <c r="A11" s="12" t="n">
        <v>8</v>
      </c>
      <c r="B11" s="12" t="inlineStr">
        <is>
          <t>一関市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一関市地域公共交通計画</t>
        </is>
      </c>
      <c r="G11" s="12" t="inlineStr">
        <is>
          <t>R6〜R10</t>
        </is>
      </c>
      <c r="H11" s="14" t="n">
        <v>10</v>
      </c>
      <c r="I11" s="14" t="inlineStr">
        <is>
          <t>確認済</t>
        </is>
      </c>
      <c r="J11" s="14" t="inlineStr">
        <is>
          <t>未確認</t>
        </is>
      </c>
      <c r="K11" s="15" t="inlineStr">
        <is>
          <t>https://www.city.ichinoseki.iwate.jp/index.cfm/7,166695,c,html/166695/20240410-160623.pdf</t>
        </is>
      </c>
      <c r="L11" s="12" t="inlineStr">
        <is>
          <t>一関市環境基本計画（R3.3改定）</t>
        </is>
      </c>
      <c r="M11" s="12" t="inlineStr">
        <is>
          <t>H29〜R8</t>
        </is>
      </c>
      <c r="N11" s="14" t="n">
        <v>8</v>
      </c>
      <c r="O11" s="14" t="inlineStr">
        <is>
          <t>確認済</t>
        </is>
      </c>
      <c r="P11" s="14" t="inlineStr">
        <is>
          <t>未確認</t>
        </is>
      </c>
      <c r="Q11" s="15" t="inlineStr">
        <is>
          <t>https://www.city.ichinoseki.iwate.jp/index.cfm/7,90284,125,html</t>
        </is>
      </c>
      <c r="R11" s="12" t="inlineStr">
        <is>
          <t>交通：R6〜R10、一部改訂あり https://www.city.ichinoseki.iwate.jp/index.cfm/7,175828,125,html 。環境：H29〜R8の10年計画でR8年度終期。次期計画の策定作業（委託・パブコメ）は検索で確認できず。要注視。</t>
        </is>
      </c>
      <c r="S11" s="16" t="inlineStr">
        <is>
          <t>調査済</t>
        </is>
      </c>
      <c r="T11" s="12" t="inlineStr">
        <is>
          <t>掲載</t>
        </is>
      </c>
    </row>
    <row r="12">
      <c r="A12" s="12" t="n">
        <v>9</v>
      </c>
      <c r="B12" s="12" t="inlineStr">
        <is>
          <t>陸前高田市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陸前高田市地域公共交通計画</t>
        </is>
      </c>
      <c r="G12" s="12" t="inlineStr">
        <is>
          <t>R6〜R10</t>
        </is>
      </c>
      <c r="H12" s="14" t="n">
        <v>10</v>
      </c>
      <c r="I12" s="14" t="inlineStr">
        <is>
          <t>確認済</t>
        </is>
      </c>
      <c r="J12" s="14" t="inlineStr">
        <is>
          <t>未確認</t>
        </is>
      </c>
      <c r="K12" s="15" t="inlineStr">
        <is>
          <t>https://www.city.rikuzentakata.iwate.jp/material/files/group/19/20231124_4-2.pdf</t>
        </is>
      </c>
      <c r="L12" s="12" t="n"/>
      <c r="M12" s="12" t="inlineStr">
        <is>
          <t>不明</t>
        </is>
      </c>
      <c r="N12" s="14" t="n"/>
      <c r="O12" s="14" t="inlineStr">
        <is>
          <t>不明</t>
        </is>
      </c>
      <c r="P12" s="14" t="inlineStr">
        <is>
          <t>計画なし</t>
        </is>
      </c>
      <c r="Q12" s="12" t="n"/>
      <c r="R12" s="12" t="inlineStr">
        <is>
          <t>交通：2024〜2028年度の5年。計画ページ https://www.city.rikuzentakata.iwate.jp/soshiki/machizukurisuishinka/seikatsukankyokakari/3/8100.html 。環境：環境基本計画は検索で確認できず（まちづくり総合計画・SDGs未来都市計画で代替か）。</t>
        </is>
      </c>
      <c r="S12" s="16" t="inlineStr">
        <is>
          <t>調査済</t>
        </is>
      </c>
      <c r="T12" s="12" t="inlineStr">
        <is>
          <t>掲載（広域：三陸鉄道沿線地域等）</t>
        </is>
      </c>
    </row>
    <row r="13">
      <c r="A13" s="12" t="n">
        <v>10</v>
      </c>
      <c r="B13" s="12" t="inlineStr">
        <is>
          <t>釜石市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釜石市地域公共交通計画（R6.1一部改訂）</t>
        </is>
      </c>
      <c r="G13" s="12" t="inlineStr">
        <is>
          <t>R3〜R7</t>
        </is>
      </c>
      <c r="H13" s="14" t="n">
        <v>7</v>
      </c>
      <c r="I13" s="14" t="inlineStr">
        <is>
          <t>確認済</t>
        </is>
      </c>
      <c r="J13" s="14" t="inlineStr">
        <is>
          <t>未確認</t>
        </is>
      </c>
      <c r="K13" s="15" t="inlineStr">
        <is>
          <t>https://www.city.kamaishi.iwate.jp/docs/2021040500020/file_contents/001.pdf</t>
        </is>
      </c>
      <c r="L13" s="12" t="inlineStr">
        <is>
          <t>第二次釜石市環境基本計画</t>
        </is>
      </c>
      <c r="M13" s="12" t="inlineStr">
        <is>
          <t>R5〜R12</t>
        </is>
      </c>
      <c r="N13" s="14" t="n">
        <v>12</v>
      </c>
      <c r="O13" s="14" t="inlineStr">
        <is>
          <t>確認済</t>
        </is>
      </c>
      <c r="P13" s="14" t="inlineStr">
        <is>
          <t>未確認</t>
        </is>
      </c>
      <c r="Q13" s="15" t="inlineStr">
        <is>
          <t>https://www.city.kamaishi.iwate.jp/docs/2023110200014/</t>
        </is>
      </c>
      <c r="R13" s="12" t="inlineStr">
        <is>
          <t>交通：R3〜R7で終期経過。R8.2施政方針でも現計画に基づく取組を記載、次期計画の策定・延長は検索で確認できず。環境：2023〜2030の8年、中間見直し予定。</t>
        </is>
      </c>
      <c r="S13" s="16" t="inlineStr">
        <is>
          <t>調査済</t>
        </is>
      </c>
      <c r="T13" s="12" t="inlineStr">
        <is>
          <t>掲載（広域：三陸鉄道沿線地域等）</t>
        </is>
      </c>
    </row>
    <row r="14">
      <c r="A14" s="12" t="n">
        <v>11</v>
      </c>
      <c r="B14" s="12" t="inlineStr">
        <is>
          <t>二戸市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二戸市地域公共交通計画</t>
        </is>
      </c>
      <c r="G14" s="12" t="inlineStr">
        <is>
          <t>不明</t>
        </is>
      </c>
      <c r="H14" s="14" t="n"/>
      <c r="I14" s="14" t="inlineStr">
        <is>
          <t>不明</t>
        </is>
      </c>
      <c r="J14" s="14" t="inlineStr">
        <is>
          <t>未確認</t>
        </is>
      </c>
      <c r="K14" s="15" t="inlineStr">
        <is>
          <t>https://www.city.ninohe.lg.jp/info/2661</t>
        </is>
      </c>
      <c r="L14" s="12" t="n"/>
      <c r="M14" s="12" t="inlineStr">
        <is>
          <t>不明</t>
        </is>
      </c>
      <c r="N14" s="14" t="n"/>
      <c r="O14" s="14" t="inlineStr">
        <is>
          <t>不明</t>
        </is>
      </c>
      <c r="P14" s="14" t="inlineStr">
        <is>
          <t>計画なし</t>
        </is>
      </c>
      <c r="Q14" s="12" t="n"/>
      <c r="R14" s="12" t="inlineStr">
        <is>
          <t>交通：計画ページ（2021.6.30掲載）あり、期間は検索結果で確認できず（R3策定なら5年でR7終期の可能性）。環境：環境基本計画は検索で確認できず。</t>
        </is>
      </c>
      <c r="S14" s="16" t="inlineStr">
        <is>
          <t>調査済</t>
        </is>
      </c>
      <c r="T14" s="12" t="inlineStr">
        <is>
          <t>掲載</t>
        </is>
      </c>
    </row>
    <row r="15">
      <c r="A15" s="12" t="n">
        <v>12</v>
      </c>
      <c r="B15" s="12" t="inlineStr">
        <is>
          <t>八幡平市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八幡平市地域公共交通計画</t>
        </is>
      </c>
      <c r="G15" s="12" t="inlineStr">
        <is>
          <t>R6〜R12</t>
        </is>
      </c>
      <c r="H15" s="14" t="n">
        <v>12</v>
      </c>
      <c r="I15" s="14" t="inlineStr">
        <is>
          <t>確認済</t>
        </is>
      </c>
      <c r="J15" s="14" t="inlineStr">
        <is>
          <t>未確認</t>
        </is>
      </c>
      <c r="K15" s="15" t="inlineStr">
        <is>
          <t>https://www.city.hachimantai.lg.jp/soshiki/machi/1517.html</t>
        </is>
      </c>
      <c r="L15" s="12" t="inlineStr">
        <is>
          <t>第2次八幡平市環境基本計画</t>
        </is>
      </c>
      <c r="M15" s="12" t="inlineStr">
        <is>
          <t>R4〜R13</t>
        </is>
      </c>
      <c r="N15" s="14" t="n">
        <v>13</v>
      </c>
      <c r="O15" s="14" t="inlineStr">
        <is>
          <t>確認済</t>
        </is>
      </c>
      <c r="P15" s="14" t="inlineStr">
        <is>
          <t>未確認</t>
        </is>
      </c>
      <c r="Q15" s="15" t="inlineStr">
        <is>
          <t>https://www.city.hachimantai.lg.jp/uploaded/attachment/13185.pdf</t>
        </is>
      </c>
      <c r="R15" s="12" t="inlineStr">
        <is>
          <t>交通：2024年3月策定、R6〜R12の7年。環境：R4.7策定、R4〜R13、区域施策編を内包。e_urlは案段階PDF。</t>
        </is>
      </c>
      <c r="S15" s="16" t="inlineStr">
        <is>
          <t>調査済</t>
        </is>
      </c>
      <c r="T15" s="12" t="inlineStr">
        <is>
          <t>掲載</t>
        </is>
      </c>
    </row>
    <row r="16">
      <c r="A16" s="12" t="n">
        <v>13</v>
      </c>
      <c r="B16" s="12" t="inlineStr">
        <is>
          <t>奥州市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奥州市地域公共交通計画（第4次奥州市バス交通計画）</t>
        </is>
      </c>
      <c r="G16" s="12" t="inlineStr">
        <is>
          <t>R6〜R10</t>
        </is>
      </c>
      <c r="H16" s="14" t="n">
        <v>10</v>
      </c>
      <c r="I16" s="14" t="inlineStr">
        <is>
          <t>確認済</t>
        </is>
      </c>
      <c r="J16" s="14" t="inlineStr">
        <is>
          <t>未確認</t>
        </is>
      </c>
      <c r="K16" s="15" t="inlineStr">
        <is>
          <t>https://www.city.oshu.iwate.jp/soshiki/2/1004/12523.html</t>
        </is>
      </c>
      <c r="L16" s="12" t="inlineStr">
        <is>
          <t>第2次奥州市環境基本計画（R4.3改定）</t>
        </is>
      </c>
      <c r="M16" s="12" t="inlineStr">
        <is>
          <t>H29〜R8</t>
        </is>
      </c>
      <c r="N16" s="14" t="n">
        <v>8</v>
      </c>
      <c r="O16" s="14" t="inlineStr">
        <is>
          <t>確認済</t>
        </is>
      </c>
      <c r="P16" s="14" t="inlineStr">
        <is>
          <t>着手済</t>
        </is>
      </c>
      <c r="Q16" s="15" t="inlineStr">
        <is>
          <t>https://www.city.oshu.iwate.jp/material/files/group/183/dai2jikankyoukihonnkeikaku_GX.pdf</t>
        </is>
      </c>
      <c r="R16" s="12"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6" t="inlineStr">
        <is>
          <t>調査済</t>
        </is>
      </c>
      <c r="T16" s="12" t="inlineStr">
        <is>
          <t>掲載</t>
        </is>
      </c>
    </row>
    <row r="17">
      <c r="A17" s="12" t="n">
        <v>14</v>
      </c>
      <c r="B17" s="12" t="inlineStr">
        <is>
          <t>滝沢市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盛岡都市圏地域公共交通計画（盛岡市・滝沢市・矢巾町共同）</t>
        </is>
      </c>
      <c r="G17" s="12" t="inlineStr">
        <is>
          <t>R8〜R12</t>
        </is>
      </c>
      <c r="H17" s="14" t="n">
        <v>12</v>
      </c>
      <c r="I17" s="14" t="inlineStr">
        <is>
          <t>確認済</t>
        </is>
      </c>
      <c r="J17" s="14" t="inlineStr">
        <is>
          <t>策定済</t>
        </is>
      </c>
      <c r="K17" s="15" t="inlineStr">
        <is>
          <t>https://www.city.morioka.iwate.jp/_res/projects/default_project/_page_/001/043/162/R7honpen.pdf</t>
        </is>
      </c>
      <c r="L17" s="12" t="inlineStr">
        <is>
          <t>第1次滝沢市環境基本計画</t>
        </is>
      </c>
      <c r="M17" s="12" t="inlineStr">
        <is>
          <t>R5〜R12</t>
        </is>
      </c>
      <c r="N17" s="14" t="n">
        <v>12</v>
      </c>
      <c r="O17" s="14" t="inlineStr">
        <is>
          <t>確認済</t>
        </is>
      </c>
      <c r="P17" s="14" t="inlineStr">
        <is>
          <t>未確認</t>
        </is>
      </c>
      <c r="Q17" s="15" t="inlineStr">
        <is>
          <t>https://www.city.takizawa.iwate.jp/kurashi/kankyo/contents-12768/p20241204162009</t>
        </is>
      </c>
      <c r="R17" s="12"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6" t="inlineStr">
        <is>
          <t>調査済</t>
        </is>
      </c>
      <c r="T17" s="12" t="inlineStr">
        <is>
          <t>掲載（広域：盛岡市・滝沢市・矢巾町）</t>
        </is>
      </c>
    </row>
    <row r="18">
      <c r="A18" s="12" t="n">
        <v>15</v>
      </c>
      <c r="B18" s="12" t="inlineStr">
        <is>
          <t>雫石町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第2次雫石町地域公共交通計画</t>
        </is>
      </c>
      <c r="G18" s="12" t="inlineStr">
        <is>
          <t>R7〜R11</t>
        </is>
      </c>
      <c r="H18" s="14" t="n">
        <v>11</v>
      </c>
      <c r="I18" s="14" t="inlineStr">
        <is>
          <t>確認済</t>
        </is>
      </c>
      <c r="J18" s="14" t="inlineStr">
        <is>
          <t>策定済</t>
        </is>
      </c>
      <c r="K18" s="15" t="inlineStr">
        <is>
          <t>https://www.town.shizukuishi.iwate.jp/docs/2021101200012/file_contents/honpen.pdf</t>
        </is>
      </c>
      <c r="L18" s="12" t="inlineStr">
        <is>
          <t>第二期雫石町環境基本計画</t>
        </is>
      </c>
      <c r="M18" s="12" t="inlineStr">
        <is>
          <t>R3〜R10</t>
        </is>
      </c>
      <c r="N18" s="14" t="n">
        <v>10</v>
      </c>
      <c r="O18" s="14" t="inlineStr">
        <is>
          <t>確認済</t>
        </is>
      </c>
      <c r="P18" s="14" t="inlineStr">
        <is>
          <t>未確認</t>
        </is>
      </c>
      <c r="Q18" s="15" t="inlineStr">
        <is>
          <t>https://www.town.shizukuishi.iwate.jp/docs/2016050600013/file_contents/kankyoukihonkeikaku.pdf</t>
        </is>
      </c>
      <c r="R18" s="12"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6" t="inlineStr">
        <is>
          <t>調査済</t>
        </is>
      </c>
      <c r="T18" s="12" t="inlineStr">
        <is>
          <t>掲載</t>
        </is>
      </c>
    </row>
    <row r="19">
      <c r="A19" s="12" t="n">
        <v>16</v>
      </c>
      <c r="B19" s="12" t="inlineStr">
        <is>
          <t>葛巻町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n"/>
      <c r="G19" s="12" t="inlineStr">
        <is>
          <t>不明</t>
        </is>
      </c>
      <c r="H19" s="14" t="n"/>
      <c r="I19" s="14" t="inlineStr">
        <is>
          <t>不明</t>
        </is>
      </c>
      <c r="J19" s="14" t="inlineStr">
        <is>
          <t>計画なし</t>
        </is>
      </c>
      <c r="K19" s="12" t="n"/>
      <c r="L19" s="12" t="n"/>
      <c r="M19" s="12" t="inlineStr">
        <is>
          <t>不明</t>
        </is>
      </c>
      <c r="N19" s="14" t="n"/>
      <c r="O19" s="14" t="inlineStr">
        <is>
          <t>不明</t>
        </is>
      </c>
      <c r="P19" s="14" t="inlineStr">
        <is>
          <t>計画なし</t>
        </is>
      </c>
      <c r="Q19" s="12" t="n"/>
      <c r="R19" s="12" t="inlineStr">
        <is>
          <t>交通・環境とも町サイト検索で計画を確認できず（公共交通マップのみ https://www.town.kuzumaki.iwate.jp/docs/2015102200249/ ）。県の地域公共交通計画でカバーされる可能性。</t>
        </is>
      </c>
      <c r="S19" s="19" t="inlineStr">
        <is>
          <t>環境のみ調査</t>
        </is>
      </c>
      <c r="T19" s="12" t="inlineStr">
        <is>
          <t>未掲載</t>
        </is>
      </c>
    </row>
    <row r="20">
      <c r="A20" s="12" t="n">
        <v>17</v>
      </c>
      <c r="B20" s="12" t="inlineStr">
        <is>
          <t>岩手町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岩手町地域公共交通計画</t>
        </is>
      </c>
      <c r="G20" s="12" t="inlineStr">
        <is>
          <t>R4〜R8</t>
        </is>
      </c>
      <c r="H20" s="14" t="n">
        <v>8</v>
      </c>
      <c r="I20" s="14" t="inlineStr">
        <is>
          <t>確認済</t>
        </is>
      </c>
      <c r="J20" s="14" t="inlineStr">
        <is>
          <t>未確認</t>
        </is>
      </c>
      <c r="K20" s="15" t="inlineStr">
        <is>
          <t>https://town.iwate.iwate.jp/town/gyosei/koutsuumoukeisei2017-2021/</t>
        </is>
      </c>
      <c r="L20" s="12" t="n"/>
      <c r="M20" s="12" t="inlineStr">
        <is>
          <t>不明</t>
        </is>
      </c>
      <c r="N20" s="14" t="n"/>
      <c r="O20" s="14" t="inlineStr">
        <is>
          <t>不明</t>
        </is>
      </c>
      <c r="P20" s="14" t="inlineStr">
        <is>
          <t>計画なし</t>
        </is>
      </c>
      <c r="Q20" s="12" t="n"/>
      <c r="R20" s="12"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6" t="inlineStr">
        <is>
          <t>調査済</t>
        </is>
      </c>
      <c r="T20" s="12" t="inlineStr">
        <is>
          <t>掲載</t>
        </is>
      </c>
    </row>
    <row r="21">
      <c r="A21" s="12" t="n">
        <v>18</v>
      </c>
      <c r="B21" s="12" t="inlineStr">
        <is>
          <t>紫波町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紫波町地域公共交通計画</t>
        </is>
      </c>
      <c r="G21" s="12" t="inlineStr">
        <is>
          <t>R6〜R10</t>
        </is>
      </c>
      <c r="H21" s="14" t="n">
        <v>10</v>
      </c>
      <c r="I21" s="14" t="inlineStr">
        <is>
          <t>確認済</t>
        </is>
      </c>
      <c r="J21" s="14" t="inlineStr">
        <is>
          <t>未確認</t>
        </is>
      </c>
      <c r="K21" s="15" t="inlineStr">
        <is>
          <t>https://www.town.shiwa.iwate.jp/shiwatown/cms/soshiki/4/2_99/koukyoukoutsukeikaku.pdf</t>
        </is>
      </c>
      <c r="L21" s="12" t="inlineStr">
        <is>
          <t>紫波2100 2026環境・循環基本計画（2021環境・循環基本計画の中間見直し版）</t>
        </is>
      </c>
      <c r="M21" s="12" t="inlineStr">
        <is>
          <t>R8〜R12</t>
        </is>
      </c>
      <c r="N21" s="14" t="n">
        <v>12</v>
      </c>
      <c r="O21" s="14" t="inlineStr">
        <is>
          <t>確認済</t>
        </is>
      </c>
      <c r="P21" s="14" t="inlineStr">
        <is>
          <t>策定済</t>
        </is>
      </c>
      <c r="Q21" s="15" t="inlineStr">
        <is>
          <t>https://www.town.shiwa.iwate.jp/shiwatown/cms/soshiki/2_1/2_3/2026%E7%92%B0%E5%A2%83%E3%83%BB%E5%BE%AA%E7%92%B0%E5%9F%BA%E6%9C%AC%E8%A8%88%E7%94%BB%EF%BC%88%E6%9C%80%E7%B5%82%E8%AA%BF%E6%95%B4%EF%BC%89_20260316_%E7%A2%BA%E5%AE%9A.pdf</t>
        </is>
      </c>
      <c r="R21" s="12"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6" t="inlineStr">
        <is>
          <t>調査済</t>
        </is>
      </c>
      <c r="T21" s="12" t="inlineStr">
        <is>
          <t>掲載</t>
        </is>
      </c>
    </row>
    <row r="22">
      <c r="A22" s="12" t="n">
        <v>19</v>
      </c>
      <c r="B22" s="12" t="inlineStr">
        <is>
          <t>矢巾町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盛岡都市圏地域公共交通計画（盛岡市・滝沢市・矢巾町共同）</t>
        </is>
      </c>
      <c r="G22" s="12" t="inlineStr">
        <is>
          <t>R8〜R12</t>
        </is>
      </c>
      <c r="H22" s="14" t="n">
        <v>12</v>
      </c>
      <c r="I22" s="14" t="inlineStr">
        <is>
          <t>確認済</t>
        </is>
      </c>
      <c r="J22" s="14" t="inlineStr">
        <is>
          <t>策定済</t>
        </is>
      </c>
      <c r="K22" s="15" t="inlineStr">
        <is>
          <t>https://www.city.morioka.iwate.jp/_res/projects/default_project/_page_/001/043/162/R7honpen.pdf</t>
        </is>
      </c>
      <c r="L22" s="12" t="n"/>
      <c r="M22" s="12" t="inlineStr">
        <is>
          <t>不明</t>
        </is>
      </c>
      <c r="N22" s="14" t="n"/>
      <c r="O22" s="14" t="inlineStr">
        <is>
          <t>不明</t>
        </is>
      </c>
      <c r="P22" s="14" t="inlineStr">
        <is>
          <t>計画なし</t>
        </is>
      </c>
      <c r="Q22" s="12" t="n"/>
      <c r="R22" s="12"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6" t="inlineStr">
        <is>
          <t>調査済</t>
        </is>
      </c>
      <c r="T22" s="12" t="inlineStr">
        <is>
          <t>掲載（広域：盛岡市・滝沢市・矢巾町）</t>
        </is>
      </c>
    </row>
    <row r="23">
      <c r="A23" s="12" t="n">
        <v>20</v>
      </c>
      <c r="B23" s="12" t="inlineStr">
        <is>
          <t>西和賀町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西和賀町地域公共交通計画</t>
        </is>
      </c>
      <c r="G23" s="12" t="inlineStr">
        <is>
          <t>R5〜（終期不明）</t>
        </is>
      </c>
      <c r="H23" s="14" t="n"/>
      <c r="I23" s="14" t="inlineStr">
        <is>
          <t>不明</t>
        </is>
      </c>
      <c r="J23" s="14" t="inlineStr">
        <is>
          <t>未確認</t>
        </is>
      </c>
      <c r="K23" s="15" t="inlineStr">
        <is>
          <t>https://www.town.nishiwaga.lg.jp/material/files/group/1/2306nishiwagakotsukeikaku.pdf</t>
        </is>
      </c>
      <c r="L23" s="12" t="n"/>
      <c r="M23" s="12" t="inlineStr">
        <is>
          <t>不明</t>
        </is>
      </c>
      <c r="N23" s="14" t="n"/>
      <c r="O23" s="14" t="inlineStr">
        <is>
          <t>不明</t>
        </is>
      </c>
      <c r="P23" s="14" t="inlineStr">
        <is>
          <t>計画なし</t>
        </is>
      </c>
      <c r="Q23" s="12" t="n"/>
      <c r="R23" s="12" t="inlineStr">
        <is>
          <t>交通：R5.6策定、R7.1.24協議会で一部改正。期間は検索結果で未確認（5年ならR5〜R9の可能性、要確認）。環境：環境基本計画は確認できず。</t>
        </is>
      </c>
      <c r="S23" s="16" t="inlineStr">
        <is>
          <t>調査済</t>
        </is>
      </c>
      <c r="T23" s="12" t="inlineStr">
        <is>
          <t>掲載</t>
        </is>
      </c>
    </row>
    <row r="24">
      <c r="A24" s="12" t="n">
        <v>21</v>
      </c>
      <c r="B24" s="12" t="inlineStr">
        <is>
          <t>金ケ崎町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金ケ崎町地域公共交通網形成計画</t>
        </is>
      </c>
      <c r="G24" s="12" t="inlineStr">
        <is>
          <t>R2〜R8</t>
        </is>
      </c>
      <c r="H24" s="14" t="n">
        <v>8</v>
      </c>
      <c r="I24" s="14" t="inlineStr">
        <is>
          <t>確認済</t>
        </is>
      </c>
      <c r="J24" s="14" t="inlineStr">
        <is>
          <t>未確認</t>
        </is>
      </c>
      <c r="K24" s="15" t="inlineStr">
        <is>
          <t>https://www.town.kanegasaki.iwate.jp/articles/2020032900015/file_contents/keikaku.pdf</t>
        </is>
      </c>
      <c r="L24" s="12" t="n"/>
      <c r="M24" s="12" t="inlineStr">
        <is>
          <t>不明</t>
        </is>
      </c>
      <c r="N24" s="14" t="n"/>
      <c r="O24" s="14" t="inlineStr">
        <is>
          <t>不明</t>
        </is>
      </c>
      <c r="P24" s="14" t="inlineStr">
        <is>
          <t>計画なし</t>
        </is>
      </c>
      <c r="Q24" s="12" t="n"/>
      <c r="R24" s="12"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6" t="inlineStr">
        <is>
          <t>調査済</t>
        </is>
      </c>
      <c r="T24" s="12" t="inlineStr">
        <is>
          <t>掲載</t>
        </is>
      </c>
    </row>
    <row r="25">
      <c r="A25" s="12" t="n">
        <v>22</v>
      </c>
      <c r="B25" s="12" t="inlineStr">
        <is>
          <t>平泉町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平泉町地域公共交通計画</t>
        </is>
      </c>
      <c r="G25" s="12" t="inlineStr">
        <is>
          <t>R7〜R11</t>
        </is>
      </c>
      <c r="H25" s="14" t="n">
        <v>11</v>
      </c>
      <c r="I25" s="14" t="inlineStr">
        <is>
          <t>確認済</t>
        </is>
      </c>
      <c r="J25" s="14" t="inlineStr">
        <is>
          <t>策定済</t>
        </is>
      </c>
      <c r="K25" s="15" t="inlineStr">
        <is>
          <t>https://www.town.hiraizumi.iwate.jp/%E5%B9%B3%E6%B3%89%E7%94%BA%E5%9C%B0%E5%9F%9F%E5%85%AC%E5%85%B1%E4%BA%A4%E9%80%9A%E8%A8%88%E7%94%BB%E3%82%92%E7%AD%96%E5%AE%9A%E3%81%97%E3%81%BE%E3%81%97%E3%81%9F-25574/</t>
        </is>
      </c>
      <c r="L25" s="12" t="n"/>
      <c r="M25" s="12" t="inlineStr">
        <is>
          <t>不明</t>
        </is>
      </c>
      <c r="N25" s="14" t="n"/>
      <c r="O25" s="14" t="inlineStr">
        <is>
          <t>不明</t>
        </is>
      </c>
      <c r="P25" s="14" t="inlineStr">
        <is>
          <t>計画なし</t>
        </is>
      </c>
      <c r="Q25" s="12" t="n"/>
      <c r="R25" s="12" t="inlineStr">
        <is>
          <t>交通：R6年度策定支援業務プロポーザルを経てR7年度から5年の計画を策定。環境：環境基本計画は確認できず。</t>
        </is>
      </c>
      <c r="S25" s="16" t="inlineStr">
        <is>
          <t>調査済</t>
        </is>
      </c>
      <c r="T25" s="12" t="inlineStr">
        <is>
          <t>掲載</t>
        </is>
      </c>
    </row>
    <row r="26">
      <c r="A26" s="12" t="n">
        <v>23</v>
      </c>
      <c r="B26" s="12" t="inlineStr">
        <is>
          <t>住田町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住田町地域公共交通計画</t>
        </is>
      </c>
      <c r="G26" s="12" t="inlineStr">
        <is>
          <t>R7〜R11</t>
        </is>
      </c>
      <c r="H26" s="14" t="n">
        <v>11</v>
      </c>
      <c r="I26" s="14" t="inlineStr">
        <is>
          <t>確認済</t>
        </is>
      </c>
      <c r="J26" s="14" t="inlineStr">
        <is>
          <t>策定済</t>
        </is>
      </c>
      <c r="K26" s="15" t="inlineStr">
        <is>
          <t>https://www.town.sumita.iwate.jp/docs/2025040400014/files/tiikikoukyoukoutuukeikaku2025.pdf</t>
        </is>
      </c>
      <c r="L26" s="12" t="inlineStr">
        <is>
          <t>第5次住田町環境基本計画</t>
        </is>
      </c>
      <c r="M26" s="12" t="inlineStr">
        <is>
          <t>R4〜R8</t>
        </is>
      </c>
      <c r="N26" s="17" t="n">
        <v>8</v>
      </c>
      <c r="O26" s="14" t="inlineStr">
        <is>
          <t>推定</t>
        </is>
      </c>
      <c r="P26" s="14" t="inlineStr">
        <is>
          <t>未確認</t>
        </is>
      </c>
      <c r="Q26" s="15" t="inlineStr">
        <is>
          <t>https://www.town.sumita.iwate.jp/docs/2023061500010/files/04_dai4syou.pdf</t>
        </is>
      </c>
      <c r="R26" s="12"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6" t="inlineStr">
        <is>
          <t>調査済</t>
        </is>
      </c>
      <c r="T26" s="12" t="inlineStr">
        <is>
          <t>掲載</t>
        </is>
      </c>
    </row>
    <row r="27">
      <c r="A27" s="12" t="n">
        <v>24</v>
      </c>
      <c r="B27" s="12" t="inlineStr">
        <is>
          <t>大槌町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大槌町地域公共交通計画</t>
        </is>
      </c>
      <c r="G27" s="12" t="inlineStr">
        <is>
          <t>R4〜R8</t>
        </is>
      </c>
      <c r="H27" s="14" t="n">
        <v>8</v>
      </c>
      <c r="I27" s="14" t="inlineStr">
        <is>
          <t>確認済</t>
        </is>
      </c>
      <c r="J27" s="14" t="inlineStr">
        <is>
          <t>着手済</t>
        </is>
      </c>
      <c r="K27" s="15" t="inlineStr">
        <is>
          <t>https://www.town.otsuchi.iwate.jp/fs/2/3/0/5/0/9/_/___________.pdf</t>
        </is>
      </c>
      <c r="L27" s="12" t="n"/>
      <c r="M27" s="12" t="inlineStr">
        <is>
          <t>不明</t>
        </is>
      </c>
      <c r="N27" s="14" t="n"/>
      <c r="O27" s="14" t="inlineStr">
        <is>
          <t>不明</t>
        </is>
      </c>
      <c r="P27" s="14" t="inlineStr">
        <is>
          <t>計画なし</t>
        </is>
      </c>
      <c r="Q27" s="12" t="n"/>
      <c r="R27" s="12"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6" t="inlineStr">
        <is>
          <t>調査済</t>
        </is>
      </c>
      <c r="T27" s="12" t="inlineStr">
        <is>
          <t>掲載（広域：三陸鉄道沿線地域等）</t>
        </is>
      </c>
    </row>
    <row r="28">
      <c r="A28" s="12" t="n">
        <v>25</v>
      </c>
      <c r="B28" s="12" t="inlineStr">
        <is>
          <t>山田町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山田町地域公共交通計画</t>
        </is>
      </c>
      <c r="G28" s="12" t="inlineStr">
        <is>
          <t>不明</t>
        </is>
      </c>
      <c r="H28" s="14" t="n"/>
      <c r="I28" s="14" t="inlineStr">
        <is>
          <t>不明</t>
        </is>
      </c>
      <c r="J28" s="14" t="inlineStr">
        <is>
          <t>未確認</t>
        </is>
      </c>
      <c r="K28" s="15" t="inlineStr">
        <is>
          <t>https://www.town.yamada.iwate.jp/fs/1/2/1/7/4/5/_/___________.pdf</t>
        </is>
      </c>
      <c r="L28" s="12" t="n"/>
      <c r="M28" s="12" t="inlineStr">
        <is>
          <t>不明</t>
        </is>
      </c>
      <c r="N28" s="14" t="n"/>
      <c r="O28" s="14" t="inlineStr">
        <is>
          <t>不明</t>
        </is>
      </c>
      <c r="P28" s="14" t="inlineStr">
        <is>
          <t>計画なし</t>
        </is>
      </c>
      <c r="Q28" s="12" t="n"/>
      <c r="R28" s="12"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6" t="inlineStr">
        <is>
          <t>調査済</t>
        </is>
      </c>
      <c r="T28" s="12" t="inlineStr">
        <is>
          <t>掲載（広域：三陸鉄道沿線地域等）</t>
        </is>
      </c>
    </row>
    <row r="29">
      <c r="A29" s="12" t="n">
        <v>26</v>
      </c>
      <c r="B29" s="12" t="inlineStr">
        <is>
          <t>岩泉町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岩泉町地域公共交通計画</t>
        </is>
      </c>
      <c r="G29" s="12" t="inlineStr">
        <is>
          <t>R6〜R8</t>
        </is>
      </c>
      <c r="H29" s="14" t="n">
        <v>8</v>
      </c>
      <c r="I29" s="14" t="inlineStr">
        <is>
          <t>確認済</t>
        </is>
      </c>
      <c r="J29" s="14" t="inlineStr">
        <is>
          <t>未確認</t>
        </is>
      </c>
      <c r="K29" s="15" t="inlineStr">
        <is>
          <t>https://www.town.iwaizumi.lg.jp/docs/2024032500015/</t>
        </is>
      </c>
      <c r="L29" s="12" t="n"/>
      <c r="M29" s="12" t="inlineStr">
        <is>
          <t>不明</t>
        </is>
      </c>
      <c r="N29" s="14" t="n"/>
      <c r="O29" s="14" t="inlineStr">
        <is>
          <t>不明</t>
        </is>
      </c>
      <c r="P29" s="14" t="inlineStr">
        <is>
          <t>計画なし</t>
        </is>
      </c>
      <c r="Q29" s="12" t="n"/>
      <c r="R29" s="12"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6" t="inlineStr">
        <is>
          <t>調査済</t>
        </is>
      </c>
      <c r="T29" s="12" t="inlineStr">
        <is>
          <t>掲載（広域：三陸鉄道沿線地域等）</t>
        </is>
      </c>
    </row>
    <row r="30">
      <c r="A30" s="12" t="n">
        <v>27</v>
      </c>
      <c r="B30" s="12" t="inlineStr">
        <is>
          <t>田野畑村</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田野畑村地域公共交通計画</t>
        </is>
      </c>
      <c r="G30" s="12" t="inlineStr">
        <is>
          <t>不明</t>
        </is>
      </c>
      <c r="H30" s="14" t="n"/>
      <c r="I30" s="14" t="inlineStr">
        <is>
          <t>不明</t>
        </is>
      </c>
      <c r="J30" s="14" t="inlineStr">
        <is>
          <t>未確認</t>
        </is>
      </c>
      <c r="K30" s="15" t="inlineStr">
        <is>
          <t>https://www.vill.tanohata.iwate.jp/bunya/keikaku/tanohata/</t>
        </is>
      </c>
      <c r="L30" s="12" t="inlineStr">
        <is>
          <t>田野畑村環境基本計画</t>
        </is>
      </c>
      <c r="M30" s="12" t="inlineStr">
        <is>
          <t>不明</t>
        </is>
      </c>
      <c r="N30" s="14" t="n"/>
      <c r="O30" s="14" t="inlineStr">
        <is>
          <t>不明</t>
        </is>
      </c>
      <c r="P30" s="14" t="inlineStr">
        <is>
          <t>未確認</t>
        </is>
      </c>
      <c r="Q30" s="15" t="inlineStr">
        <is>
          <t>https://www.vill.tanohata.iwate.jp/docs/2015081800027/</t>
        </is>
      </c>
      <c r="R30" s="12"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6" t="inlineStr">
        <is>
          <t>調査済</t>
        </is>
      </c>
      <c r="T30" s="12" t="inlineStr">
        <is>
          <t>掲載（広域：三陸鉄道沿線地域等）</t>
        </is>
      </c>
    </row>
    <row r="31">
      <c r="A31" s="12" t="n">
        <v>28</v>
      </c>
      <c r="B31" s="12" t="inlineStr">
        <is>
          <t>普代村</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三陸鉄道沿線地域等公共交通計画（岩手県・沿線市町村の広域計画）</t>
        </is>
      </c>
      <c r="G31" s="12" t="inlineStr">
        <is>
          <t>R6〜R10</t>
        </is>
      </c>
      <c r="H31" s="14" t="n">
        <v>10</v>
      </c>
      <c r="I31" s="14" t="inlineStr">
        <is>
          <t>確認済</t>
        </is>
      </c>
      <c r="J31" s="14" t="inlineStr">
        <is>
          <t>未確認</t>
        </is>
      </c>
      <c r="K31" s="15" t="inlineStr">
        <is>
          <t>https://www.city.miyako.iwate.jp/material/files/group/8/sanntetsukoutuukeikaku2024.pdf</t>
        </is>
      </c>
      <c r="L31" s="12" t="n"/>
      <c r="M31" s="12" t="inlineStr">
        <is>
          <t>不明</t>
        </is>
      </c>
      <c r="N31" s="14" t="n"/>
      <c r="O31" s="14" t="inlineStr">
        <is>
          <t>不明</t>
        </is>
      </c>
      <c r="P31" s="14" t="inlineStr">
        <is>
          <t>計画なし</t>
        </is>
      </c>
      <c r="Q31" s="12" t="n"/>
      <c r="R31" s="12"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6" t="inlineStr">
        <is>
          <t>調査済</t>
        </is>
      </c>
      <c r="T31" s="12" t="inlineStr">
        <is>
          <t>掲載（広域：三陸鉄道沿線地域等）</t>
        </is>
      </c>
    </row>
    <row r="32">
      <c r="A32" s="12" t="n">
        <v>29</v>
      </c>
      <c r="B32" s="12" t="inlineStr">
        <is>
          <t>軽米町</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n"/>
      <c r="G32" s="12" t="inlineStr">
        <is>
          <t>不明</t>
        </is>
      </c>
      <c r="H32" s="14" t="n"/>
      <c r="I32" s="14" t="inlineStr">
        <is>
          <t>不明</t>
        </is>
      </c>
      <c r="J32" s="14" t="inlineStr">
        <is>
          <t>計画なし</t>
        </is>
      </c>
      <c r="K32" s="12" t="n"/>
      <c r="L32" s="12" t="n"/>
      <c r="M32" s="12" t="inlineStr">
        <is>
          <t>不明</t>
        </is>
      </c>
      <c r="N32" s="14" t="n"/>
      <c r="O32" s="14" t="inlineStr">
        <is>
          <t>不明</t>
        </is>
      </c>
      <c r="P32" s="14" t="inlineStr">
        <is>
          <t>計画なし</t>
        </is>
      </c>
      <c r="Q32" s="12" t="n"/>
      <c r="R32" s="12" t="inlineStr">
        <is>
          <t>交通：地域公共交通計画は確認できず。R8.4からコミュニティバス（円子線・大野線）運行、デマンド交通導入を検討中（R7.3議会一般質問）。環境：確認できず。</t>
        </is>
      </c>
      <c r="S32" s="19" t="inlineStr">
        <is>
          <t>環境のみ調査</t>
        </is>
      </c>
      <c r="T32" s="12" t="inlineStr">
        <is>
          <t>未掲載</t>
        </is>
      </c>
    </row>
    <row r="33">
      <c r="A33" s="12" t="n">
        <v>30</v>
      </c>
      <c r="B33" s="12" t="inlineStr">
        <is>
          <t>野田村</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三陸鉄道沿線地域等公共交通計画（岩手県・沿線市町村の広域計画）</t>
        </is>
      </c>
      <c r="G33" s="12" t="inlineStr">
        <is>
          <t>R6〜R10</t>
        </is>
      </c>
      <c r="H33" s="14" t="n">
        <v>10</v>
      </c>
      <c r="I33" s="14" t="inlineStr">
        <is>
          <t>確認済</t>
        </is>
      </c>
      <c r="J33" s="14" t="inlineStr">
        <is>
          <t>未確認</t>
        </is>
      </c>
      <c r="K33" s="15" t="inlineStr">
        <is>
          <t>https://www.city.miyako.iwate.jp/material/files/group/8/sanntetsukoutuukeikaku2024.pdf</t>
        </is>
      </c>
      <c r="L33" s="12" t="n"/>
      <c r="M33" s="12" t="inlineStr">
        <is>
          <t>不明</t>
        </is>
      </c>
      <c r="N33" s="14" t="n"/>
      <c r="O33" s="14" t="inlineStr">
        <is>
          <t>不明</t>
        </is>
      </c>
      <c r="P33" s="14" t="inlineStr">
        <is>
          <t>計画なし</t>
        </is>
      </c>
      <c r="Q33" s="12" t="n"/>
      <c r="R33" s="12"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6" t="inlineStr">
        <is>
          <t>調査済</t>
        </is>
      </c>
      <c r="T33" s="12" t="inlineStr">
        <is>
          <t>掲載（広域：三陸鉄道沿線地域等）</t>
        </is>
      </c>
    </row>
    <row r="34">
      <c r="A34" s="12" t="n">
        <v>31</v>
      </c>
      <c r="B34" s="12" t="inlineStr">
        <is>
          <t>九戸村</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九戸村地域公共交通計画</t>
        </is>
      </c>
      <c r="G34" s="12" t="inlineStr">
        <is>
          <t>不明</t>
        </is>
      </c>
      <c r="H34" s="14" t="n"/>
      <c r="I34" s="14" t="inlineStr">
        <is>
          <t>不明</t>
        </is>
      </c>
      <c r="J34" s="14" t="inlineStr">
        <is>
          <t>未確認</t>
        </is>
      </c>
      <c r="K34" s="15" t="inlineStr">
        <is>
          <t>https://vill.kunohe.iwate.jp/fs/9/5/9/5/_/%E4%B9%9D%E6%88%B8%E6%9D%91%E5%9C%B0%E5%9F%9F%E5%85%AC%E5%85%B1%E4%BA%A4%E9%80%9A%E8%A8%88%E7%94%BB.pdf</t>
        </is>
      </c>
      <c r="L34" s="12" t="n"/>
      <c r="M34" s="12" t="inlineStr">
        <is>
          <t>不明</t>
        </is>
      </c>
      <c r="N34" s="14" t="n"/>
      <c r="O34" s="14" t="inlineStr">
        <is>
          <t>不明</t>
        </is>
      </c>
      <c r="P34" s="14" t="inlineStr">
        <is>
          <t>計画なし</t>
        </is>
      </c>
      <c r="Q34" s="12" t="n"/>
      <c r="R34" s="12" t="inlineStr">
        <is>
          <t>交通：計画書PDFの存在を確認、期間は検索で確認できず。環境：確認できず。</t>
        </is>
      </c>
      <c r="S34" s="16" t="inlineStr">
        <is>
          <t>調査済</t>
        </is>
      </c>
      <c r="T34" s="12" t="inlineStr">
        <is>
          <t>掲載</t>
        </is>
      </c>
    </row>
    <row r="35">
      <c r="A35" s="12" t="n">
        <v>32</v>
      </c>
      <c r="B35" s="12" t="inlineStr">
        <is>
          <t>洋野町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洋野町地域公共交通計画（策定中）</t>
        </is>
      </c>
      <c r="G35" s="12" t="inlineStr">
        <is>
          <t>R9〜R13</t>
        </is>
      </c>
      <c r="H35" s="14" t="n">
        <v>13</v>
      </c>
      <c r="I35" s="14" t="inlineStr">
        <is>
          <t>確認済</t>
        </is>
      </c>
      <c r="J35" s="14" t="inlineStr">
        <is>
          <t>着手済</t>
        </is>
      </c>
      <c r="K35" s="15" t="inlineStr">
        <is>
          <t>https://www.town.hirono.iwate.jp/doc/2026070700013</t>
        </is>
      </c>
      <c r="L35" s="12" t="n"/>
      <c r="M35" s="12" t="inlineStr">
        <is>
          <t>不明</t>
        </is>
      </c>
      <c r="N35" s="14" t="n"/>
      <c r="O35" s="14" t="inlineStr">
        <is>
          <t>不明</t>
        </is>
      </c>
      <c r="P35" s="14" t="inlineStr">
        <is>
          <t>計画なし</t>
        </is>
      </c>
      <c r="Q35" s="12" t="n"/>
      <c r="R35" s="12"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6" t="inlineStr">
        <is>
          <t>調査済</t>
        </is>
      </c>
      <c r="T35" s="12" t="inlineStr">
        <is>
          <t>掲載（広域：三陸鉄道沿線地域等）</t>
        </is>
      </c>
    </row>
    <row r="36">
      <c r="A36" s="12" t="n">
        <v>33</v>
      </c>
      <c r="B36" s="12" t="inlineStr">
        <is>
          <t>一戸町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計画なし</t>
        </is>
      </c>
      <c r="K36" s="12" t="n"/>
      <c r="L36" s="12" t="n"/>
      <c r="M36" s="12" t="inlineStr">
        <is>
          <t>不明</t>
        </is>
      </c>
      <c r="N36" s="14" t="n"/>
      <c r="O36" s="14" t="inlineStr">
        <is>
          <t>不明</t>
        </is>
      </c>
      <c r="P36" s="14" t="inlineStr">
        <is>
          <t>計画なし</t>
        </is>
      </c>
      <c r="Q36" s="12" t="n"/>
      <c r="R36" s="12" t="inlineStr">
        <is>
          <t>交通：地域公共交通計画は確認できず（デマンド交通いくべ号、R8.4運賃改定案パブコメ https://www.town.ichinohe.iwate.jp/soshikikarasagasu/seisakukikakuka/kokyokotsu/6744.html ）。環境：確認できず。</t>
        </is>
      </c>
      <c r="S36" s="19" t="inlineStr">
        <is>
          <t>環境のみ調査</t>
        </is>
      </c>
      <c r="T36" s="12"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9"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宮城県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仙台市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仙台市地域公共交通計画</t>
        </is>
      </c>
      <c r="G4" s="12" t="inlineStr">
        <is>
          <t>R4〜R8</t>
        </is>
      </c>
      <c r="H4" s="14" t="n">
        <v>8</v>
      </c>
      <c r="I4" s="14" t="inlineStr">
        <is>
          <t>確認済</t>
        </is>
      </c>
      <c r="J4" s="14" t="inlineStr">
        <is>
          <t>着手済</t>
        </is>
      </c>
      <c r="K4" s="15" t="inlineStr">
        <is>
          <t>https://www.city.sendai.jp/kokyo/kurashi/machi/kotsu/kekakunado/chikoukei.html</t>
        </is>
      </c>
      <c r="L4" s="12" t="inlineStr">
        <is>
          <t>杜の都環境プラン（仙台市環境基本計画）</t>
        </is>
      </c>
      <c r="M4" s="12" t="inlineStr">
        <is>
          <t>R3〜R12</t>
        </is>
      </c>
      <c r="N4" s="14" t="n">
        <v>12</v>
      </c>
      <c r="O4" s="14" t="inlineStr">
        <is>
          <t>確認済</t>
        </is>
      </c>
      <c r="P4" s="14" t="inlineStr">
        <is>
          <t>策定済</t>
        </is>
      </c>
      <c r="Q4" s="15" t="inlineStr">
        <is>
          <t>https://www.city.sendai.jp/kankyo-chose/kurashi/machi/kankyohozen/chosa/morinomiyako/documents/01_moripura_honpen.pdf</t>
        </is>
      </c>
      <c r="R4" s="12"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6" t="inlineStr">
        <is>
          <t>調査済</t>
        </is>
      </c>
      <c r="T4" s="12" t="inlineStr">
        <is>
          <t>掲載</t>
        </is>
      </c>
    </row>
    <row r="5">
      <c r="A5" s="12" t="n">
        <v>2</v>
      </c>
      <c r="B5" s="12" t="inlineStr">
        <is>
          <t>石巻市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石巻市総合交通計画（地域公共交通計画）</t>
        </is>
      </c>
      <c r="G5" s="12" t="inlineStr">
        <is>
          <t>R4〜R8</t>
        </is>
      </c>
      <c r="H5" s="14" t="n">
        <v>8</v>
      </c>
      <c r="I5" s="14" t="inlineStr">
        <is>
          <t>確認済</t>
        </is>
      </c>
      <c r="J5" s="14" t="inlineStr">
        <is>
          <t>着手済</t>
        </is>
      </c>
      <c r="K5" s="15" t="inlineStr">
        <is>
          <t>https://www.city.ishinomaki.lg.jp:443/cont/10053500/issks/dai1shou.pdf</t>
        </is>
      </c>
      <c r="L5" s="12" t="inlineStr">
        <is>
          <t>第2次石巻市環境基本計画</t>
        </is>
      </c>
      <c r="M5" s="12" t="inlineStr">
        <is>
          <t>R8〜R17</t>
        </is>
      </c>
      <c r="N5" s="14" t="n">
        <v>17</v>
      </c>
      <c r="O5" s="14" t="inlineStr">
        <is>
          <t>確認済</t>
        </is>
      </c>
      <c r="P5" s="14" t="inlineStr">
        <is>
          <t>策定済</t>
        </is>
      </c>
      <c r="Q5" s="15" t="inlineStr">
        <is>
          <t>https://www.city.ishinomaki.lg.jp/cont/10301000/3253/1.pdf</t>
        </is>
      </c>
      <c r="R5" s="12"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6" t="inlineStr">
        <is>
          <t>調査済</t>
        </is>
      </c>
      <c r="T5" s="12" t="inlineStr">
        <is>
          <t>掲載</t>
        </is>
      </c>
    </row>
    <row r="6">
      <c r="A6" s="12" t="n">
        <v>3</v>
      </c>
      <c r="B6" s="12" t="inlineStr">
        <is>
          <t>塩竈市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n"/>
      <c r="G6" s="12" t="inlineStr">
        <is>
          <t>不明</t>
        </is>
      </c>
      <c r="H6" s="14" t="n"/>
      <c r="I6" s="14" t="inlineStr">
        <is>
          <t>不明</t>
        </is>
      </c>
      <c r="J6" s="14" t="inlineStr">
        <is>
          <t>未確認</t>
        </is>
      </c>
      <c r="K6" s="12" t="n"/>
      <c r="L6" s="12" t="inlineStr">
        <is>
          <t>第3次塩竈市環境基本計画</t>
        </is>
      </c>
      <c r="M6" s="12" t="inlineStr">
        <is>
          <t>R7〜R16</t>
        </is>
      </c>
      <c r="N6" s="14" t="n">
        <v>16</v>
      </c>
      <c r="O6" s="14" t="inlineStr">
        <is>
          <t>確認済</t>
        </is>
      </c>
      <c r="P6" s="14" t="inlineStr">
        <is>
          <t>策定済</t>
        </is>
      </c>
      <c r="Q6" s="15" t="inlineStr">
        <is>
          <t>https://www.city.shiogama.miyagi.jp/soshiki/18/50557.html</t>
        </is>
      </c>
      <c r="R6" s="12"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9" t="inlineStr">
        <is>
          <t>環境のみ調査</t>
        </is>
      </c>
      <c r="T6" s="12" t="inlineStr">
        <is>
          <t>未掲載</t>
        </is>
      </c>
    </row>
    <row r="7">
      <c r="A7" s="12" t="n">
        <v>4</v>
      </c>
      <c r="B7" s="12" t="inlineStr">
        <is>
          <t>気仙沼市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第2次気仙沼市総合交通計画（2次改定版）</t>
        </is>
      </c>
      <c r="G7" s="12" t="inlineStr">
        <is>
          <t>H30〜R8（目標年次R8）</t>
        </is>
      </c>
      <c r="H7" s="17" t="n">
        <v>8</v>
      </c>
      <c r="I7" s="14" t="inlineStr">
        <is>
          <t>推定</t>
        </is>
      </c>
      <c r="J7" s="14" t="inlineStr">
        <is>
          <t>着手済</t>
        </is>
      </c>
      <c r="K7" s="15" t="inlineStr">
        <is>
          <t>https://www.kesennuma.miyagi.jp/li/shisei/150/020/index.html</t>
        </is>
      </c>
      <c r="L7" s="12" t="n"/>
      <c r="M7" s="12" t="inlineStr">
        <is>
          <t>不明</t>
        </is>
      </c>
      <c r="N7" s="14" t="n"/>
      <c r="O7" s="14" t="inlineStr">
        <is>
          <t>不明</t>
        </is>
      </c>
      <c r="P7" s="14" t="inlineStr">
        <is>
          <t>未確認</t>
        </is>
      </c>
      <c r="Q7" s="12" t="n"/>
      <c r="R7" s="12"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19" t="inlineStr">
        <is>
          <t>交通のみ調査</t>
        </is>
      </c>
      <c r="T7" s="12" t="inlineStr">
        <is>
          <t>掲載</t>
        </is>
      </c>
    </row>
    <row r="8">
      <c r="A8" s="12" t="n">
        <v>5</v>
      </c>
      <c r="B8" s="12" t="inlineStr">
        <is>
          <t>白石市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白石市地域公共交通計画</t>
        </is>
      </c>
      <c r="G8" s="12" t="inlineStr">
        <is>
          <t>R5〜R9（推定）</t>
        </is>
      </c>
      <c r="H8" s="14" t="n">
        <v>9</v>
      </c>
      <c r="I8" s="14" t="inlineStr">
        <is>
          <t>確認済</t>
        </is>
      </c>
      <c r="J8" s="14" t="inlineStr">
        <is>
          <t>着手済</t>
        </is>
      </c>
      <c r="K8" s="15" t="inlineStr">
        <is>
          <t>https://www.city.shiroishi.miyagi.jp/uploaded/attachment/22013.pdf</t>
        </is>
      </c>
      <c r="L8" s="12" t="inlineStr">
        <is>
          <t>第3次白石市環境基本計画</t>
        </is>
      </c>
      <c r="M8" s="12" t="inlineStr">
        <is>
          <t>H31(R1)〜R10（10年間）</t>
        </is>
      </c>
      <c r="N8" s="14" t="n">
        <v>10</v>
      </c>
      <c r="O8" s="14" t="inlineStr">
        <is>
          <t>確認済</t>
        </is>
      </c>
      <c r="P8" s="14" t="inlineStr">
        <is>
          <t>未確認</t>
        </is>
      </c>
      <c r="Q8" s="15" t="inlineStr">
        <is>
          <t>https://www.city.shiroishi.miyagi.jp/soshiki/18/</t>
        </is>
      </c>
      <c r="R8" s="12"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6" t="inlineStr">
        <is>
          <t>調査済</t>
        </is>
      </c>
      <c r="T8" s="12" t="inlineStr">
        <is>
          <t>掲載</t>
        </is>
      </c>
      <c r="U8" s="20" t="inlineStr">
        <is>
          <t>→メモ</t>
        </is>
      </c>
    </row>
    <row r="9">
      <c r="A9" s="12" t="n">
        <v>6</v>
      </c>
      <c r="B9" s="12" t="inlineStr">
        <is>
          <t>名取市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名取市地域公共交通計画</t>
        </is>
      </c>
      <c r="G9" s="12" t="inlineStr">
        <is>
          <t>R5〜R9</t>
        </is>
      </c>
      <c r="H9" s="14" t="n">
        <v>9</v>
      </c>
      <c r="I9" s="14" t="inlineStr">
        <is>
          <t>確認済</t>
        </is>
      </c>
      <c r="J9" s="14" t="inlineStr">
        <is>
          <t>未確認</t>
        </is>
      </c>
      <c r="K9" s="15" t="inlineStr">
        <is>
          <t>https://www.city.natori.miyagi.jp/uploaded/attachment/9510.pdf</t>
        </is>
      </c>
      <c r="L9" s="12" t="inlineStr">
        <is>
          <t>第二次名取市環境基本計画</t>
        </is>
      </c>
      <c r="M9" s="12" t="inlineStr">
        <is>
          <t>R2〜R12（11年間）</t>
        </is>
      </c>
      <c r="N9" s="14" t="n">
        <v>12</v>
      </c>
      <c r="O9" s="14" t="inlineStr">
        <is>
          <t>確認済</t>
        </is>
      </c>
      <c r="P9" s="14" t="inlineStr">
        <is>
          <t>未確認</t>
        </is>
      </c>
      <c r="Q9" s="15" t="inlineStr">
        <is>
          <t>https://www.city.natori.miyagi.jp/page/4721.html</t>
        </is>
      </c>
      <c r="R9" s="12"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6" t="inlineStr">
        <is>
          <t>調査済</t>
        </is>
      </c>
      <c r="T9" s="12" t="inlineStr">
        <is>
          <t>掲載</t>
        </is>
      </c>
      <c r="U9" s="20" t="inlineStr">
        <is>
          <t>→メモ</t>
        </is>
      </c>
    </row>
    <row r="10">
      <c r="A10" s="12" t="n">
        <v>7</v>
      </c>
      <c r="B10" s="12" t="inlineStr">
        <is>
          <t>角田市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角田市地域公共交通計画</t>
        </is>
      </c>
      <c r="G10" s="12" t="inlineStr">
        <is>
          <t>不明</t>
        </is>
      </c>
      <c r="H10" s="14" t="n"/>
      <c r="I10" s="14" t="inlineStr">
        <is>
          <t>不明</t>
        </is>
      </c>
      <c r="J10" s="14" t="inlineStr">
        <is>
          <t>着手済</t>
        </is>
      </c>
      <c r="K10" s="15" t="inlineStr">
        <is>
          <t>https://www.city.kakuda.lg.jp/soshiki/4/25038.html</t>
        </is>
      </c>
      <c r="L10" s="12" t="inlineStr">
        <is>
          <t>角田市第3次環境基本計画</t>
        </is>
      </c>
      <c r="M10" s="12" t="inlineStr">
        <is>
          <t>R5〜R14（10年間）</t>
        </is>
      </c>
      <c r="N10" s="17" t="n">
        <v>14</v>
      </c>
      <c r="O10" s="14" t="inlineStr">
        <is>
          <t>推定</t>
        </is>
      </c>
      <c r="P10" s="14" t="inlineStr">
        <is>
          <t>未確認</t>
        </is>
      </c>
      <c r="Q10" s="12" t="n"/>
      <c r="R10" s="12"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6" t="inlineStr">
        <is>
          <t>調査済</t>
        </is>
      </c>
      <c r="T10" s="12" t="inlineStr">
        <is>
          <t>掲載（広域：阿武隈急行線地域）</t>
        </is>
      </c>
    </row>
    <row r="11">
      <c r="A11" s="12" t="n">
        <v>8</v>
      </c>
      <c r="B11" s="12" t="inlineStr">
        <is>
          <t>多賀城市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多賀城市地域公共交通計画</t>
        </is>
      </c>
      <c r="G11" s="12" t="inlineStr">
        <is>
          <t>R8〜R12</t>
        </is>
      </c>
      <c r="H11" s="14" t="n">
        <v>12</v>
      </c>
      <c r="I11" s="14" t="inlineStr">
        <is>
          <t>確認済</t>
        </is>
      </c>
      <c r="J11" s="14" t="inlineStr">
        <is>
          <t>着手済</t>
        </is>
      </c>
      <c r="K11" s="15" t="inlineStr">
        <is>
          <t>https://www.city.tagajo.miyagi.jp/toshike/kurashi/kotsu/documents/keikaku.pdf</t>
        </is>
      </c>
      <c r="L11" s="12" t="inlineStr">
        <is>
          <t>第三次多賀城市環境基本計画（R8.3改定）</t>
        </is>
      </c>
      <c r="M11" s="12" t="inlineStr">
        <is>
          <t>不明</t>
        </is>
      </c>
      <c r="N11" s="14" t="n"/>
      <c r="O11" s="14" t="inlineStr">
        <is>
          <t>不明</t>
        </is>
      </c>
      <c r="P11" s="14" t="inlineStr">
        <is>
          <t>策定済</t>
        </is>
      </c>
      <c r="Q11" s="12" t="n"/>
      <c r="R11" s="12"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6" t="inlineStr">
        <is>
          <t>調査済</t>
        </is>
      </c>
      <c r="T11" s="12" t="inlineStr">
        <is>
          <t>掲載</t>
        </is>
      </c>
    </row>
    <row r="12">
      <c r="A12" s="12" t="n">
        <v>9</v>
      </c>
      <c r="B12" s="12" t="inlineStr">
        <is>
          <t>岩沼市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岩沼市民バス運行計画</t>
        </is>
      </c>
      <c r="G12" s="12" t="inlineStr">
        <is>
          <t>R6〜R12</t>
        </is>
      </c>
      <c r="H12" s="14" t="n">
        <v>12</v>
      </c>
      <c r="I12" s="14" t="inlineStr">
        <is>
          <t>確認済</t>
        </is>
      </c>
      <c r="J12" s="14" t="inlineStr">
        <is>
          <t>未確認</t>
        </is>
      </c>
      <c r="K12" s="15" t="inlineStr">
        <is>
          <t>https://www.city.iwanuma.miyagi.jp/kurashi/kotsu/shimin-bus/documents/shinbuskeikaku.pdf</t>
        </is>
      </c>
      <c r="L12" s="12" t="inlineStr">
        <is>
          <t>岩沼市環境基本計画</t>
        </is>
      </c>
      <c r="M12" s="12" t="inlineStr">
        <is>
          <t>H28〜R7</t>
        </is>
      </c>
      <c r="N12" s="14" t="n">
        <v>7</v>
      </c>
      <c r="O12" s="14" t="inlineStr">
        <is>
          <t>確認済</t>
        </is>
      </c>
      <c r="P12" s="14" t="inlineStr">
        <is>
          <t>未確認</t>
        </is>
      </c>
      <c r="Q12" s="15" t="inlineStr">
        <is>
          <t>https://www.city.iwanuma.miyagi.jp/kurashi/kankyo-eisei/kankyo-eisei/kankyo-keikaku.html</t>
        </is>
      </c>
      <c r="R12" s="12"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6" t="inlineStr">
        <is>
          <t>調査済</t>
        </is>
      </c>
      <c r="T12" s="18" t="inlineStr">
        <is>
          <t>未掲載【当方は計画あり】</t>
        </is>
      </c>
    </row>
    <row r="13">
      <c r="A13" s="12" t="n">
        <v>10</v>
      </c>
      <c r="B13" s="12" t="inlineStr">
        <is>
          <t>登米市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登米市地域公共交通計画</t>
        </is>
      </c>
      <c r="G13" s="12" t="inlineStr">
        <is>
          <t>R7〜R11</t>
        </is>
      </c>
      <c r="H13" s="14" t="n">
        <v>11</v>
      </c>
      <c r="I13" s="14" t="inlineStr">
        <is>
          <t>確認済</t>
        </is>
      </c>
      <c r="J13" s="14" t="inlineStr">
        <is>
          <t>策定済</t>
        </is>
      </c>
      <c r="K13" s="15" t="inlineStr">
        <is>
          <t>https://www.city.tome.miyagi.jp/shiminkyodo/koukyoukoutsuu/documents/tomechikikoukyokotsukeikakuan.pdf</t>
        </is>
      </c>
      <c r="L13" s="12" t="inlineStr">
        <is>
          <t>第3次登米市環境基本計画</t>
        </is>
      </c>
      <c r="M13" s="12" t="inlineStr">
        <is>
          <t>R8〜R17</t>
        </is>
      </c>
      <c r="N13" s="14" t="n">
        <v>17</v>
      </c>
      <c r="O13" s="14" t="inlineStr">
        <is>
          <t>確認済</t>
        </is>
      </c>
      <c r="P13" s="14" t="inlineStr">
        <is>
          <t>策定済</t>
        </is>
      </c>
      <c r="Q13" s="15" t="inlineStr">
        <is>
          <t>https://www.city.tome.miyagi.jp/kankyo/shisejoho/gyose/sogokekaku/documents/3rdenviplan.pdf</t>
        </is>
      </c>
      <c r="R13" s="12"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6" t="inlineStr">
        <is>
          <t>調査済</t>
        </is>
      </c>
      <c r="T13" s="12" t="inlineStr">
        <is>
          <t>掲載</t>
        </is>
      </c>
    </row>
    <row r="14">
      <c r="A14" s="12" t="n">
        <v>11</v>
      </c>
      <c r="B14" s="12" t="inlineStr">
        <is>
          <t>栗原市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栗原市地域公共交通計画（前身：栗原市地域公共交通網形成計画）</t>
        </is>
      </c>
      <c r="G14" s="12" t="inlineStr">
        <is>
          <t>不明</t>
        </is>
      </c>
      <c r="H14" s="14" t="n"/>
      <c r="I14" s="14" t="inlineStr">
        <is>
          <t>不明</t>
        </is>
      </c>
      <c r="J14" s="14" t="inlineStr">
        <is>
          <t>未確認</t>
        </is>
      </c>
      <c r="K14" s="15" t="inlineStr">
        <is>
          <t>https://www.kuriharacity.jp/li/010/020/120/index.html</t>
        </is>
      </c>
      <c r="L14" s="12" t="inlineStr">
        <is>
          <t>第2次栗原市環境基本計画</t>
        </is>
      </c>
      <c r="M14" s="12" t="inlineStr">
        <is>
          <t>H30〜R9（10年間）</t>
        </is>
      </c>
      <c r="N14" s="14" t="n">
        <v>9</v>
      </c>
      <c r="O14" s="14" t="inlineStr">
        <is>
          <t>確認済</t>
        </is>
      </c>
      <c r="P14" s="14" t="inlineStr">
        <is>
          <t>着手済</t>
        </is>
      </c>
      <c r="Q14" s="15" t="inlineStr">
        <is>
          <t>https://www.kuriharacity.jp/w012/010/010/020/120/51193.html</t>
        </is>
      </c>
      <c r="R14" s="12"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6" t="inlineStr">
        <is>
          <t>調査済</t>
        </is>
      </c>
      <c r="T14" s="12" t="inlineStr">
        <is>
          <t>掲載</t>
        </is>
      </c>
    </row>
    <row r="15">
      <c r="A15" s="12" t="n">
        <v>12</v>
      </c>
      <c r="B15" s="12" t="inlineStr">
        <is>
          <t>東松島市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東松島市地域公共交通網形成計画（+再編実施計画 H30.12）</t>
        </is>
      </c>
      <c r="G15" s="12" t="inlineStr">
        <is>
          <t>H29〜R3</t>
        </is>
      </c>
      <c r="H15" s="14" t="n">
        <v>3</v>
      </c>
      <c r="I15" s="14" t="inlineStr">
        <is>
          <t>確認済</t>
        </is>
      </c>
      <c r="J15" s="14" t="inlineStr">
        <is>
          <t>未確認</t>
        </is>
      </c>
      <c r="K15" s="15" t="inlineStr">
        <is>
          <t>https://www.city.higashimatsushima.miyagi.jp/shisei/shisaku-keikaku/kihonkeikaku/kokyokotsumo-keisei.html</t>
        </is>
      </c>
      <c r="L15" s="12" t="inlineStr">
        <is>
          <t>東松島市第2次環境基本計画</t>
        </is>
      </c>
      <c r="M15" s="12" t="inlineStr">
        <is>
          <t>H29〜R8</t>
        </is>
      </c>
      <c r="N15" s="14" t="n">
        <v>8</v>
      </c>
      <c r="O15" s="14" t="inlineStr">
        <is>
          <t>確認済</t>
        </is>
      </c>
      <c r="P15" s="14" t="inlineStr">
        <is>
          <t>未確認</t>
        </is>
      </c>
      <c r="Q15" s="15" t="inlineStr">
        <is>
          <t>https://www.city.higashimatsushima.miyagi.jp/shisei/shisaku-keikaku/kihonkeikaku/index.html</t>
        </is>
      </c>
      <c r="R15" s="12"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6" t="inlineStr">
        <is>
          <t>調査済</t>
        </is>
      </c>
      <c r="T15" s="18" t="inlineStr">
        <is>
          <t>掲載／期間満了</t>
        </is>
      </c>
    </row>
    <row r="16">
      <c r="A16" s="12" t="n">
        <v>13</v>
      </c>
      <c r="B16" s="12" t="inlineStr">
        <is>
          <t>大崎市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大崎市地域公共交通計画（都市・地域総合交通戦略と一体）</t>
        </is>
      </c>
      <c r="G16" s="12" t="inlineStr">
        <is>
          <t>R3〜R12</t>
        </is>
      </c>
      <c r="H16" s="14" t="n">
        <v>12</v>
      </c>
      <c r="I16" s="14" t="inlineStr">
        <is>
          <t>確認済</t>
        </is>
      </c>
      <c r="J16" s="14" t="inlineStr">
        <is>
          <t>未確認</t>
        </is>
      </c>
      <c r="K16" s="15" t="inlineStr">
        <is>
          <t>https://www.city.osaki.miyagi.jp/shisei/soshikikarasagasu/shiminkyodousuishimbu/machizukurisuishinka/3/2/1/3214.html</t>
        </is>
      </c>
      <c r="L16" s="12" t="inlineStr">
        <is>
          <t>第2次大崎市環境基本計画</t>
        </is>
      </c>
      <c r="M16" s="12" t="inlineStr">
        <is>
          <t>R2〜R11</t>
        </is>
      </c>
      <c r="N16" s="14" t="n">
        <v>11</v>
      </c>
      <c r="O16" s="14" t="inlineStr">
        <is>
          <t>確認済</t>
        </is>
      </c>
      <c r="P16" s="14" t="inlineStr">
        <is>
          <t>未確認</t>
        </is>
      </c>
      <c r="Q16" s="15" t="inlineStr">
        <is>
          <t>https://www.city.osaki.miyagi.jp/material/files/group/12/20200421-200432.pdf</t>
        </is>
      </c>
      <c r="R16" s="12"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6" t="inlineStr">
        <is>
          <t>調査済</t>
        </is>
      </c>
      <c r="T16" s="12" t="inlineStr">
        <is>
          <t>掲載</t>
        </is>
      </c>
    </row>
    <row r="17">
      <c r="A17" s="12" t="n">
        <v>14</v>
      </c>
      <c r="B17" s="12" t="inlineStr">
        <is>
          <t>富谷市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富谷市地域公共交通計画</t>
        </is>
      </c>
      <c r="G17" s="12" t="inlineStr">
        <is>
          <t>R7〜R11</t>
        </is>
      </c>
      <c r="H17" s="14" t="n">
        <v>11</v>
      </c>
      <c r="I17" s="14" t="inlineStr">
        <is>
          <t>確認済</t>
        </is>
      </c>
      <c r="J17" s="14" t="inlineStr">
        <is>
          <t>策定済</t>
        </is>
      </c>
      <c r="K17" s="15" t="inlineStr">
        <is>
          <t>https://www.tomiya-city.miyagi.jp/uploads/pdf/b4883b320d97c8ac81041749b47dad0a9397ae5e.pdf</t>
        </is>
      </c>
      <c r="L17" s="12" t="n"/>
      <c r="M17" s="12" t="inlineStr">
        <is>
          <t>不明</t>
        </is>
      </c>
      <c r="N17" s="14" t="n"/>
      <c r="O17" s="14" t="inlineStr">
        <is>
          <t>不明</t>
        </is>
      </c>
      <c r="P17" s="14" t="inlineStr">
        <is>
          <t>未確認</t>
        </is>
      </c>
      <c r="Q17" s="12" t="n"/>
      <c r="R17" s="12"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19" t="inlineStr">
        <is>
          <t>交通のみ調査</t>
        </is>
      </c>
      <c r="T17" s="12" t="inlineStr">
        <is>
          <t>掲載</t>
        </is>
      </c>
    </row>
    <row r="18">
      <c r="A18" s="12" t="n">
        <v>15</v>
      </c>
      <c r="B18" s="12" t="inlineStr">
        <is>
          <t>蔵王町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蔵王町地域公共交通計画</t>
        </is>
      </c>
      <c r="G18" s="12" t="inlineStr">
        <is>
          <t>R4〜R8</t>
        </is>
      </c>
      <c r="H18" s="14" t="n">
        <v>8</v>
      </c>
      <c r="I18" s="14" t="inlineStr">
        <is>
          <t>確認済</t>
        </is>
      </c>
      <c r="J18" s="14" t="inlineStr">
        <is>
          <t>未確認</t>
        </is>
      </c>
      <c r="K18" s="15" t="inlineStr">
        <is>
          <t>https://www.town.zao.miyagi.jp/kurashi_guide/seikatsu_kankyo/koutuu/koukyoukoutsuu.html</t>
        </is>
      </c>
      <c r="L18" s="12" t="inlineStr">
        <is>
          <t>第2次蔵王町環境基本計画</t>
        </is>
      </c>
      <c r="M18" s="12" t="inlineStr">
        <is>
          <t>R5〜R14</t>
        </is>
      </c>
      <c r="N18" s="14" t="n">
        <v>14</v>
      </c>
      <c r="O18" s="14" t="inlineStr">
        <is>
          <t>確認済</t>
        </is>
      </c>
      <c r="P18" s="14" t="inlineStr">
        <is>
          <t>未確認</t>
        </is>
      </c>
      <c r="Q18" s="15" t="inlineStr">
        <is>
          <t>https://town.zao.miyagi.jp/section/kankyo/kankyou/kihonkeikaku.files/kankyoukeikaku2.pdf</t>
        </is>
      </c>
      <c r="R18" s="12"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6" t="inlineStr">
        <is>
          <t>調査済</t>
        </is>
      </c>
      <c r="T18" s="12" t="inlineStr">
        <is>
          <t>掲載</t>
        </is>
      </c>
    </row>
    <row r="19">
      <c r="A19" s="12" t="n">
        <v>16</v>
      </c>
      <c r="B19" s="12" t="inlineStr">
        <is>
          <t>七ヶ宿町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n"/>
      <c r="G19" s="12" t="inlineStr">
        <is>
          <t>不明</t>
        </is>
      </c>
      <c r="H19" s="14" t="n"/>
      <c r="I19" s="14" t="inlineStr">
        <is>
          <t>不明</t>
        </is>
      </c>
      <c r="J19" s="14" t="inlineStr">
        <is>
          <t>未確認</t>
        </is>
      </c>
      <c r="K19" s="12" t="n"/>
      <c r="L19" s="12" t="n"/>
      <c r="M19" s="12" t="inlineStr">
        <is>
          <t>不明</t>
        </is>
      </c>
      <c r="N19" s="14" t="n"/>
      <c r="O19" s="14" t="inlineStr">
        <is>
          <t>不明</t>
        </is>
      </c>
      <c r="P19" s="14" t="inlineStr">
        <is>
          <t>計画なし</t>
        </is>
      </c>
      <c r="Q19" s="12" t="n"/>
      <c r="R19" s="12"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9" t="inlineStr">
        <is>
          <t>環境のみ調査</t>
        </is>
      </c>
      <c r="T19" s="12" t="inlineStr">
        <is>
          <t>未掲載</t>
        </is>
      </c>
    </row>
    <row r="20">
      <c r="A20" s="12" t="n">
        <v>17</v>
      </c>
      <c r="B20" s="12" t="inlineStr">
        <is>
          <t>大河原町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n"/>
      <c r="G20" s="12" t="inlineStr">
        <is>
          <t>不明</t>
        </is>
      </c>
      <c r="H20" s="14" t="n"/>
      <c r="I20" s="14" t="inlineStr">
        <is>
          <t>不明</t>
        </is>
      </c>
      <c r="J20" s="14" t="inlineStr">
        <is>
          <t>未確認</t>
        </is>
      </c>
      <c r="K20" s="15" t="inlineStr">
        <is>
          <t>https://www.town.ogawara.miyagi.jp/1292.htm</t>
        </is>
      </c>
      <c r="L20" s="12" t="inlineStr">
        <is>
          <t>第2次大河原町環境基本計画</t>
        </is>
      </c>
      <c r="M20" s="12" t="inlineStr">
        <is>
          <t>R7〜（終期不明）</t>
        </is>
      </c>
      <c r="N20" s="17" t="n"/>
      <c r="O20" s="14" t="inlineStr">
        <is>
          <t>推定</t>
        </is>
      </c>
      <c r="P20" s="14" t="inlineStr">
        <is>
          <t>策定済</t>
        </is>
      </c>
      <c r="Q20" s="15" t="inlineStr">
        <is>
          <t>https://www.town.ogawara.miyagi.jp/7882.htm</t>
        </is>
      </c>
      <c r="R20" s="12"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6" t="inlineStr">
        <is>
          <t>調査済</t>
        </is>
      </c>
      <c r="T20" s="18" t="inlineStr">
        <is>
          <t>未掲載【当方は計画あり】</t>
        </is>
      </c>
    </row>
    <row r="21">
      <c r="A21" s="12" t="n">
        <v>18</v>
      </c>
      <c r="B21" s="12" t="inlineStr">
        <is>
          <t>村田町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9" t="inlineStr">
        <is>
          <t>環境のみ調査</t>
        </is>
      </c>
      <c r="T21" s="12" t="inlineStr">
        <is>
          <t>未掲載</t>
        </is>
      </c>
    </row>
    <row r="22">
      <c r="A22" s="12" t="n">
        <v>19</v>
      </c>
      <c r="B22" s="12" t="inlineStr">
        <is>
          <t>柴田町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阿武隈急行線地域公共交通計画（福島市・伊達市・角田市・柴田町・丸森町・両県共同）</t>
        </is>
      </c>
      <c r="G22" s="12" t="inlineStr">
        <is>
          <t>R7〜（詳細不明）</t>
        </is>
      </c>
      <c r="H22" s="14" t="n"/>
      <c r="I22" s="14" t="inlineStr">
        <is>
          <t>不明</t>
        </is>
      </c>
      <c r="J22" s="14" t="inlineStr">
        <is>
          <t>策定済</t>
        </is>
      </c>
      <c r="K22" s="15" t="inlineStr">
        <is>
          <t>https://www.pref.miyagi.jp/soshiki/soukou/abukumakyougikai-keikaku2.html</t>
        </is>
      </c>
      <c r="L22" s="12" t="inlineStr">
        <is>
          <t>第3次柴田町環境基本計画</t>
        </is>
      </c>
      <c r="M22" s="12" t="inlineStr">
        <is>
          <t>R5〜R14（推定）</t>
        </is>
      </c>
      <c r="N22" s="17" t="n">
        <v>14</v>
      </c>
      <c r="O22" s="14" t="inlineStr">
        <is>
          <t>推定</t>
        </is>
      </c>
      <c r="P22" s="14" t="inlineStr">
        <is>
          <t>未確認</t>
        </is>
      </c>
      <c r="Q22" s="15" t="inlineStr">
        <is>
          <t>https://www.town.shibata.miyagi.jp/index.cfm/82,54128,c,html/54128/20230329-105154.pdf</t>
        </is>
      </c>
      <c r="R22" s="12"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6" t="inlineStr">
        <is>
          <t>調査済</t>
        </is>
      </c>
      <c r="T22" s="12" t="inlineStr">
        <is>
          <t>掲載（広域：阿武隈急行線地域）</t>
        </is>
      </c>
    </row>
    <row r="23">
      <c r="A23" s="12" t="n">
        <v>20</v>
      </c>
      <c r="B23" s="12" t="inlineStr">
        <is>
          <t>川崎町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川崎町地域公共交通総合連携計画（旧制度計画）</t>
        </is>
      </c>
      <c r="G23" s="12" t="inlineStr">
        <is>
          <t>不明</t>
        </is>
      </c>
      <c r="H23" s="14" t="n"/>
      <c r="I23" s="14" t="inlineStr">
        <is>
          <t>不明</t>
        </is>
      </c>
      <c r="J23" s="14" t="inlineStr">
        <is>
          <t>未確認</t>
        </is>
      </c>
      <c r="K23" s="15" t="inlineStr">
        <is>
          <t>https://www.town.kawasaki.miyagi.jp/soshiki/chishin/484.html</t>
        </is>
      </c>
      <c r="L23" s="12" t="n"/>
      <c r="M23" s="12" t="inlineStr">
        <is>
          <t>不明</t>
        </is>
      </c>
      <c r="N23" s="14" t="n"/>
      <c r="O23" s="14" t="inlineStr">
        <is>
          <t>不明</t>
        </is>
      </c>
      <c r="P23" s="14" t="inlineStr">
        <is>
          <t>計画なし</t>
        </is>
      </c>
      <c r="Q23" s="12" t="n"/>
      <c r="R23" s="12"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6" t="inlineStr">
        <is>
          <t>調査済</t>
        </is>
      </c>
      <c r="T23" s="18" t="inlineStr">
        <is>
          <t>未掲載【当方は計画あり】</t>
        </is>
      </c>
    </row>
    <row r="24">
      <c r="A24" s="12" t="n">
        <v>21</v>
      </c>
      <c r="B24" s="12" t="inlineStr">
        <is>
          <t>丸森町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丸森町地域公共交通計画</t>
        </is>
      </c>
      <c r="G24" s="12" t="inlineStr">
        <is>
          <t>R6〜R10（推定）</t>
        </is>
      </c>
      <c r="H24" s="17" t="n">
        <v>10</v>
      </c>
      <c r="I24" s="14" t="inlineStr">
        <is>
          <t>推定</t>
        </is>
      </c>
      <c r="J24" s="14" t="inlineStr">
        <is>
          <t>未確認</t>
        </is>
      </c>
      <c r="K24" s="15" t="inlineStr">
        <is>
          <t>http://www.town.marumori.miyagi.jp/common/img/content/content_20240411_180249.pdf</t>
        </is>
      </c>
      <c r="L24" s="12" t="n"/>
      <c r="M24" s="12" t="inlineStr">
        <is>
          <t>不明</t>
        </is>
      </c>
      <c r="N24" s="14" t="n"/>
      <c r="O24" s="14" t="inlineStr">
        <is>
          <t>不明</t>
        </is>
      </c>
      <c r="P24" s="14" t="inlineStr">
        <is>
          <t>計画なし</t>
        </is>
      </c>
      <c r="Q24" s="12" t="n"/>
      <c r="R24" s="12"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6" t="inlineStr">
        <is>
          <t>調査済</t>
        </is>
      </c>
      <c r="T24" s="12" t="inlineStr">
        <is>
          <t>掲載（広域：阿武隈急行線地域）</t>
        </is>
      </c>
    </row>
    <row r="25">
      <c r="A25" s="12" t="n">
        <v>22</v>
      </c>
      <c r="B25" s="12" t="inlineStr">
        <is>
          <t>亘理町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亘理町地域公共交通計画</t>
        </is>
      </c>
      <c r="G25" s="12" t="inlineStr">
        <is>
          <t>R6〜R10</t>
        </is>
      </c>
      <c r="H25" s="14" t="n">
        <v>10</v>
      </c>
      <c r="I25" s="14" t="inlineStr">
        <is>
          <t>確認済</t>
        </is>
      </c>
      <c r="J25" s="14" t="inlineStr">
        <is>
          <t>未確認</t>
        </is>
      </c>
      <c r="K25" s="15" t="inlineStr">
        <is>
          <t>https://www.town.watari.miyagi.jp/town/detail.php?content=1730</t>
        </is>
      </c>
      <c r="L25" s="12" t="inlineStr">
        <is>
          <t>第2次亘理町環境基本計画</t>
        </is>
      </c>
      <c r="M25" s="12" t="inlineStr">
        <is>
          <t>不明（R4.1頃公表）</t>
        </is>
      </c>
      <c r="N25" s="14" t="n"/>
      <c r="O25" s="14" t="inlineStr">
        <is>
          <t>不明</t>
        </is>
      </c>
      <c r="P25" s="14" t="inlineStr">
        <is>
          <t>未確認</t>
        </is>
      </c>
      <c r="Q25" s="15" t="inlineStr">
        <is>
          <t>https://www.town.watari.miyagi.jp/common/img/content/content_20220126_163920.pdf</t>
        </is>
      </c>
      <c r="R25" s="12"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6" t="inlineStr">
        <is>
          <t>調査済</t>
        </is>
      </c>
      <c r="T25" s="12" t="inlineStr">
        <is>
          <t>掲載</t>
        </is>
      </c>
    </row>
    <row r="26">
      <c r="A26" s="12" t="n">
        <v>23</v>
      </c>
      <c r="B26" s="12" t="inlineStr">
        <is>
          <t>山元町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山元町地域公共交通計画（R7.7変更）</t>
        </is>
      </c>
      <c r="G26" s="12" t="inlineStr">
        <is>
          <t>R6〜R10</t>
        </is>
      </c>
      <c r="H26" s="14" t="n">
        <v>10</v>
      </c>
      <c r="I26" s="14" t="inlineStr">
        <is>
          <t>確認済</t>
        </is>
      </c>
      <c r="J26" s="14" t="inlineStr">
        <is>
          <t>未確認</t>
        </is>
      </c>
      <c r="K26" s="15" t="inlineStr">
        <is>
          <t>https://www.town.yamamoto.miyagi.jp/uploaded/attachment/19314.pdf</t>
        </is>
      </c>
      <c r="L26" s="12" t="n"/>
      <c r="M26" s="12" t="inlineStr">
        <is>
          <t>不明</t>
        </is>
      </c>
      <c r="N26" s="14" t="n"/>
      <c r="O26" s="14" t="inlineStr">
        <is>
          <t>不明</t>
        </is>
      </c>
      <c r="P26" s="14" t="inlineStr">
        <is>
          <t>計画なし</t>
        </is>
      </c>
      <c r="Q26" s="12" t="n"/>
      <c r="R26" s="12"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6" t="inlineStr">
        <is>
          <t>調査済</t>
        </is>
      </c>
      <c r="T26" s="12" t="inlineStr">
        <is>
          <t>掲載</t>
        </is>
      </c>
    </row>
    <row r="27">
      <c r="A27" s="12" t="n">
        <v>24</v>
      </c>
      <c r="B27" s="12" t="inlineStr">
        <is>
          <t>松島町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松島町の交通関係計画（H29年度策定、正式名称未確認・期間満了）</t>
        </is>
      </c>
      <c r="G27" s="12" t="inlineStr">
        <is>
          <t>不明</t>
        </is>
      </c>
      <c r="H27" s="14" t="n"/>
      <c r="I27" s="14" t="inlineStr">
        <is>
          <t>不明</t>
        </is>
      </c>
      <c r="J27" s="14" t="inlineStr">
        <is>
          <t>未確認</t>
        </is>
      </c>
      <c r="K27" s="12" t="n"/>
      <c r="L27" s="12" t="n"/>
      <c r="M27" s="12" t="inlineStr">
        <is>
          <t>不明</t>
        </is>
      </c>
      <c r="N27" s="14" t="n"/>
      <c r="O27" s="14" t="inlineStr">
        <is>
          <t>不明</t>
        </is>
      </c>
      <c r="P27" s="14" t="inlineStr">
        <is>
          <t>計画なし</t>
        </is>
      </c>
      <c r="Q27" s="12" t="n"/>
      <c r="R27" s="12"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6" t="inlineStr">
        <is>
          <t>調査済</t>
        </is>
      </c>
      <c r="T27" s="18" t="inlineStr">
        <is>
          <t>掲載／期間満了</t>
        </is>
      </c>
    </row>
    <row r="28">
      <c r="A28" s="12" t="n">
        <v>25</v>
      </c>
      <c r="B28" s="12" t="inlineStr">
        <is>
          <t>七ヶ浜町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n"/>
      <c r="G28" s="12" t="inlineStr">
        <is>
          <t>不明</t>
        </is>
      </c>
      <c r="H28" s="14" t="n"/>
      <c r="I28" s="14" t="inlineStr">
        <is>
          <t>不明</t>
        </is>
      </c>
      <c r="J28" s="14" t="inlineStr">
        <is>
          <t>計画なし</t>
        </is>
      </c>
      <c r="K28" s="12" t="n"/>
      <c r="L28" s="12" t="n"/>
      <c r="M28" s="12" t="inlineStr">
        <is>
          <t>不明</t>
        </is>
      </c>
      <c r="N28" s="14" t="n"/>
      <c r="O28" s="14" t="inlineStr">
        <is>
          <t>不明</t>
        </is>
      </c>
      <c r="P28" s="14" t="inlineStr">
        <is>
          <t>計画なし</t>
        </is>
      </c>
      <c r="Q28" s="12" t="n"/>
      <c r="R28" s="12"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9" t="inlineStr">
        <is>
          <t>環境のみ調査</t>
        </is>
      </c>
      <c r="T28" s="12" t="inlineStr">
        <is>
          <t>未掲載</t>
        </is>
      </c>
    </row>
    <row r="29">
      <c r="A29" s="12" t="n">
        <v>26</v>
      </c>
      <c r="B29" s="12" t="inlineStr">
        <is>
          <t>利府町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利府町地域公共交通計画（改定版）</t>
        </is>
      </c>
      <c r="G29" s="12" t="inlineStr">
        <is>
          <t>R5〜（期間不明）</t>
        </is>
      </c>
      <c r="H29" s="14" t="n"/>
      <c r="I29" s="14" t="inlineStr">
        <is>
          <t>不明</t>
        </is>
      </c>
      <c r="J29" s="14" t="inlineStr">
        <is>
          <t>未確認</t>
        </is>
      </c>
      <c r="K29" s="15" t="inlineStr">
        <is>
          <t>https://www.town.rifu.miyagi.jp/gyosei/soshikikarasagasu/seikatu/koukyoukoutu/1/1162.html</t>
        </is>
      </c>
      <c r="L29" s="12" t="n"/>
      <c r="M29" s="12" t="inlineStr">
        <is>
          <t>不明</t>
        </is>
      </c>
      <c r="N29" s="14" t="n"/>
      <c r="O29" s="14" t="inlineStr">
        <is>
          <t>不明</t>
        </is>
      </c>
      <c r="P29" s="14" t="inlineStr">
        <is>
          <t>計画なし</t>
        </is>
      </c>
      <c r="Q29" s="12" t="n"/>
      <c r="R29" s="12"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6" t="inlineStr">
        <is>
          <t>調査済</t>
        </is>
      </c>
      <c r="T29" s="12" t="inlineStr">
        <is>
          <t>掲載</t>
        </is>
      </c>
    </row>
    <row r="30">
      <c r="A30" s="12" t="n">
        <v>27</v>
      </c>
      <c r="B30" s="12" t="inlineStr">
        <is>
          <t>大和町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大和町地域公共交通計画</t>
        </is>
      </c>
      <c r="G30" s="12" t="inlineStr">
        <is>
          <t>R6〜R10</t>
        </is>
      </c>
      <c r="H30" s="14" t="n">
        <v>10</v>
      </c>
      <c r="I30" s="14" t="inlineStr">
        <is>
          <t>確認済</t>
        </is>
      </c>
      <c r="J30" s="14" t="inlineStr">
        <is>
          <t>未確認</t>
        </is>
      </c>
      <c r="K30" s="15" t="inlineStr">
        <is>
          <t>https://www.town.taiwa.miyagi.jp/soshiki/machizukuriseisaku/machizukuri_suishin/bustaxi/3547.html</t>
        </is>
      </c>
      <c r="L30" s="12" t="inlineStr">
        <is>
          <t>大和町第三次環境基本計画</t>
        </is>
      </c>
      <c r="M30" s="12" t="inlineStr">
        <is>
          <t>R6〜R15</t>
        </is>
      </c>
      <c r="N30" s="14" t="n">
        <v>15</v>
      </c>
      <c r="O30" s="14" t="inlineStr">
        <is>
          <t>確認済</t>
        </is>
      </c>
      <c r="P30" s="14" t="inlineStr">
        <is>
          <t>未確認</t>
        </is>
      </c>
      <c r="Q30" s="15" t="inlineStr">
        <is>
          <t>https://www.town.taiwa.miyagi.jp/soshiki/chominseikatsu/seikatsukankyo/3718.html</t>
        </is>
      </c>
      <c r="R30" s="12" t="inlineStr">
        <is>
          <t>交通：R6〜R10の5年計画。協議会 https://www.town.taiwa.miyagi.jp/soshiki/machizukuriseisaku/machizukuri_suishin/taiwatownkaigi/4244.html 。環境：第五次総合計画の分野計画、R6〜R15。改定作業は両計画とも未確認（時期的に未着手が自然）。</t>
        </is>
      </c>
      <c r="S30" s="16" t="inlineStr">
        <is>
          <t>調査済</t>
        </is>
      </c>
      <c r="T30" s="12" t="inlineStr">
        <is>
          <t>掲載</t>
        </is>
      </c>
    </row>
    <row r="31">
      <c r="A31" s="12" t="n">
        <v>28</v>
      </c>
      <c r="B31" s="12" t="inlineStr">
        <is>
          <t>大郷町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n"/>
      <c r="G31" s="12" t="inlineStr">
        <is>
          <t>不明</t>
        </is>
      </c>
      <c r="H31" s="14" t="n"/>
      <c r="I31" s="14" t="inlineStr">
        <is>
          <t>不明</t>
        </is>
      </c>
      <c r="J31" s="14" t="inlineStr">
        <is>
          <t>未確認</t>
        </is>
      </c>
      <c r="K31" s="12" t="n"/>
      <c r="L31" s="12" t="n"/>
      <c r="M31" s="12" t="inlineStr">
        <is>
          <t>不明</t>
        </is>
      </c>
      <c r="N31" s="14" t="n"/>
      <c r="O31" s="14" t="inlineStr">
        <is>
          <t>不明</t>
        </is>
      </c>
      <c r="P31" s="14" t="inlineStr">
        <is>
          <t>未確認</t>
        </is>
      </c>
      <c r="Q31" s="12" t="n"/>
      <c r="R31" s="12"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19" t="inlineStr">
        <is>
          <t>未調査</t>
        </is>
      </c>
      <c r="T31" s="12" t="inlineStr">
        <is>
          <t>未掲載</t>
        </is>
      </c>
    </row>
    <row r="32">
      <c r="A32" s="12" t="n">
        <v>29</v>
      </c>
      <c r="B32" s="12" t="inlineStr">
        <is>
          <t>大衡村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n"/>
      <c r="G32" s="12" t="inlineStr">
        <is>
          <t>不明</t>
        </is>
      </c>
      <c r="H32" s="14" t="n"/>
      <c r="I32" s="14" t="inlineStr">
        <is>
          <t>不明</t>
        </is>
      </c>
      <c r="J32" s="14" t="inlineStr">
        <is>
          <t>未確認</t>
        </is>
      </c>
      <c r="K32" s="12" t="n"/>
      <c r="L32" s="12" t="n"/>
      <c r="M32" s="12" t="inlineStr">
        <is>
          <t>不明</t>
        </is>
      </c>
      <c r="N32" s="14" t="n"/>
      <c r="O32" s="14" t="inlineStr">
        <is>
          <t>不明</t>
        </is>
      </c>
      <c r="P32" s="14" t="inlineStr">
        <is>
          <t>計画なし</t>
        </is>
      </c>
      <c r="Q32" s="12" t="n"/>
      <c r="R32" s="12"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9" t="inlineStr">
        <is>
          <t>環境のみ調査</t>
        </is>
      </c>
      <c r="T32" s="12" t="inlineStr">
        <is>
          <t>未掲載</t>
        </is>
      </c>
    </row>
    <row r="33">
      <c r="A33" s="12" t="n">
        <v>30</v>
      </c>
      <c r="B33" s="12" t="inlineStr">
        <is>
          <t>色麻町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n"/>
      <c r="G33" s="12" t="inlineStr">
        <is>
          <t>不明</t>
        </is>
      </c>
      <c r="H33" s="14" t="n"/>
      <c r="I33" s="14" t="inlineStr">
        <is>
          <t>不明</t>
        </is>
      </c>
      <c r="J33" s="14" t="inlineStr">
        <is>
          <t>未確認</t>
        </is>
      </c>
      <c r="K33" s="12" t="n"/>
      <c r="L33" s="12" t="n"/>
      <c r="M33" s="12" t="inlineStr">
        <is>
          <t>不明</t>
        </is>
      </c>
      <c r="N33" s="14" t="n"/>
      <c r="O33" s="14" t="inlineStr">
        <is>
          <t>不明</t>
        </is>
      </c>
      <c r="P33" s="14" t="inlineStr">
        <is>
          <t>未確認</t>
        </is>
      </c>
      <c r="Q33" s="12" t="n"/>
      <c r="R33" s="12"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19" t="inlineStr">
        <is>
          <t>未調査</t>
        </is>
      </c>
      <c r="T33" s="12" t="inlineStr">
        <is>
          <t>未掲載</t>
        </is>
      </c>
    </row>
    <row r="34">
      <c r="A34" s="12" t="n">
        <v>31</v>
      </c>
      <c r="B34" s="12" t="inlineStr">
        <is>
          <t>加美町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n"/>
      <c r="G34" s="12" t="inlineStr">
        <is>
          <t>不明</t>
        </is>
      </c>
      <c r="H34" s="14" t="n"/>
      <c r="I34" s="14" t="inlineStr">
        <is>
          <t>不明</t>
        </is>
      </c>
      <c r="J34" s="14" t="inlineStr">
        <is>
          <t>着手済</t>
        </is>
      </c>
      <c r="K34" s="12" t="n"/>
      <c r="L34" s="12" t="inlineStr">
        <is>
          <t>加美町環境基本計画（改定版）</t>
        </is>
      </c>
      <c r="M34" s="12" t="inlineStr">
        <is>
          <t>R5〜R14</t>
        </is>
      </c>
      <c r="N34" s="14" t="n">
        <v>14</v>
      </c>
      <c r="O34" s="14" t="inlineStr">
        <is>
          <t>確認済</t>
        </is>
      </c>
      <c r="P34" s="14" t="inlineStr">
        <is>
          <t>未確認</t>
        </is>
      </c>
      <c r="Q34" s="15" t="inlineStr">
        <is>
          <t>https://www.town.kami.miyagi.jp/soshikikarasagasu/chominka/kankyoeisei/3689.html</t>
        </is>
      </c>
      <c r="R34" s="12"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9" t="inlineStr">
        <is>
          <t>環境のみ調査</t>
        </is>
      </c>
      <c r="T34" s="12" t="inlineStr">
        <is>
          <t>未掲載</t>
        </is>
      </c>
    </row>
    <row r="35">
      <c r="A35" s="12" t="n">
        <v>32</v>
      </c>
      <c r="B35" s="12" t="inlineStr">
        <is>
          <t>涌谷町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涌谷町地域公共交通計画</t>
        </is>
      </c>
      <c r="G35" s="12" t="inlineStr">
        <is>
          <t>R7〜R12</t>
        </is>
      </c>
      <c r="H35" s="14" t="n">
        <v>12</v>
      </c>
      <c r="I35" s="14" t="inlineStr">
        <is>
          <t>確認済</t>
        </is>
      </c>
      <c r="J35" s="14" t="inlineStr">
        <is>
          <t>策定済</t>
        </is>
      </c>
      <c r="K35" s="15" t="inlineStr">
        <is>
          <t>https://www.town.wakuya.miyagi.jp/documents/honpen.pdf</t>
        </is>
      </c>
      <c r="L35" s="12" t="n"/>
      <c r="M35" s="12" t="inlineStr">
        <is>
          <t>不明</t>
        </is>
      </c>
      <c r="N35" s="14" t="n"/>
      <c r="O35" s="14" t="inlineStr">
        <is>
          <t>不明</t>
        </is>
      </c>
      <c r="P35" s="14" t="inlineStr">
        <is>
          <t>計画なし</t>
        </is>
      </c>
      <c r="Q35" s="12" t="n"/>
      <c r="R35" s="12"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6" t="inlineStr">
        <is>
          <t>調査済</t>
        </is>
      </c>
      <c r="T35" s="12" t="inlineStr">
        <is>
          <t>掲載</t>
        </is>
      </c>
    </row>
    <row r="36">
      <c r="A36" s="12" t="n">
        <v>33</v>
      </c>
      <c r="B36" s="12" t="inlineStr">
        <is>
          <t>美里町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n"/>
      <c r="M36" s="12" t="inlineStr">
        <is>
          <t>不明</t>
        </is>
      </c>
      <c r="N36" s="14" t="n"/>
      <c r="O36" s="14" t="inlineStr">
        <is>
          <t>不明</t>
        </is>
      </c>
      <c r="P36" s="14" t="inlineStr">
        <is>
          <t>計画なし</t>
        </is>
      </c>
      <c r="Q36" s="12" t="n"/>
      <c r="R36" s="12"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9" t="inlineStr">
        <is>
          <t>環境のみ調査</t>
        </is>
      </c>
      <c r="T36" s="12" t="inlineStr">
        <is>
          <t>未掲載</t>
        </is>
      </c>
    </row>
    <row r="37">
      <c r="A37" s="12" t="n">
        <v>34</v>
      </c>
      <c r="B37" s="12" t="inlineStr">
        <is>
          <t>女川町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女川町地域公共交通計画</t>
        </is>
      </c>
      <c r="G37" s="12" t="inlineStr">
        <is>
          <t>R6〜R10</t>
        </is>
      </c>
      <c r="H37" s="14" t="n">
        <v>10</v>
      </c>
      <c r="I37" s="14" t="inlineStr">
        <is>
          <t>確認済</t>
        </is>
      </c>
      <c r="J37" s="14" t="inlineStr">
        <is>
          <t>未確認</t>
        </is>
      </c>
      <c r="K37" s="15" t="inlineStr">
        <is>
          <t>https://www.town.onagawa.miyagi.jp/pdf/koutsuu/koutsu_keikaku_gaiyou.pdf</t>
        </is>
      </c>
      <c r="L37" s="12" t="n"/>
      <c r="M37" s="12" t="inlineStr">
        <is>
          <t>不明</t>
        </is>
      </c>
      <c r="N37" s="14" t="n"/>
      <c r="O37" s="14" t="inlineStr">
        <is>
          <t>不明</t>
        </is>
      </c>
      <c r="P37" s="14" t="inlineStr">
        <is>
          <t>計画なし</t>
        </is>
      </c>
      <c r="Q37" s="12" t="n"/>
      <c r="R37" s="12"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6" t="inlineStr">
        <is>
          <t>調査済</t>
        </is>
      </c>
      <c r="T37" s="12" t="inlineStr">
        <is>
          <t>掲載</t>
        </is>
      </c>
    </row>
    <row r="38">
      <c r="A38" s="12" t="n">
        <v>35</v>
      </c>
      <c r="B38" s="12" t="inlineStr">
        <is>
          <t>南三陸町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南三陸町地域公共交通計画</t>
        </is>
      </c>
      <c r="G38" s="12" t="inlineStr">
        <is>
          <t>R8〜（終期不明）</t>
        </is>
      </c>
      <c r="H38" s="17" t="n"/>
      <c r="I38" s="14" t="inlineStr">
        <is>
          <t>推定</t>
        </is>
      </c>
      <c r="J38" s="14" t="inlineStr">
        <is>
          <t>策定済</t>
        </is>
      </c>
      <c r="K38" s="15" t="inlineStr">
        <is>
          <t>https://www.town.minamisanriku.miyagi.jp/material/files/group/3/202602042.pdf</t>
        </is>
      </c>
      <c r="L38" s="12" t="inlineStr">
        <is>
          <t>第2次南三陸町環境基本計画</t>
        </is>
      </c>
      <c r="M38" s="12" t="inlineStr">
        <is>
          <t>R8〜R17</t>
        </is>
      </c>
      <c r="N38" s="14" t="n">
        <v>17</v>
      </c>
      <c r="O38" s="14" t="inlineStr">
        <is>
          <t>確認済</t>
        </is>
      </c>
      <c r="P38" s="14" t="inlineStr">
        <is>
          <t>策定済</t>
        </is>
      </c>
      <c r="Q38" s="15" t="inlineStr">
        <is>
          <t>https://www.town.minamisanriku.miyagi.jp/material/files/group/7/keikakusyo.pdf</t>
        </is>
      </c>
      <c r="R38" s="12"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6" t="inlineStr">
        <is>
          <t>調査済</t>
        </is>
      </c>
      <c r="T38" s="12"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ref="U8" location="'営業メモ'!C10" display="→メモ"/>
    <hyperlink xmlns:r="http://schemas.openxmlformats.org/officeDocument/2006/relationships" ref="K9" r:id="rId9"/>
    <hyperlink xmlns:r="http://schemas.openxmlformats.org/officeDocument/2006/relationships" ref="Q9" r:id="rId10"/>
    <hyperlink ref="U9" location="'営業メモ'!C11" display="→メモ"/>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秋田県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秋田市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第4次秋田市公共交通政策ビジョン（秋田市地域公共交通計画）</t>
        </is>
      </c>
      <c r="G4" s="12" t="inlineStr">
        <is>
          <t>R8〜R12</t>
        </is>
      </c>
      <c r="H4" s="14" t="n">
        <v>12</v>
      </c>
      <c r="I4" s="14" t="inlineStr">
        <is>
          <t>確認済</t>
        </is>
      </c>
      <c r="J4" s="14" t="inlineStr">
        <is>
          <t>策定済</t>
        </is>
      </c>
      <c r="K4" s="15" t="inlineStr">
        <is>
          <t>https://www.city.akita.lg.jp/_res/projects/default_project/_page_/001/049/732/koukyoukoutuuseisakubijonn080306.pdf</t>
        </is>
      </c>
      <c r="L4" s="12" t="inlineStr">
        <is>
          <t>秋田市環境基本計画（R5.3中間見直し版）</t>
        </is>
      </c>
      <c r="M4" s="12" t="inlineStr">
        <is>
          <t>H30〜R9</t>
        </is>
      </c>
      <c r="N4" s="14" t="n">
        <v>9</v>
      </c>
      <c r="O4" s="14" t="inlineStr">
        <is>
          <t>確認済</t>
        </is>
      </c>
      <c r="P4" s="14" t="inlineStr">
        <is>
          <t>着手済</t>
        </is>
      </c>
      <c r="Q4" s="15" t="inlineStr">
        <is>
          <t>https://www.city.akita.lg.jp/_res/projects/default_project/_page_/001/006/108/keikaku23.pdf</t>
        </is>
      </c>
      <c r="R4" s="12"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6" t="inlineStr">
        <is>
          <t>調査済</t>
        </is>
      </c>
      <c r="T4" s="12" t="inlineStr">
        <is>
          <t>掲載</t>
        </is>
      </c>
      <c r="U4" s="20" t="inlineStr">
        <is>
          <t>→メモ</t>
        </is>
      </c>
    </row>
    <row r="5">
      <c r="A5" s="12" t="n">
        <v>2</v>
      </c>
      <c r="B5" s="12" t="inlineStr">
        <is>
          <t>能代市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能代市地域公共交通計画</t>
        </is>
      </c>
      <c r="G5" s="12" t="inlineStr">
        <is>
          <t>R6〜（終期不明）</t>
        </is>
      </c>
      <c r="H5" s="14" t="n"/>
      <c r="I5" s="14" t="inlineStr">
        <is>
          <t>不明</t>
        </is>
      </c>
      <c r="J5" s="14" t="inlineStr">
        <is>
          <t>未確認</t>
        </is>
      </c>
      <c r="K5" s="15" t="inlineStr">
        <is>
          <t>https://www.city.noshiro.lg.jp/sangyo/kokyo-kotsu/kokyokoutsu-keikaku/24040</t>
        </is>
      </c>
      <c r="L5" s="12" t="inlineStr">
        <is>
          <t>第2次能代市環境基本計画（R5.3見直し）</t>
        </is>
      </c>
      <c r="M5" s="12" t="inlineStr">
        <is>
          <t>H30〜R9</t>
        </is>
      </c>
      <c r="N5" s="14" t="n">
        <v>9</v>
      </c>
      <c r="O5" s="14" t="inlineStr">
        <is>
          <t>確認済</t>
        </is>
      </c>
      <c r="P5" s="14" t="inlineStr">
        <is>
          <t>未確認</t>
        </is>
      </c>
      <c r="Q5" s="15" t="inlineStr">
        <is>
          <t>https://www.city.noshiro.lg.jp/sangyo/kankyo/keikaku/22091</t>
        </is>
      </c>
      <c r="R5" s="12"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6" t="inlineStr">
        <is>
          <t>調査済</t>
        </is>
      </c>
      <c r="T5" s="12" t="inlineStr">
        <is>
          <t>掲載</t>
        </is>
      </c>
      <c r="U5" s="20" t="inlineStr">
        <is>
          <t>→メモ</t>
        </is>
      </c>
    </row>
    <row r="6">
      <c r="A6" s="12" t="n">
        <v>3</v>
      </c>
      <c r="B6" s="12" t="inlineStr">
        <is>
          <t>横手市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横手市地域公共交通計画</t>
        </is>
      </c>
      <c r="G6" s="12" t="inlineStr">
        <is>
          <t>R6〜R10</t>
        </is>
      </c>
      <c r="H6" s="14" t="n">
        <v>10</v>
      </c>
      <c r="I6" s="14" t="inlineStr">
        <is>
          <t>確認済</t>
        </is>
      </c>
      <c r="J6" s="14" t="inlineStr">
        <is>
          <t>未確認</t>
        </is>
      </c>
      <c r="K6" s="15" t="inlineStr">
        <is>
          <t>https://www.city.yokote.lg.jp/shisei/1001179/1001469/1001472/1003840.html</t>
        </is>
      </c>
      <c r="L6" s="12" t="inlineStr">
        <is>
          <t>第3次横手市環境基本計画</t>
        </is>
      </c>
      <c r="M6" s="12" t="inlineStr">
        <is>
          <t>R8〜R17</t>
        </is>
      </c>
      <c r="N6" s="14" t="n">
        <v>17</v>
      </c>
      <c r="O6" s="14" t="inlineStr">
        <is>
          <t>確認済</t>
        </is>
      </c>
      <c r="P6" s="14" t="inlineStr">
        <is>
          <t>策定済</t>
        </is>
      </c>
      <c r="Q6" s="15" t="inlineStr">
        <is>
          <t>https://www.city.yokote.lg.jp/shisei/1001179/1001469/1001471/1003346.html</t>
        </is>
      </c>
      <c r="R6" s="12"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6" t="inlineStr">
        <is>
          <t>調査済</t>
        </is>
      </c>
      <c r="T6" s="12" t="inlineStr">
        <is>
          <t>掲載</t>
        </is>
      </c>
    </row>
    <row r="7">
      <c r="A7" s="12" t="n">
        <v>4</v>
      </c>
      <c r="B7" s="12" t="inlineStr">
        <is>
          <t>大館市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大館市地域公共交通計画（旧・地域公共交通網形成計画、R7.8改定）</t>
        </is>
      </c>
      <c r="G7" s="12" t="inlineStr">
        <is>
          <t>H30〜R9</t>
        </is>
      </c>
      <c r="H7" s="14" t="n">
        <v>9</v>
      </c>
      <c r="I7" s="14" t="inlineStr">
        <is>
          <t>確認済</t>
        </is>
      </c>
      <c r="J7" s="14" t="inlineStr">
        <is>
          <t>未確認</t>
        </is>
      </c>
      <c r="K7" s="15" t="inlineStr">
        <is>
          <t>https://www.city.odate.lg.jp/city/soshiki/koutsu/p11901</t>
        </is>
      </c>
      <c r="L7" s="12" t="inlineStr">
        <is>
          <t>第3次大館市環境基本計画</t>
        </is>
      </c>
      <c r="M7" s="12" t="inlineStr">
        <is>
          <t>R3〜R12</t>
        </is>
      </c>
      <c r="N7" s="17" t="n">
        <v>12</v>
      </c>
      <c r="O7" s="14" t="inlineStr">
        <is>
          <t>推定</t>
        </is>
      </c>
      <c r="P7" s="14" t="inlineStr">
        <is>
          <t>未確認</t>
        </is>
      </c>
      <c r="Q7" s="15" t="inlineStr">
        <is>
          <t>https://www.city.odate.lg.jp/city/soshiki/kankyokikaku/p7909</t>
        </is>
      </c>
      <c r="R7" s="12"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6" t="inlineStr">
        <is>
          <t>調査済</t>
        </is>
      </c>
      <c r="T7" s="12" t="inlineStr">
        <is>
          <t>掲載</t>
        </is>
      </c>
      <c r="U7" s="20" t="inlineStr">
        <is>
          <t>→メモ</t>
        </is>
      </c>
    </row>
    <row r="8">
      <c r="A8" s="12" t="n">
        <v>5</v>
      </c>
      <c r="B8" s="12" t="inlineStr">
        <is>
          <t>男鹿市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男鹿市地域公共交通計画</t>
        </is>
      </c>
      <c r="G8" s="12" t="inlineStr">
        <is>
          <t>R6〜R10</t>
        </is>
      </c>
      <c r="H8" s="14" t="n">
        <v>10</v>
      </c>
      <c r="I8" s="14" t="inlineStr">
        <is>
          <t>確認済</t>
        </is>
      </c>
      <c r="J8" s="14" t="inlineStr">
        <is>
          <t>未確認</t>
        </is>
      </c>
      <c r="K8" s="15" t="inlineStr">
        <is>
          <t>https://www.city.oga.akita.jp/soshik/kikakuseisakuka/kakushukeikaku/6608.html</t>
        </is>
      </c>
      <c r="L8" s="12" t="n"/>
      <c r="M8" s="12" t="inlineStr">
        <is>
          <t>不明</t>
        </is>
      </c>
      <c r="N8" s="14" t="n"/>
      <c r="O8" s="14" t="inlineStr">
        <is>
          <t>不明</t>
        </is>
      </c>
      <c r="P8" s="14" t="inlineStr">
        <is>
          <t>計画なし</t>
        </is>
      </c>
      <c r="Q8" s="12" t="n"/>
      <c r="R8" s="12"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6" t="inlineStr">
        <is>
          <t>調査済</t>
        </is>
      </c>
      <c r="T8" s="12" t="inlineStr">
        <is>
          <t>掲載</t>
        </is>
      </c>
    </row>
    <row r="9">
      <c r="A9" s="12" t="n">
        <v>6</v>
      </c>
      <c r="B9" s="12" t="inlineStr">
        <is>
          <t>湯沢市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湯沢市地域公共交通計画</t>
        </is>
      </c>
      <c r="G9" s="12" t="inlineStr">
        <is>
          <t>R6〜R10</t>
        </is>
      </c>
      <c r="H9" s="14" t="n">
        <v>10</v>
      </c>
      <c r="I9" s="14" t="inlineStr">
        <is>
          <t>確認済</t>
        </is>
      </c>
      <c r="J9" s="14" t="inlineStr">
        <is>
          <t>未確認</t>
        </is>
      </c>
      <c r="K9" s="15" t="inlineStr">
        <is>
          <t>https://www.city-yuzawa.jp/soshiki/31/5581.html</t>
        </is>
      </c>
      <c r="L9" s="12" t="n"/>
      <c r="M9" s="12" t="inlineStr">
        <is>
          <t>不明</t>
        </is>
      </c>
      <c r="N9" s="14" t="n"/>
      <c r="O9" s="14" t="inlineStr">
        <is>
          <t>不明</t>
        </is>
      </c>
      <c r="P9" s="14" t="inlineStr">
        <is>
          <t>計画なし</t>
        </is>
      </c>
      <c r="Q9" s="12" t="n"/>
      <c r="R9" s="12"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6" t="inlineStr">
        <is>
          <t>調査済</t>
        </is>
      </c>
      <c r="T9" s="12" t="inlineStr">
        <is>
          <t>掲載</t>
        </is>
      </c>
    </row>
    <row r="10">
      <c r="A10" s="12" t="n">
        <v>7</v>
      </c>
      <c r="B10" s="12" t="inlineStr">
        <is>
          <t>鹿角市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鹿角市地域公共交通計画（令和7年6月改訂版）</t>
        </is>
      </c>
      <c r="G10" s="12" t="inlineStr">
        <is>
          <t>R5〜R9</t>
        </is>
      </c>
      <c r="H10" s="17" t="n">
        <v>9</v>
      </c>
      <c r="I10" s="14" t="inlineStr">
        <is>
          <t>推定</t>
        </is>
      </c>
      <c r="J10" s="14" t="inlineStr">
        <is>
          <t>未確認</t>
        </is>
      </c>
      <c r="K10" s="15" t="inlineStr">
        <is>
          <t>https://www.city.kazuno.lg.jp/soshiki/shiminkyodo/kankyoseikatsu/gyomu/2/3/10092.html</t>
        </is>
      </c>
      <c r="L10" s="12" t="inlineStr">
        <is>
          <t>第3次鹿角市環境基本計画</t>
        </is>
      </c>
      <c r="M10" s="12" t="inlineStr">
        <is>
          <t>R3〜R12</t>
        </is>
      </c>
      <c r="N10" s="17" t="n">
        <v>12</v>
      </c>
      <c r="O10" s="14" t="inlineStr">
        <is>
          <t>推定</t>
        </is>
      </c>
      <c r="P10" s="14" t="inlineStr">
        <is>
          <t>未確認</t>
        </is>
      </c>
      <c r="Q10" s="15" t="inlineStr">
        <is>
          <t>https://www.city.kazuno.lg.jp/soshiki/shiminkyodo/kankyoseikatsu/gyomu/1/3/index.html</t>
        </is>
      </c>
      <c r="R10" s="12"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6" t="inlineStr">
        <is>
          <t>調査済</t>
        </is>
      </c>
      <c r="T10" s="12" t="inlineStr">
        <is>
          <t>掲載</t>
        </is>
      </c>
      <c r="U10" s="20" t="inlineStr">
        <is>
          <t>→メモ</t>
        </is>
      </c>
    </row>
    <row r="11">
      <c r="A11" s="12" t="n">
        <v>8</v>
      </c>
      <c r="B11" s="12" t="inlineStr">
        <is>
          <t>由利本荘市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由利本荘市地域公共交通計画</t>
        </is>
      </c>
      <c r="G11" s="12" t="inlineStr">
        <is>
          <t>R6〜R10</t>
        </is>
      </c>
      <c r="H11" s="14" t="n">
        <v>10</v>
      </c>
      <c r="I11" s="14" t="inlineStr">
        <is>
          <t>確認済</t>
        </is>
      </c>
      <c r="J11" s="14" t="inlineStr">
        <is>
          <t>未確認</t>
        </is>
      </c>
      <c r="K11" s="15" t="inlineStr">
        <is>
          <t>https://www.city.yurihonjo.lg.jp/1000006/1001990/1009868.html</t>
        </is>
      </c>
      <c r="L11" s="12" t="inlineStr">
        <is>
          <t>第二次由利本荘市環境基本計画</t>
        </is>
      </c>
      <c r="M11" s="12" t="inlineStr">
        <is>
          <t>R5〜R14</t>
        </is>
      </c>
      <c r="N11" s="17" t="n">
        <v>14</v>
      </c>
      <c r="O11" s="14" t="inlineStr">
        <is>
          <t>推定</t>
        </is>
      </c>
      <c r="P11" s="14" t="inlineStr">
        <is>
          <t>未確認</t>
        </is>
      </c>
      <c r="Q11" s="15" t="inlineStr">
        <is>
          <t>https://www.city.yurihonjo.lg.jp/_res/projects/default_project/_page_/001/007/924/keikaku.pdf</t>
        </is>
      </c>
      <c r="R11" s="12" t="inlineStr">
        <is>
          <t>交通：網形成計画（第二次 R2〜R6）の後継としてR5年度プロポーザルで策定、期間2024〜2028年度。改訂ページあり（1009868）。環境：R5年度開始、終期は検索で未確認（10年と推定）。</t>
        </is>
      </c>
      <c r="S11" s="16" t="inlineStr">
        <is>
          <t>調査済</t>
        </is>
      </c>
      <c r="T11" s="12" t="inlineStr">
        <is>
          <t>掲載</t>
        </is>
      </c>
    </row>
    <row r="12">
      <c r="A12" s="12" t="n">
        <v>9</v>
      </c>
      <c r="B12" s="12" t="inlineStr">
        <is>
          <t>潟上市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潟上市地域公共交通計画</t>
        </is>
      </c>
      <c r="G12" s="12" t="inlineStr">
        <is>
          <t>R4〜R8</t>
        </is>
      </c>
      <c r="H12" s="14" t="n">
        <v>8</v>
      </c>
      <c r="I12" s="14" t="inlineStr">
        <is>
          <t>確認済</t>
        </is>
      </c>
      <c r="J12" s="14" t="inlineStr">
        <is>
          <t>未確認</t>
        </is>
      </c>
      <c r="K12" s="15" t="inlineStr">
        <is>
          <t>https://www.city.katagami.lg.jp/soshiki/shiminseikatsu/chiikidukurika/chiikishinko/bus/4006.html</t>
        </is>
      </c>
      <c r="L12" s="12" t="inlineStr">
        <is>
          <t>第2次潟上市環境基本計画</t>
        </is>
      </c>
      <c r="M12" s="12" t="inlineStr">
        <is>
          <t>R5〜R14</t>
        </is>
      </c>
      <c r="N12" s="17" t="n">
        <v>14</v>
      </c>
      <c r="O12" s="14" t="inlineStr">
        <is>
          <t>推定</t>
        </is>
      </c>
      <c r="P12" s="14" t="inlineStr">
        <is>
          <t>未確認</t>
        </is>
      </c>
      <c r="Q12" s="15" t="inlineStr">
        <is>
          <t>https://www.city.katagami.lg.jp/material/files/group/6/kankyokihon2.pdf</t>
        </is>
      </c>
      <c r="R12" s="12"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6" t="inlineStr">
        <is>
          <t>調査済</t>
        </is>
      </c>
      <c r="T12" s="12" t="inlineStr">
        <is>
          <t>掲載</t>
        </is>
      </c>
    </row>
    <row r="13">
      <c r="A13" s="12" t="n">
        <v>10</v>
      </c>
      <c r="B13" s="12" t="inlineStr">
        <is>
          <t>大仙市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大仙市地域公共交通計画マスタープラン</t>
        </is>
      </c>
      <c r="G13" s="12" t="inlineStr">
        <is>
          <t>R3〜R7</t>
        </is>
      </c>
      <c r="H13" s="14" t="n">
        <v>7</v>
      </c>
      <c r="I13" s="14" t="inlineStr">
        <is>
          <t>確認済</t>
        </is>
      </c>
      <c r="J13" s="14" t="inlineStr">
        <is>
          <t>未確認</t>
        </is>
      </c>
      <c r="K13" s="15" t="inlineStr">
        <is>
          <t>https://www.city.daisen.lg.jp/archive/contents-12074</t>
        </is>
      </c>
      <c r="L13" s="12" t="inlineStr">
        <is>
          <t>第2次大仙市環境基本計画</t>
        </is>
      </c>
      <c r="M13" s="12" t="inlineStr">
        <is>
          <t>R1〜R10</t>
        </is>
      </c>
      <c r="N13" s="17" t="n">
        <v>10</v>
      </c>
      <c r="O13" s="14" t="inlineStr">
        <is>
          <t>推定</t>
        </is>
      </c>
      <c r="P13" s="14" t="inlineStr">
        <is>
          <t>未確認</t>
        </is>
      </c>
      <c r="Q13" s="15" t="inlineStr">
        <is>
          <t>https://www.city.daisen.lg.jp/genre/administration/plannning</t>
        </is>
      </c>
      <c r="R13" s="12"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6" t="inlineStr">
        <is>
          <t>調査済</t>
        </is>
      </c>
      <c r="T13" s="12" t="inlineStr">
        <is>
          <t>掲載</t>
        </is>
      </c>
    </row>
    <row r="14">
      <c r="A14" s="12" t="n">
        <v>11</v>
      </c>
      <c r="B14" s="12" t="inlineStr">
        <is>
          <t>北秋田市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北秋田市地域公共交通計画</t>
        </is>
      </c>
      <c r="G14" s="12" t="inlineStr">
        <is>
          <t>R5〜R9</t>
        </is>
      </c>
      <c r="H14" s="14" t="n">
        <v>9</v>
      </c>
      <c r="I14" s="14" t="inlineStr">
        <is>
          <t>確認済</t>
        </is>
      </c>
      <c r="J14" s="14" t="inlineStr">
        <is>
          <t>未確認</t>
        </is>
      </c>
      <c r="K14" s="15" t="inlineStr">
        <is>
          <t>https://www.city.kitaakita.akita.jp/uploads/public/news_0000015700_00/koukyoukoutsukeikaku.pdf</t>
        </is>
      </c>
      <c r="L14" s="12" t="inlineStr">
        <is>
          <t>北秋田市環境基本計画（R3改正版）</t>
        </is>
      </c>
      <c r="M14" s="12" t="inlineStr">
        <is>
          <t>〜R8（H28またはH29〜R8の10年間）</t>
        </is>
      </c>
      <c r="N14" s="14" t="n">
        <v>8</v>
      </c>
      <c r="O14" s="14" t="inlineStr">
        <is>
          <t>確認済</t>
        </is>
      </c>
      <c r="P14" s="14" t="inlineStr">
        <is>
          <t>未確認</t>
        </is>
      </c>
      <c r="Q14" s="15" t="inlineStr">
        <is>
          <t>https://www.city.kitaakita.akita.jp/uploads/public/archive_0000014042_00/%E3%80%90R3%E6%94%B9%E6%AD%A3%E3%80%91%E5%8C%97%E7%A7%8B%E7%94%B0%E5%B8%82%E7%92%B0%E5%A2%83%E5%9F%BA%E6%9C%AC%E8%A8%88%E7%94%BB_(%E6%9C%80%E7%B5%82%E7%89%88).pdf</t>
        </is>
      </c>
      <c r="R14" s="12"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6" t="inlineStr">
        <is>
          <t>調査済</t>
        </is>
      </c>
      <c r="T14" s="12" t="inlineStr">
        <is>
          <t>掲載</t>
        </is>
      </c>
      <c r="U14" s="20" t="inlineStr">
        <is>
          <t>→メモ</t>
        </is>
      </c>
    </row>
    <row r="15">
      <c r="A15" s="12" t="n">
        <v>12</v>
      </c>
      <c r="B15" s="12" t="inlineStr">
        <is>
          <t>にかほ市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にかほ市地域公共交通計画（R7.3修正）</t>
        </is>
      </c>
      <c r="G15" s="12" t="inlineStr">
        <is>
          <t>R4〜R8</t>
        </is>
      </c>
      <c r="H15" s="14" t="n">
        <v>8</v>
      </c>
      <c r="I15" s="14" t="inlineStr">
        <is>
          <t>確認済</t>
        </is>
      </c>
      <c r="J15" s="14" t="inlineStr">
        <is>
          <t>未確認</t>
        </is>
      </c>
      <c r="K15" s="15" t="inlineStr">
        <is>
          <t>https://www.city.nikaho.akita.jp/material/files/group/5/koukyoukoutuukeikaku3.pdf</t>
        </is>
      </c>
      <c r="L15" s="12" t="n"/>
      <c r="M15" s="12" t="inlineStr">
        <is>
          <t>不明</t>
        </is>
      </c>
      <c r="N15" s="14" t="n"/>
      <c r="O15" s="14" t="inlineStr">
        <is>
          <t>不明</t>
        </is>
      </c>
      <c r="P15" s="14" t="inlineStr">
        <is>
          <t>計画なし</t>
        </is>
      </c>
      <c r="Q15" s="12" t="n"/>
      <c r="R15" s="12"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6" t="inlineStr">
        <is>
          <t>調査済</t>
        </is>
      </c>
      <c r="T15" s="12" t="inlineStr">
        <is>
          <t>掲載</t>
        </is>
      </c>
    </row>
    <row r="16">
      <c r="A16" s="12" t="n">
        <v>13</v>
      </c>
      <c r="B16" s="12" t="inlineStr">
        <is>
          <t>仙北市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仙北市地域公共交通計画</t>
        </is>
      </c>
      <c r="G16" s="12" t="inlineStr">
        <is>
          <t>R4〜R8</t>
        </is>
      </c>
      <c r="H16" s="14" t="n">
        <v>8</v>
      </c>
      <c r="I16" s="14" t="inlineStr">
        <is>
          <t>確認済</t>
        </is>
      </c>
      <c r="J16" s="14" t="inlineStr">
        <is>
          <t>着手済</t>
        </is>
      </c>
      <c r="K16" s="15" t="inlineStr">
        <is>
          <t>https://www.city.semboku.akita.jp/government/keikaku/documents/220428_koukyoukoutsuu.pdf</t>
        </is>
      </c>
      <c r="L16" s="12" t="n"/>
      <c r="M16" s="12" t="inlineStr">
        <is>
          <t>不明</t>
        </is>
      </c>
      <c r="N16" s="14" t="n"/>
      <c r="O16" s="14" t="inlineStr">
        <is>
          <t>不明</t>
        </is>
      </c>
      <c r="P16" s="14" t="inlineStr">
        <is>
          <t>計画なし</t>
        </is>
      </c>
      <c r="Q16" s="12" t="n"/>
      <c r="R16" s="12"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6" t="inlineStr">
        <is>
          <t>調査済</t>
        </is>
      </c>
      <c r="T16" s="12" t="inlineStr">
        <is>
          <t>掲載</t>
        </is>
      </c>
    </row>
    <row r="17">
      <c r="A17" s="12" t="n">
        <v>14</v>
      </c>
      <c r="B17" s="12" t="inlineStr">
        <is>
          <t>小坂町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小坂町地域公共交通計画</t>
        </is>
      </c>
      <c r="G17" s="12" t="inlineStr">
        <is>
          <t>R4〜R8</t>
        </is>
      </c>
      <c r="H17" s="14" t="n">
        <v>8</v>
      </c>
      <c r="I17" s="14" t="inlineStr">
        <is>
          <t>確認済</t>
        </is>
      </c>
      <c r="J17" s="14" t="inlineStr">
        <is>
          <t>未確認</t>
        </is>
      </c>
      <c r="K17" s="15" t="inlineStr">
        <is>
          <t>https://www.town.kosaka.akita.jp/machinososhiki/somuka/kikakuzaiseihan/2_2/kokyokotsukeikaku/2497.html</t>
        </is>
      </c>
      <c r="L17" s="12" t="inlineStr">
        <is>
          <t>第3次小坂町環境基本計画</t>
        </is>
      </c>
      <c r="M17" s="12" t="inlineStr">
        <is>
          <t>R6〜（終期不明）</t>
        </is>
      </c>
      <c r="N17" s="14" t="n"/>
      <c r="O17" s="14" t="inlineStr">
        <is>
          <t>不明</t>
        </is>
      </c>
      <c r="P17" s="14" t="inlineStr">
        <is>
          <t>策定済</t>
        </is>
      </c>
      <c r="Q17" s="15" t="inlineStr">
        <is>
          <t>https://www.town.kosaka.akita.jp/material/files/group/8/01.pdf</t>
        </is>
      </c>
      <c r="R17" s="12"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6" t="inlineStr">
        <is>
          <t>調査済</t>
        </is>
      </c>
      <c r="T17" s="12" t="inlineStr">
        <is>
          <t>掲載</t>
        </is>
      </c>
    </row>
    <row r="18">
      <c r="A18" s="12" t="n">
        <v>15</v>
      </c>
      <c r="B18" s="12" t="inlineStr">
        <is>
          <t>上小阿仁村</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n"/>
      <c r="G18" s="12" t="inlineStr">
        <is>
          <t>不明</t>
        </is>
      </c>
      <c r="H18" s="14" t="n"/>
      <c r="I18" s="14" t="inlineStr">
        <is>
          <t>不明</t>
        </is>
      </c>
      <c r="J18" s="14" t="inlineStr">
        <is>
          <t>未確認</t>
        </is>
      </c>
      <c r="K18" s="12" t="n"/>
      <c r="L18" s="12" t="n"/>
      <c r="M18" s="12" t="inlineStr">
        <is>
          <t>不明</t>
        </is>
      </c>
      <c r="N18" s="14" t="n"/>
      <c r="O18" s="14" t="inlineStr">
        <is>
          <t>不明</t>
        </is>
      </c>
      <c r="P18" s="14" t="inlineStr">
        <is>
          <t>未確認</t>
        </is>
      </c>
      <c r="Q18" s="12" t="n"/>
      <c r="R18" s="12"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19" t="inlineStr">
        <is>
          <t>未調査</t>
        </is>
      </c>
      <c r="T18" s="12" t="inlineStr">
        <is>
          <t>未掲載</t>
        </is>
      </c>
    </row>
    <row r="19">
      <c r="A19" s="12" t="n">
        <v>16</v>
      </c>
      <c r="B19" s="12" t="inlineStr">
        <is>
          <t>藤里町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藤里町地域公共交通計画</t>
        </is>
      </c>
      <c r="G19" s="12" t="inlineStr">
        <is>
          <t>R6〜R10</t>
        </is>
      </c>
      <c r="H19" s="14" t="n">
        <v>10</v>
      </c>
      <c r="I19" s="14" t="inlineStr">
        <is>
          <t>確認済</t>
        </is>
      </c>
      <c r="J19" s="14" t="inlineStr">
        <is>
          <t>策定済</t>
        </is>
      </c>
      <c r="K19" s="15" t="inlineStr">
        <is>
          <t>http://www.town.fujisato.akita.jp/kotsu/c640/c643/2890</t>
        </is>
      </c>
      <c r="L19" s="12" t="inlineStr">
        <is>
          <t>藤里町環境基本計画</t>
        </is>
      </c>
      <c r="M19" s="12" t="inlineStr">
        <is>
          <t>不明（H12.3策定）</t>
        </is>
      </c>
      <c r="N19" s="14" t="n"/>
      <c r="O19" s="14" t="inlineStr">
        <is>
          <t>不明</t>
        </is>
      </c>
      <c r="P19" s="14" t="inlineStr">
        <is>
          <t>未確認</t>
        </is>
      </c>
      <c r="Q19" s="15" t="inlineStr">
        <is>
          <t>https://www.env.go.jp/press/files/jp/3487.pdf</t>
        </is>
      </c>
      <c r="R19" s="12"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6" t="inlineStr">
        <is>
          <t>調査済</t>
        </is>
      </c>
      <c r="T19" s="12" t="inlineStr">
        <is>
          <t>掲載</t>
        </is>
      </c>
    </row>
    <row r="20">
      <c r="A20" s="12" t="n">
        <v>17</v>
      </c>
      <c r="B20" s="12" t="inlineStr">
        <is>
          <t>三種町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三種町地域公共交通計画</t>
        </is>
      </c>
      <c r="G20" s="12" t="inlineStr">
        <is>
          <t>不明（R3.6策定、R6.5改訂）</t>
        </is>
      </c>
      <c r="H20" s="14" t="n"/>
      <c r="I20" s="14" t="inlineStr">
        <is>
          <t>不明</t>
        </is>
      </c>
      <c r="J20" s="14" t="inlineStr">
        <is>
          <t>未確認</t>
        </is>
      </c>
      <c r="K20" s="15" t="inlineStr">
        <is>
          <t>https://www.town.mitane.akita.jp/material/files/group/3/mitanekoukyoukoutuukeikaku.pdf</t>
        </is>
      </c>
      <c r="L20" s="12" t="n"/>
      <c r="M20" s="12" t="inlineStr">
        <is>
          <t>不明</t>
        </is>
      </c>
      <c r="N20" s="14" t="n"/>
      <c r="O20" s="14" t="inlineStr">
        <is>
          <t>不明</t>
        </is>
      </c>
      <c r="P20" s="14" t="inlineStr">
        <is>
          <t>計画なし</t>
        </is>
      </c>
      <c r="Q20" s="12" t="n"/>
      <c r="R20" s="12"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6" t="inlineStr">
        <is>
          <t>調査済</t>
        </is>
      </c>
      <c r="T20" s="12" t="inlineStr">
        <is>
          <t>掲載</t>
        </is>
      </c>
    </row>
    <row r="21">
      <c r="A21" s="12" t="n">
        <v>18</v>
      </c>
      <c r="B21" s="12" t="inlineStr">
        <is>
          <t>八峰町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9" t="inlineStr">
        <is>
          <t>環境のみ調査</t>
        </is>
      </c>
      <c r="T21" s="12" t="inlineStr">
        <is>
          <t>未掲載</t>
        </is>
      </c>
    </row>
    <row r="22">
      <c r="A22" s="12" t="n">
        <v>19</v>
      </c>
      <c r="B22" s="12" t="inlineStr">
        <is>
          <t>五城目町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南秋地域公共交通計画（五城目町・八郎潟町・大潟村共同）</t>
        </is>
      </c>
      <c r="G22" s="12" t="inlineStr">
        <is>
          <t>R5〜R9</t>
        </is>
      </c>
      <c r="H22" s="14" t="n">
        <v>9</v>
      </c>
      <c r="I22" s="14" t="inlineStr">
        <is>
          <t>確認済</t>
        </is>
      </c>
      <c r="J22" s="14" t="inlineStr">
        <is>
          <t>未確認</t>
        </is>
      </c>
      <c r="K22" s="15" t="inlineStr">
        <is>
          <t>https://www.town.gojome.akita.jp/kurashi/koukyoukoutsu/2085</t>
        </is>
      </c>
      <c r="L22" s="12" t="n"/>
      <c r="M22" s="12" t="inlineStr">
        <is>
          <t>不明</t>
        </is>
      </c>
      <c r="N22" s="14" t="n"/>
      <c r="O22" s="14" t="inlineStr">
        <is>
          <t>不明</t>
        </is>
      </c>
      <c r="P22" s="14" t="inlineStr">
        <is>
          <t>計画なし</t>
        </is>
      </c>
      <c r="Q22" s="12" t="n"/>
      <c r="R22" s="12"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6" t="inlineStr">
        <is>
          <t>調査済</t>
        </is>
      </c>
      <c r="T22" s="12" t="inlineStr">
        <is>
          <t>掲載（広域：南秋）</t>
        </is>
      </c>
      <c r="U22" s="20" t="inlineStr">
        <is>
          <t>→メモ</t>
        </is>
      </c>
    </row>
    <row r="23">
      <c r="A23" s="12" t="n">
        <v>20</v>
      </c>
      <c r="B23" s="12" t="inlineStr">
        <is>
          <t>八郎潟町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南秋地域公共交通計画（五城目町・八郎潟町・大潟村共同、南秋地域公共交通活性化協議会）</t>
        </is>
      </c>
      <c r="G23" s="12" t="inlineStr">
        <is>
          <t>R5〜R9</t>
        </is>
      </c>
      <c r="H23" s="14" t="n">
        <v>9</v>
      </c>
      <c r="I23" s="14" t="inlineStr">
        <is>
          <t>確認済</t>
        </is>
      </c>
      <c r="J23" s="14" t="inlineStr">
        <is>
          <t>未確認</t>
        </is>
      </c>
      <c r="K23" s="15" t="inlineStr">
        <is>
          <t>https://www.town.gojome.akita.jp/kurashi/koukyoukoutsu/2085</t>
        </is>
      </c>
      <c r="L23" s="12" t="n"/>
      <c r="M23" s="12" t="inlineStr">
        <is>
          <t>不明</t>
        </is>
      </c>
      <c r="N23" s="14" t="n"/>
      <c r="O23" s="14" t="inlineStr">
        <is>
          <t>不明</t>
        </is>
      </c>
      <c r="P23" s="14" t="inlineStr">
        <is>
          <t>計画なし</t>
        </is>
      </c>
      <c r="Q23" s="12" t="n"/>
      <c r="R23" s="12"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6" t="inlineStr">
        <is>
          <t>調査済</t>
        </is>
      </c>
      <c r="T23" s="12" t="inlineStr">
        <is>
          <t>掲載（広域：南秋）</t>
        </is>
      </c>
      <c r="U23" s="20" t="inlineStr">
        <is>
          <t>→メモ</t>
        </is>
      </c>
    </row>
    <row r="24">
      <c r="A24" s="12" t="n">
        <v>21</v>
      </c>
      <c r="B24" s="12" t="inlineStr">
        <is>
          <t>井川町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秋田県地域公共交通計画（県計画、町独自計画は見当たらず）</t>
        </is>
      </c>
      <c r="G24" s="12" t="inlineStr">
        <is>
          <t>R4〜R8</t>
        </is>
      </c>
      <c r="H24" s="14" t="n">
        <v>8</v>
      </c>
      <c r="I24" s="14" t="inlineStr">
        <is>
          <t>確認済</t>
        </is>
      </c>
      <c r="J24" s="14" t="inlineStr">
        <is>
          <t>未確認</t>
        </is>
      </c>
      <c r="K24" s="15" t="inlineStr">
        <is>
          <t>https://www.pref.akita.lg.jp/uploads/public/archive_0000062825_00/観スポ_所管事項関連　別冊２（秋田県地域公共交通計画（案）について）.pdf</t>
        </is>
      </c>
      <c r="L24" s="12" t="n"/>
      <c r="M24" s="12" t="inlineStr">
        <is>
          <t>不明</t>
        </is>
      </c>
      <c r="N24" s="14" t="n"/>
      <c r="O24" s="14" t="inlineStr">
        <is>
          <t>不明</t>
        </is>
      </c>
      <c r="P24" s="14" t="inlineStr">
        <is>
          <t>計画なし</t>
        </is>
      </c>
      <c r="Q24" s="12" t="n"/>
      <c r="R24" s="12"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6" t="inlineStr">
        <is>
          <t>調査済</t>
        </is>
      </c>
      <c r="T24" s="18" t="inlineStr">
        <is>
          <t>未掲載【当方は計画あり】</t>
        </is>
      </c>
    </row>
    <row r="25">
      <c r="A25" s="12" t="n">
        <v>22</v>
      </c>
      <c r="B25" s="12" t="inlineStr">
        <is>
          <t>大潟村</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南秋地域公共交通計画（五城目町・八郎潟町・大潟村共同、南秋地域公共交通活性化協議会）</t>
        </is>
      </c>
      <c r="G25" s="12" t="inlineStr">
        <is>
          <t>R5〜R9</t>
        </is>
      </c>
      <c r="H25" s="14" t="n">
        <v>9</v>
      </c>
      <c r="I25" s="14" t="inlineStr">
        <is>
          <t>確認済</t>
        </is>
      </c>
      <c r="J25" s="14" t="inlineStr">
        <is>
          <t>未確認</t>
        </is>
      </c>
      <c r="K25" s="15" t="inlineStr">
        <is>
          <t>https://www.town.gojome.akita.jp/kurashi/koukyoukoutsu/2085</t>
        </is>
      </c>
      <c r="L25" s="12" t="n"/>
      <c r="M25" s="12" t="inlineStr">
        <is>
          <t>不明</t>
        </is>
      </c>
      <c r="N25" s="14" t="n"/>
      <c r="O25" s="14" t="inlineStr">
        <is>
          <t>不明</t>
        </is>
      </c>
      <c r="P25" s="14" t="inlineStr">
        <is>
          <t>計画なし</t>
        </is>
      </c>
      <c r="Q25" s="12" t="n"/>
      <c r="R25" s="12"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6" t="inlineStr">
        <is>
          <t>調査済</t>
        </is>
      </c>
      <c r="T25" s="12" t="inlineStr">
        <is>
          <t>掲載（広域：南秋）</t>
        </is>
      </c>
      <c r="U25" s="20" t="inlineStr">
        <is>
          <t>→メモ</t>
        </is>
      </c>
    </row>
    <row r="26">
      <c r="A26" s="12" t="n">
        <v>23</v>
      </c>
      <c r="B26" s="12" t="inlineStr">
        <is>
          <t>美郷町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美郷町地域公共交通計画</t>
        </is>
      </c>
      <c r="G26" s="12" t="inlineStr">
        <is>
          <t>R4〜R8?（R4.3策定）</t>
        </is>
      </c>
      <c r="H26" s="17" t="n">
        <v>8</v>
      </c>
      <c r="I26" s="14" t="inlineStr">
        <is>
          <t>推定</t>
        </is>
      </c>
      <c r="J26" s="14" t="inlineStr">
        <is>
          <t>未確認</t>
        </is>
      </c>
      <c r="K26" s="15" t="inlineStr">
        <is>
          <t>https://www.town.misato.akita.jp/up/files/madoguchi/kikaku/kikakuzaiseihan/koutukeikaku/%E7%BE%8E%E9%83%B7%E7%94%BA%E5%9C%B0%E5%9F%9F%E5%85%AC%E5%85%B1%E4%BA%A4%E9%80%9A%E8%A8%88%E7%94%BB.pdf</t>
        </is>
      </c>
      <c r="L26" s="12" t="n"/>
      <c r="M26" s="12" t="inlineStr">
        <is>
          <t>不明</t>
        </is>
      </c>
      <c r="N26" s="14" t="n"/>
      <c r="O26" s="14" t="inlineStr">
        <is>
          <t>不明</t>
        </is>
      </c>
      <c r="P26" s="14" t="inlineStr">
        <is>
          <t>計画なし</t>
        </is>
      </c>
      <c r="Q26" s="12" t="n"/>
      <c r="R26" s="12"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6" t="inlineStr">
        <is>
          <t>調査済</t>
        </is>
      </c>
      <c r="T26" s="12" t="inlineStr">
        <is>
          <t>掲載</t>
        </is>
      </c>
    </row>
    <row r="27">
      <c r="A27" s="12" t="n">
        <v>24</v>
      </c>
      <c r="B27" s="12" t="inlineStr">
        <is>
          <t>羽後町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秋田県地域公共交通計画（県計画、町独自計画は見当たらず）</t>
        </is>
      </c>
      <c r="G27" s="12" t="inlineStr">
        <is>
          <t>R4〜R8</t>
        </is>
      </c>
      <c r="H27" s="14" t="n">
        <v>8</v>
      </c>
      <c r="I27" s="14" t="inlineStr">
        <is>
          <t>確認済</t>
        </is>
      </c>
      <c r="J27" s="14" t="inlineStr">
        <is>
          <t>未確認</t>
        </is>
      </c>
      <c r="K27" s="15" t="inlineStr">
        <is>
          <t>https://www.pref.akita.lg.jp/uploads/public/archive_0000062825_00/観スポ_所管事項関連　別冊２（秋田県地域公共交通計画（案）について）.pdf</t>
        </is>
      </c>
      <c r="L27" s="12" t="n"/>
      <c r="M27" s="12" t="inlineStr">
        <is>
          <t>不明</t>
        </is>
      </c>
      <c r="N27" s="14" t="n"/>
      <c r="O27" s="14" t="inlineStr">
        <is>
          <t>不明</t>
        </is>
      </c>
      <c r="P27" s="14" t="inlineStr">
        <is>
          <t>計画なし</t>
        </is>
      </c>
      <c r="Q27" s="12" t="n"/>
      <c r="R27" s="12"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6" t="inlineStr">
        <is>
          <t>調査済</t>
        </is>
      </c>
      <c r="T27" s="18" t="inlineStr">
        <is>
          <t>未掲載【当方は計画あり】</t>
        </is>
      </c>
    </row>
    <row r="28">
      <c r="A28" s="12" t="n">
        <v>25</v>
      </c>
      <c r="B28" s="12" t="inlineStr">
        <is>
          <t>東成瀬村</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東成瀬村地域公共交通計画</t>
        </is>
      </c>
      <c r="G28" s="12" t="inlineStr">
        <is>
          <t>R8〜R12</t>
        </is>
      </c>
      <c r="H28" s="17" t="n">
        <v>12</v>
      </c>
      <c r="I28" s="14" t="inlineStr">
        <is>
          <t>推定</t>
        </is>
      </c>
      <c r="J28" s="14" t="inlineStr">
        <is>
          <t>策定済</t>
        </is>
      </c>
      <c r="K28" s="15" t="inlineStr">
        <is>
          <t>https://vill.higashinaruse.lg.jp/villager/lifework/post-36197/</t>
        </is>
      </c>
      <c r="L28" s="12" t="n"/>
      <c r="M28" s="12" t="inlineStr">
        <is>
          <t>不明</t>
        </is>
      </c>
      <c r="N28" s="14" t="n"/>
      <c r="O28" s="14" t="inlineStr">
        <is>
          <t>不明</t>
        </is>
      </c>
      <c r="P28" s="14" t="inlineStr">
        <is>
          <t>計画なし</t>
        </is>
      </c>
      <c r="Q28" s="12" t="n"/>
      <c r="R28" s="12"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6" t="inlineStr">
        <is>
          <t>調査済</t>
        </is>
      </c>
      <c r="T28" s="12"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ref="U4" location="'営業メモ'!C12" display="→メモ"/>
    <hyperlink xmlns:r="http://schemas.openxmlformats.org/officeDocument/2006/relationships" ref="K5" r:id="rId3"/>
    <hyperlink xmlns:r="http://schemas.openxmlformats.org/officeDocument/2006/relationships" ref="Q5" r:id="rId4"/>
    <hyperlink ref="U5" location="'営業メモ'!C13" display="→メモ"/>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14" display="→メモ"/>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ref="U10" location="'営業メモ'!C15" display="→メモ"/>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ref="U14" location="'営業メモ'!C16" display="→メモ"/>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ref="U22" location="'営業メモ'!C17" display="→メモ"/>
    <hyperlink xmlns:r="http://schemas.openxmlformats.org/officeDocument/2006/relationships" ref="K23" r:id="rId29"/>
    <hyperlink ref="U23" location="'営業メモ'!C17" display="→メモ"/>
    <hyperlink xmlns:r="http://schemas.openxmlformats.org/officeDocument/2006/relationships" ref="K24" r:id="rId30"/>
    <hyperlink xmlns:r="http://schemas.openxmlformats.org/officeDocument/2006/relationships" ref="K25" r:id="rId31"/>
    <hyperlink ref="U25" location="'営業メモ'!C17" display="→メモ"/>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山形県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山形市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第2期山形市地域公共交通計画</t>
        </is>
      </c>
      <c r="G4" s="12" t="inlineStr">
        <is>
          <t>R8〜R12</t>
        </is>
      </c>
      <c r="H4" s="14" t="n">
        <v>12</v>
      </c>
      <c r="I4" s="14" t="inlineStr">
        <is>
          <t>確認済</t>
        </is>
      </c>
      <c r="J4" s="14" t="inlineStr">
        <is>
          <t>策定済</t>
        </is>
      </c>
      <c r="K4" s="15" t="inlineStr">
        <is>
          <t>https://www.city.yamagata-yamagata.lg.jp/_res/projects/default_project/_page_/001/002/654/keikaku2_honpen.pdf</t>
        </is>
      </c>
      <c r="L4" s="12" t="inlineStr">
        <is>
          <t>第4次山形市環境基本計画</t>
        </is>
      </c>
      <c r="M4" s="12" t="inlineStr">
        <is>
          <t>R3〜R12</t>
        </is>
      </c>
      <c r="N4" s="17" t="n">
        <v>12</v>
      </c>
      <c r="O4" s="14" t="inlineStr">
        <is>
          <t>推定</t>
        </is>
      </c>
      <c r="P4" s="14" t="inlineStr">
        <is>
          <t>未確認</t>
        </is>
      </c>
      <c r="Q4" s="15" t="inlineStr">
        <is>
          <t>https://www.city.yamagata-yamagata.lg.jp/shiseijoho/keikaku/1006993/1002366.html</t>
        </is>
      </c>
      <c r="R4" s="12"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6" t="inlineStr">
        <is>
          <t>調査済</t>
        </is>
      </c>
      <c r="T4" s="12" t="inlineStr">
        <is>
          <t>掲載</t>
        </is>
      </c>
    </row>
    <row r="5">
      <c r="A5" s="12" t="n">
        <v>2</v>
      </c>
      <c r="B5" s="12" t="inlineStr">
        <is>
          <t>米沢市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米沢市地域公共交通計画</t>
        </is>
      </c>
      <c r="G5" s="12" t="inlineStr">
        <is>
          <t>R4〜R8</t>
        </is>
      </c>
      <c r="H5" s="14" t="n">
        <v>8</v>
      </c>
      <c r="I5" s="14" t="inlineStr">
        <is>
          <t>確認済</t>
        </is>
      </c>
      <c r="J5" s="14" t="inlineStr">
        <is>
          <t>未確認</t>
        </is>
      </c>
      <c r="K5" s="15" t="inlineStr">
        <is>
          <t>https://www.city.yonezawa.yamagata.jp/soshiki/2/1007/7/2367.html</t>
        </is>
      </c>
      <c r="L5" s="12" t="inlineStr">
        <is>
          <t>第4期米沢市環境基本計画</t>
        </is>
      </c>
      <c r="M5" s="12" t="inlineStr">
        <is>
          <t>R8〜不明</t>
        </is>
      </c>
      <c r="N5" s="17" t="n"/>
      <c r="O5" s="14" t="inlineStr">
        <is>
          <t>推定</t>
        </is>
      </c>
      <c r="P5" s="14" t="inlineStr">
        <is>
          <t>策定済</t>
        </is>
      </c>
      <c r="Q5" s="15" t="inlineStr">
        <is>
          <t>https://www.city.yonezawa.yamagata.jp/soshiki/3/kankyo/9_1/8300.html</t>
        </is>
      </c>
      <c r="R5" s="12"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6" t="inlineStr">
        <is>
          <t>調査済</t>
        </is>
      </c>
      <c r="T5" s="12" t="inlineStr">
        <is>
          <t>掲載</t>
        </is>
      </c>
    </row>
    <row r="6">
      <c r="A6" s="12" t="n">
        <v>3</v>
      </c>
      <c r="B6" s="12" t="inlineStr">
        <is>
          <t>鶴岡市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鶴岡市地域公共交通計画（R08-12）</t>
        </is>
      </c>
      <c r="G6" s="12" t="inlineStr">
        <is>
          <t>R8〜R12</t>
        </is>
      </c>
      <c r="H6" s="14" t="n">
        <v>12</v>
      </c>
      <c r="I6" s="14" t="inlineStr">
        <is>
          <t>確認済</t>
        </is>
      </c>
      <c r="J6" s="14" t="inlineStr">
        <is>
          <t>策定済</t>
        </is>
      </c>
      <c r="K6" s="15" t="inlineStr">
        <is>
          <t>https://www.city.tsuruoka.lg.jp/seibi/tiikikoukyoukoutu/tiiki0120160419.files/R8.3honnpenn.pdf</t>
        </is>
      </c>
      <c r="L6" s="12" t="inlineStr">
        <is>
          <t>第2次鶴岡市環境基本計画</t>
        </is>
      </c>
      <c r="M6" s="12" t="inlineStr">
        <is>
          <t>R4〜R13</t>
        </is>
      </c>
      <c r="N6" s="17" t="n">
        <v>13</v>
      </c>
      <c r="O6" s="14" t="inlineStr">
        <is>
          <t>推定</t>
        </is>
      </c>
      <c r="P6" s="14" t="inlineStr">
        <is>
          <t>未確認</t>
        </is>
      </c>
      <c r="Q6" s="15" t="inlineStr">
        <is>
          <t>https://www.city.tsuruoka.lg.jp/seibi/kankyo/kihonkeikaku/dainizi_kankyoukihon.html</t>
        </is>
      </c>
      <c r="R6" s="12" t="inlineStr">
        <is>
          <t>交通：R7.6改定支援業務プロポーザル→R8.3策定（パブコメ結果 https://www.city.tsuruoka.lg.jp/shisei/koutyou/publiccomment/r07/tiiki0120260327.html ）。環境：第1次H24〜R3の後継、第2次はR4開始（期間は10年と推定）。</t>
        </is>
      </c>
      <c r="S6" s="16" t="inlineStr">
        <is>
          <t>調査済</t>
        </is>
      </c>
      <c r="T6" s="12" t="inlineStr">
        <is>
          <t>掲載</t>
        </is>
      </c>
    </row>
    <row r="7">
      <c r="A7" s="12" t="n">
        <v>4</v>
      </c>
      <c r="B7" s="12" t="inlineStr">
        <is>
          <t>酒田市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酒田市地域公共交通計画</t>
        </is>
      </c>
      <c r="G7" s="12" t="inlineStr">
        <is>
          <t>R3〜R8（延長）</t>
        </is>
      </c>
      <c r="H7" s="17" t="n">
        <v>8</v>
      </c>
      <c r="I7" s="14" t="inlineStr">
        <is>
          <t>推定</t>
        </is>
      </c>
      <c r="J7" s="14" t="inlineStr">
        <is>
          <t>着手済</t>
        </is>
      </c>
      <c r="K7" s="15" t="inlineStr">
        <is>
          <t>https://www.city.sakata.lg.jp/shisei/shisakukeikaku/kikaku/chiikokyokotsumo/trafficplan2021.html</t>
        </is>
      </c>
      <c r="L7" s="12" t="inlineStr">
        <is>
          <t>第3次酒田市環境基本計画</t>
        </is>
      </c>
      <c r="M7" s="12" t="inlineStr">
        <is>
          <t>R8〜不明</t>
        </is>
      </c>
      <c r="N7" s="17" t="n"/>
      <c r="O7" s="14" t="inlineStr">
        <is>
          <t>推定</t>
        </is>
      </c>
      <c r="P7" s="14" t="inlineStr">
        <is>
          <t>策定済</t>
        </is>
      </c>
      <c r="Q7" s="15" t="inlineStr">
        <is>
          <t>https://www.city.sakata.lg.jp/shisei/shisakukeikaku/shimin/kankyokihonkeikaku/kankyoplan03.files/kankyoplan3-data.pdf</t>
        </is>
      </c>
      <c r="R7" s="12"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6" t="inlineStr">
        <is>
          <t>調査済</t>
        </is>
      </c>
      <c r="T7" s="12" t="inlineStr">
        <is>
          <t>掲載</t>
        </is>
      </c>
    </row>
    <row r="8">
      <c r="A8" s="12" t="n">
        <v>5</v>
      </c>
      <c r="B8" s="12" t="inlineStr">
        <is>
          <t>新庄市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山形県地域公共交通計画（県・市町村共同、R8.3.27策定）</t>
        </is>
      </c>
      <c r="G8" s="12" t="inlineStr">
        <is>
          <t>R8〜R12</t>
        </is>
      </c>
      <c r="H8" s="14" t="n">
        <v>12</v>
      </c>
      <c r="I8" s="14" t="inlineStr">
        <is>
          <t>確認済</t>
        </is>
      </c>
      <c r="J8" s="14" t="inlineStr">
        <is>
          <t>策定済</t>
        </is>
      </c>
      <c r="K8" s="15" t="inlineStr">
        <is>
          <t>https://www.pref.yamagata.jp/documents/50579/keikaku_honpen.pdf</t>
        </is>
      </c>
      <c r="L8" s="12" t="inlineStr">
        <is>
          <t>第4次新庄市環境基本計画</t>
        </is>
      </c>
      <c r="M8" s="12" t="inlineStr">
        <is>
          <t>R3〜R12</t>
        </is>
      </c>
      <c r="N8" s="14" t="n">
        <v>12</v>
      </c>
      <c r="O8" s="14" t="inlineStr">
        <is>
          <t>確認済</t>
        </is>
      </c>
      <c r="P8" s="14" t="inlineStr">
        <is>
          <t>未確認</t>
        </is>
      </c>
      <c r="Q8" s="15" t="inlineStr">
        <is>
          <t>http://www.city.shinjo.yamagata.jp/s008/170/010/kankyoukihonkeikakuno4.pdf</t>
        </is>
      </c>
      <c r="R8" s="12"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6" t="inlineStr">
        <is>
          <t>調査済</t>
        </is>
      </c>
      <c r="T8" s="18" t="inlineStr">
        <is>
          <t>掲載／期間満了</t>
        </is>
      </c>
    </row>
    <row r="9">
      <c r="A9" s="12" t="n">
        <v>6</v>
      </c>
      <c r="B9" s="12" t="inlineStr">
        <is>
          <t>寒河江市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寒河江市生活交通ネットワーク計画（法定計画か不明）</t>
        </is>
      </c>
      <c r="G9" s="12" t="inlineStr">
        <is>
          <t>不明</t>
        </is>
      </c>
      <c r="H9" s="14" t="n"/>
      <c r="I9" s="14" t="inlineStr">
        <is>
          <t>不明</t>
        </is>
      </c>
      <c r="J9" s="14" t="inlineStr">
        <is>
          <t>未確認</t>
        </is>
      </c>
      <c r="K9" s="15" t="inlineStr">
        <is>
          <t>https://www.city.sagae.yamagata.jp/shisei/keikaku/toshikankyokeikaku/koutsu_net_sakutei.html</t>
        </is>
      </c>
      <c r="L9" s="12" t="inlineStr">
        <is>
          <t>寒河江市環境基本計画（R5.3改定）</t>
        </is>
      </c>
      <c r="M9" s="12" t="inlineStr">
        <is>
          <t>R5〜R14（10年間）</t>
        </is>
      </c>
      <c r="N9" s="14" t="n">
        <v>14</v>
      </c>
      <c r="O9" s="14" t="inlineStr">
        <is>
          <t>確認済</t>
        </is>
      </c>
      <c r="P9" s="14" t="inlineStr">
        <is>
          <t>未確認</t>
        </is>
      </c>
      <c r="Q9" s="15" t="inlineStr">
        <is>
          <t>https://www.city.sagae.yamagata.jp/shisei/keikaku/toshikankyokeikaku/kankyokeikaku.html</t>
        </is>
      </c>
      <c r="R9" s="12"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6" t="inlineStr">
        <is>
          <t>調査済</t>
        </is>
      </c>
      <c r="T9" s="18" t="inlineStr">
        <is>
          <t>未掲載【当方は計画あり】</t>
        </is>
      </c>
    </row>
    <row r="10">
      <c r="A10" s="12" t="n">
        <v>7</v>
      </c>
      <c r="B10" s="12" t="inlineStr">
        <is>
          <t>上山市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山形県地域公共交通計画（県・市町村共同、次期計画R8.3.27策定）</t>
        </is>
      </c>
      <c r="G10" s="12" t="inlineStr">
        <is>
          <t>R8〜不明</t>
        </is>
      </c>
      <c r="H10" s="17" t="n"/>
      <c r="I10" s="14" t="inlineStr">
        <is>
          <t>推定</t>
        </is>
      </c>
      <c r="J10" s="14" t="inlineStr">
        <is>
          <t>策定済</t>
        </is>
      </c>
      <c r="K10" s="15" t="inlineStr">
        <is>
          <t>https://www.pref.yamagata.jp/020057/kurashi/kendo/kotsuseisaku/ykotsu_kasseikakyougikai.html</t>
        </is>
      </c>
      <c r="L10" s="12" t="inlineStr">
        <is>
          <t>第3期上山市快適環境基本計画</t>
        </is>
      </c>
      <c r="M10" s="12" t="inlineStr">
        <is>
          <t>R6〜R12</t>
        </is>
      </c>
      <c r="N10" s="14" t="n">
        <v>12</v>
      </c>
      <c r="O10" s="14" t="inlineStr">
        <is>
          <t>確認済</t>
        </is>
      </c>
      <c r="P10" s="14" t="inlineStr">
        <is>
          <t>未確認</t>
        </is>
      </c>
      <c r="Q10" s="15" t="inlineStr">
        <is>
          <t>https://www.city.kaminoyama.yamagata.jp/soshiki/6/kaitekikankyou-gaiyou.html</t>
        </is>
      </c>
      <c r="R10" s="12"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6" t="inlineStr">
        <is>
          <t>調査済</t>
        </is>
      </c>
      <c r="T10" s="18" t="inlineStr">
        <is>
          <t>未掲載【当方は計画あり】</t>
        </is>
      </c>
    </row>
    <row r="11">
      <c r="A11" s="12" t="n">
        <v>8</v>
      </c>
      <c r="B11" s="12" t="inlineStr">
        <is>
          <t>村山市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山形県地域公共交通計画（県・市町村共同、次期計画R8.3.27策定）</t>
        </is>
      </c>
      <c r="G11" s="12" t="inlineStr">
        <is>
          <t>R8〜不明</t>
        </is>
      </c>
      <c r="H11" s="17" t="n"/>
      <c r="I11" s="14" t="inlineStr">
        <is>
          <t>推定</t>
        </is>
      </c>
      <c r="J11" s="14" t="inlineStr">
        <is>
          <t>策定済</t>
        </is>
      </c>
      <c r="K11" s="15" t="inlineStr">
        <is>
          <t>https://www.pref.yamagata.jp/020057/kurashi/kendo/kotsuseisaku/ykotsu_kasseikakyougikai.html</t>
        </is>
      </c>
      <c r="L11" s="12" t="inlineStr">
        <is>
          <t>村山市環境基本計画（第２次）</t>
        </is>
      </c>
      <c r="M11" s="12" t="inlineStr">
        <is>
          <t>H30〜R9</t>
        </is>
      </c>
      <c r="N11" s="14" t="n">
        <v>9</v>
      </c>
      <c r="O11" s="14" t="inlineStr">
        <is>
          <t>確認済</t>
        </is>
      </c>
      <c r="P11" s="14" t="inlineStr">
        <is>
          <t>未確認</t>
        </is>
      </c>
      <c r="Q11" s="15" t="inlineStr">
        <is>
          <t>https://www.city.murayama.lg.jp/kurashi/shizen/kankyohozen/kankyoukihon.files/kankyou-2.pdf</t>
        </is>
      </c>
      <c r="R11" s="12"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6" t="inlineStr">
        <is>
          <t>調査済</t>
        </is>
      </c>
      <c r="T11" s="18" t="inlineStr">
        <is>
          <t>未掲載【当方は計画あり】</t>
        </is>
      </c>
      <c r="U11" s="20" t="inlineStr">
        <is>
          <t>→メモ</t>
        </is>
      </c>
    </row>
    <row r="12">
      <c r="A12" s="12" t="n">
        <v>9</v>
      </c>
      <c r="B12" s="12" t="inlineStr">
        <is>
          <t>長井市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長井市地域公共交通計画（案）</t>
        </is>
      </c>
      <c r="G12" s="12" t="inlineStr">
        <is>
          <t>不明</t>
        </is>
      </c>
      <c r="H12" s="14" t="n"/>
      <c r="I12" s="14" t="inlineStr">
        <is>
          <t>不明</t>
        </is>
      </c>
      <c r="J12" s="14" t="inlineStr">
        <is>
          <t>着手済</t>
        </is>
      </c>
      <c r="K12" s="15" t="inlineStr">
        <is>
          <t>https://www.city.nagai.yamagata.jp/kurashi_tetsuzuki/kokyokotsu/1/15982.html</t>
        </is>
      </c>
      <c r="L12" s="12" t="inlineStr">
        <is>
          <t>第4次長井市環境基本計画</t>
        </is>
      </c>
      <c r="M12" s="12" t="inlineStr">
        <is>
          <t>R6〜R15</t>
        </is>
      </c>
      <c r="N12" s="14" t="n">
        <v>15</v>
      </c>
      <c r="O12" s="14" t="inlineStr">
        <is>
          <t>確認済</t>
        </is>
      </c>
      <c r="P12" s="14" t="inlineStr">
        <is>
          <t>未確認</t>
        </is>
      </c>
      <c r="Q12" s="15" t="inlineStr">
        <is>
          <t>https://www.city.nagai.yamagata.jp/soshiki/sougoseisaku/106/205/6/sisakukeikaku/13731.html</t>
        </is>
      </c>
      <c r="R12" s="12"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6" t="inlineStr">
        <is>
          <t>調査済</t>
        </is>
      </c>
      <c r="T12" s="12" t="inlineStr">
        <is>
          <t>掲載（広域：フラワー長井線沿線）</t>
        </is>
      </c>
    </row>
    <row r="13">
      <c r="A13" s="12" t="n">
        <v>10</v>
      </c>
      <c r="B13" s="12" t="inlineStr">
        <is>
          <t>天童市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山形県地域公共交通計画（県・市町村共同、次期計画R8.3.27策定）</t>
        </is>
      </c>
      <c r="G13" s="12" t="inlineStr">
        <is>
          <t>R8〜不明</t>
        </is>
      </c>
      <c r="H13" s="17" t="n"/>
      <c r="I13" s="14" t="inlineStr">
        <is>
          <t>推定</t>
        </is>
      </c>
      <c r="J13" s="14" t="inlineStr">
        <is>
          <t>策定済</t>
        </is>
      </c>
      <c r="K13" s="15" t="inlineStr">
        <is>
          <t>https://www.pref.yamagata.jp/020057/kurashi/kendo/kotsuseisaku/ykotsu_kasseikakyougikai.html</t>
        </is>
      </c>
      <c r="L13" s="12" t="inlineStr">
        <is>
          <t>第三次天童市環境基本計画</t>
        </is>
      </c>
      <c r="M13" s="12" t="inlineStr">
        <is>
          <t>R4〜R13</t>
        </is>
      </c>
      <c r="N13" s="14" t="n">
        <v>13</v>
      </c>
      <c r="O13" s="14" t="inlineStr">
        <is>
          <t>確認済</t>
        </is>
      </c>
      <c r="P13" s="14" t="inlineStr">
        <is>
          <t>未確認</t>
        </is>
      </c>
      <c r="Q13" s="15" t="inlineStr">
        <is>
          <t>https://www.city.tendo.yamagata.jp/municipal/shisaku/kannkyoukihonn.html</t>
        </is>
      </c>
      <c r="R13" s="12"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6" t="inlineStr">
        <is>
          <t>調査済</t>
        </is>
      </c>
      <c r="T13" s="18" t="inlineStr">
        <is>
          <t>未掲載【当方は計画あり】</t>
        </is>
      </c>
    </row>
    <row r="14">
      <c r="A14" s="12" t="n">
        <v>11</v>
      </c>
      <c r="B14" s="12" t="inlineStr">
        <is>
          <t>東根市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山形県地域公共交通計画（県・市町村共同、次期計画R8.3.27策定）</t>
        </is>
      </c>
      <c r="G14" s="12" t="inlineStr">
        <is>
          <t>R8〜不明</t>
        </is>
      </c>
      <c r="H14" s="17" t="n"/>
      <c r="I14" s="14" t="inlineStr">
        <is>
          <t>推定</t>
        </is>
      </c>
      <c r="J14" s="14" t="inlineStr">
        <is>
          <t>策定済</t>
        </is>
      </c>
      <c r="K14" s="15" t="inlineStr">
        <is>
          <t>https://www.pref.yamagata.jp/020057/kurashi/kendo/kotsuseisaku/ykotsu_kasseikakyougikai.html</t>
        </is>
      </c>
      <c r="L14" s="12" t="inlineStr">
        <is>
          <t>第３次東根市大けやき環境基本計画</t>
        </is>
      </c>
      <c r="M14" s="12" t="inlineStr">
        <is>
          <t>R5〜R14（10年間）</t>
        </is>
      </c>
      <c r="N14" s="14" t="n">
        <v>14</v>
      </c>
      <c r="O14" s="14" t="inlineStr">
        <is>
          <t>確認済</t>
        </is>
      </c>
      <c r="P14" s="14" t="inlineStr">
        <is>
          <t>未確認</t>
        </is>
      </c>
      <c r="Q14" s="15" t="inlineStr">
        <is>
          <t>https://www.city.higashine.yamagata.jp/section_list/section008/seikatsukankyo-keikaku/169</t>
        </is>
      </c>
      <c r="R14" s="12"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6" t="inlineStr">
        <is>
          <t>調査済</t>
        </is>
      </c>
      <c r="T14" s="18" t="inlineStr">
        <is>
          <t>未掲載【当方は計画あり】</t>
        </is>
      </c>
    </row>
    <row r="15">
      <c r="A15" s="12" t="n">
        <v>12</v>
      </c>
      <c r="B15" s="12" t="inlineStr">
        <is>
          <t>尾花沢市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山形県地域公共交通計画（県・市町村共同、次期計画R8.3.27策定）</t>
        </is>
      </c>
      <c r="G15" s="12" t="inlineStr">
        <is>
          <t>R8〜不明</t>
        </is>
      </c>
      <c r="H15" s="17" t="n"/>
      <c r="I15" s="14" t="inlineStr">
        <is>
          <t>推定</t>
        </is>
      </c>
      <c r="J15" s="14" t="inlineStr">
        <is>
          <t>策定済</t>
        </is>
      </c>
      <c r="K15" s="15" t="inlineStr">
        <is>
          <t>https://www.pref.yamagata.jp/020057/kurashi/kendo/kotsuseisaku/ykotsu_kasseikakyougikai.html</t>
        </is>
      </c>
      <c r="L15" s="12" t="inlineStr">
        <is>
          <t>尾花沢市環境基本計画（令和4年〜令和13年）</t>
        </is>
      </c>
      <c r="M15" s="12" t="inlineStr">
        <is>
          <t>R4〜R13</t>
        </is>
      </c>
      <c r="N15" s="14" t="n">
        <v>13</v>
      </c>
      <c r="O15" s="14" t="inlineStr">
        <is>
          <t>確認済</t>
        </is>
      </c>
      <c r="P15" s="14" t="inlineStr">
        <is>
          <t>未確認</t>
        </is>
      </c>
      <c r="Q15" s="15" t="inlineStr">
        <is>
          <t>https://www.city.obanazawa.yamagata.jp/kurashi/kankyo/kankyo-shisaku/715</t>
        </is>
      </c>
      <c r="R15" s="12"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6" t="inlineStr">
        <is>
          <t>調査済</t>
        </is>
      </c>
      <c r="T15" s="18" t="inlineStr">
        <is>
          <t>未掲載【当方は計画あり】</t>
        </is>
      </c>
    </row>
    <row r="16">
      <c r="A16" s="12" t="n">
        <v>13</v>
      </c>
      <c r="B16" s="12" t="inlineStr">
        <is>
          <t>南陽市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南陽市地域公共交通計画（案）</t>
        </is>
      </c>
      <c r="G16" s="12" t="inlineStr">
        <is>
          <t>不明</t>
        </is>
      </c>
      <c r="H16" s="14" t="n"/>
      <c r="I16" s="14" t="inlineStr">
        <is>
          <t>不明</t>
        </is>
      </c>
      <c r="J16" s="14" t="inlineStr">
        <is>
          <t>着手済</t>
        </is>
      </c>
      <c r="K16" s="15" t="inlineStr">
        <is>
          <t>http://www.city.nanyo.yamagata.jp/kikakusuishin/6356</t>
        </is>
      </c>
      <c r="L16" s="12" t="n"/>
      <c r="M16" s="12" t="inlineStr">
        <is>
          <t>不明</t>
        </is>
      </c>
      <c r="N16" s="14" t="n"/>
      <c r="O16" s="14" t="inlineStr">
        <is>
          <t>不明</t>
        </is>
      </c>
      <c r="P16" s="14" t="inlineStr">
        <is>
          <t>計画なし</t>
        </is>
      </c>
      <c r="Q16" s="12" t="n"/>
      <c r="R16" s="12"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6" t="inlineStr">
        <is>
          <t>調査済</t>
        </is>
      </c>
      <c r="T16" s="12" t="inlineStr">
        <is>
          <t>掲載（広域：フラワー長井線沿線）</t>
        </is>
      </c>
    </row>
    <row r="17">
      <c r="A17" s="12" t="n">
        <v>14</v>
      </c>
      <c r="B17" s="12" t="inlineStr">
        <is>
          <t>山辺町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山形県地域公共交通計画（県・市町村共同、次期計画R8.3.27策定）</t>
        </is>
      </c>
      <c r="G17" s="12" t="inlineStr">
        <is>
          <t>R8〜不明</t>
        </is>
      </c>
      <c r="H17" s="17" t="n"/>
      <c r="I17" s="14" t="inlineStr">
        <is>
          <t>推定</t>
        </is>
      </c>
      <c r="J17" s="14" t="inlineStr">
        <is>
          <t>策定済</t>
        </is>
      </c>
      <c r="K17" s="15" t="inlineStr">
        <is>
          <t>https://www.pref.yamagata.jp/020057/kurashi/kendo/kotsuseisaku/ykotsu_kasseikakyougikai.html</t>
        </is>
      </c>
      <c r="L17" s="12" t="n"/>
      <c r="M17" s="12" t="inlineStr">
        <is>
          <t>不明</t>
        </is>
      </c>
      <c r="N17" s="14" t="n"/>
      <c r="O17" s="14" t="inlineStr">
        <is>
          <t>不明</t>
        </is>
      </c>
      <c r="P17" s="14" t="inlineStr">
        <is>
          <t>計画なし</t>
        </is>
      </c>
      <c r="Q17" s="12" t="n"/>
      <c r="R17" s="12"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6" t="inlineStr">
        <is>
          <t>調査済</t>
        </is>
      </c>
      <c r="T17" s="18" t="inlineStr">
        <is>
          <t>未掲載【当方は計画あり】</t>
        </is>
      </c>
    </row>
    <row r="18">
      <c r="A18" s="12" t="n">
        <v>15</v>
      </c>
      <c r="B18" s="12" t="inlineStr">
        <is>
          <t>中山町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山形県地域公共交通計画（県・市町村共同、次期計画R8.3.27策定）</t>
        </is>
      </c>
      <c r="G18" s="12" t="inlineStr">
        <is>
          <t>R8〜不明</t>
        </is>
      </c>
      <c r="H18" s="17" t="n"/>
      <c r="I18" s="14" t="inlineStr">
        <is>
          <t>推定</t>
        </is>
      </c>
      <c r="J18" s="14" t="inlineStr">
        <is>
          <t>策定済</t>
        </is>
      </c>
      <c r="K18" s="15" t="inlineStr">
        <is>
          <t>https://www.pref.yamagata.jp/020057/kurashi/kendo/kotsuseisaku/ykotsu_kasseikakyougikai.html</t>
        </is>
      </c>
      <c r="L18" s="12" t="n"/>
      <c r="M18" s="12" t="inlineStr">
        <is>
          <t>不明</t>
        </is>
      </c>
      <c r="N18" s="14" t="n"/>
      <c r="O18" s="14" t="inlineStr">
        <is>
          <t>不明</t>
        </is>
      </c>
      <c r="P18" s="14" t="inlineStr">
        <is>
          <t>計画なし</t>
        </is>
      </c>
      <c r="Q18" s="12" t="n"/>
      <c r="R18" s="12"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6" t="inlineStr">
        <is>
          <t>調査済</t>
        </is>
      </c>
      <c r="T18" s="18" t="inlineStr">
        <is>
          <t>未掲載【当方は計画あり】</t>
        </is>
      </c>
    </row>
    <row r="19">
      <c r="A19" s="12" t="n">
        <v>16</v>
      </c>
      <c r="B19" s="12" t="inlineStr">
        <is>
          <t>河北町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河北町地域公共交通計画（総合計画で言及）</t>
        </is>
      </c>
      <c r="G19" s="12" t="inlineStr">
        <is>
          <t>不明</t>
        </is>
      </c>
      <c r="H19" s="14" t="n"/>
      <c r="I19" s="14" t="inlineStr">
        <is>
          <t>不明</t>
        </is>
      </c>
      <c r="J19" s="14" t="inlineStr">
        <is>
          <t>未確認</t>
        </is>
      </c>
      <c r="K19" s="12" t="n"/>
      <c r="L19" s="12" t="inlineStr">
        <is>
          <t>第3次雛とべに花の里環境基本計画</t>
        </is>
      </c>
      <c r="M19" s="12" t="inlineStr">
        <is>
          <t>R6〜R15</t>
        </is>
      </c>
      <c r="N19" s="14" t="n">
        <v>15</v>
      </c>
      <c r="O19" s="14" t="inlineStr">
        <is>
          <t>確認済</t>
        </is>
      </c>
      <c r="P19" s="14" t="inlineStr">
        <is>
          <t>未確認</t>
        </is>
      </c>
      <c r="Q19" s="15" t="inlineStr">
        <is>
          <t>https://www.town.kahoku.yamagata.jp/gyouseizyouhou/seisaku_keikaku/keikaku_matizukuri/index.html</t>
        </is>
      </c>
      <c r="R19" s="12"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6" t="inlineStr">
        <is>
          <t>調査済</t>
        </is>
      </c>
      <c r="T19" s="12" t="inlineStr">
        <is>
          <t>掲載</t>
        </is>
      </c>
    </row>
    <row r="20">
      <c r="A20" s="12" t="n">
        <v>17</v>
      </c>
      <c r="B20" s="12" t="inlineStr">
        <is>
          <t>西川町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西川町地域公共交通計画</t>
        </is>
      </c>
      <c r="G20" s="12" t="inlineStr">
        <is>
          <t>R4〜R8</t>
        </is>
      </c>
      <c r="H20" s="17" t="n">
        <v>8</v>
      </c>
      <c r="I20" s="14" t="inlineStr">
        <is>
          <t>推定</t>
        </is>
      </c>
      <c r="J20" s="14" t="inlineStr">
        <is>
          <t>未確認</t>
        </is>
      </c>
      <c r="K20" s="15" t="inlineStr">
        <is>
          <t>https://www.town.nishikawa.yamagata.jp/uploaded/attachment/510.pdf</t>
        </is>
      </c>
      <c r="L20" s="12" t="n"/>
      <c r="M20" s="12" t="inlineStr">
        <is>
          <t>不明</t>
        </is>
      </c>
      <c r="N20" s="14" t="n"/>
      <c r="O20" s="14" t="inlineStr">
        <is>
          <t>不明</t>
        </is>
      </c>
      <c r="P20" s="14" t="inlineStr">
        <is>
          <t>計画なし</t>
        </is>
      </c>
      <c r="Q20" s="12" t="n"/>
      <c r="R20" s="12"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6" t="inlineStr">
        <is>
          <t>調査済</t>
        </is>
      </c>
      <c r="T20" s="12" t="inlineStr">
        <is>
          <t>掲載</t>
        </is>
      </c>
    </row>
    <row r="21">
      <c r="A21" s="12" t="n">
        <v>18</v>
      </c>
      <c r="B21" s="12" t="inlineStr">
        <is>
          <t>朝日町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山形県地域公共交通計画（県・市町村共同、次期計画R8.3.27策定）</t>
        </is>
      </c>
      <c r="G21" s="12" t="inlineStr">
        <is>
          <t>R8〜不明</t>
        </is>
      </c>
      <c r="H21" s="17" t="n"/>
      <c r="I21" s="14" t="inlineStr">
        <is>
          <t>推定</t>
        </is>
      </c>
      <c r="J21" s="14" t="inlineStr">
        <is>
          <t>策定済</t>
        </is>
      </c>
      <c r="K21" s="15" t="inlineStr">
        <is>
          <t>https://www.pref.yamagata.jp/020057/kurashi/kendo/kotsuseisaku/ykotsu_kasseikakyougikai.html</t>
        </is>
      </c>
      <c r="L21" s="12" t="inlineStr">
        <is>
          <t>第2次朝日町環境基本計画</t>
        </is>
      </c>
      <c r="M21" s="12" t="inlineStr">
        <is>
          <t>H30〜R9</t>
        </is>
      </c>
      <c r="N21" s="14" t="n">
        <v>9</v>
      </c>
      <c r="O21" s="14" t="inlineStr">
        <is>
          <t>確認済</t>
        </is>
      </c>
      <c r="P21" s="14" t="inlineStr">
        <is>
          <t>未確認</t>
        </is>
      </c>
      <c r="Q21" s="15" t="inlineStr">
        <is>
          <t>https://www.town.asahi.yamagata.jp/portal/soshikinogoannai/somuka/bosaigakari/3_1/3/2438.html</t>
        </is>
      </c>
      <c r="R21" s="12"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6" t="inlineStr">
        <is>
          <t>調査済</t>
        </is>
      </c>
      <c r="T21" s="18" t="inlineStr">
        <is>
          <t>未掲載【当方は計画あり】</t>
        </is>
      </c>
      <c r="U21" s="20" t="inlineStr">
        <is>
          <t>→メモ</t>
        </is>
      </c>
    </row>
    <row r="22">
      <c r="A22" s="12" t="n">
        <v>19</v>
      </c>
      <c r="B22" s="12" t="inlineStr">
        <is>
          <t>大江町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山形県地域公共交通計画（県・市町村共同、次期計画R8.3.27策定）</t>
        </is>
      </c>
      <c r="G22" s="12" t="inlineStr">
        <is>
          <t>R8〜不明</t>
        </is>
      </c>
      <c r="H22" s="17" t="n"/>
      <c r="I22" s="14" t="inlineStr">
        <is>
          <t>推定</t>
        </is>
      </c>
      <c r="J22" s="14" t="inlineStr">
        <is>
          <t>策定済</t>
        </is>
      </c>
      <c r="K22" s="15" t="inlineStr">
        <is>
          <t>https://www.pref.yamagata.jp/020057/kurashi/kendo/kotsuseisaku/ykotsu_kasseikakyougikai.html</t>
        </is>
      </c>
      <c r="L22" s="12" t="inlineStr">
        <is>
          <t>第3次大江町環境基本計画</t>
        </is>
      </c>
      <c r="M22" s="12" t="inlineStr">
        <is>
          <t>R7〜R12</t>
        </is>
      </c>
      <c r="N22" s="14" t="n">
        <v>12</v>
      </c>
      <c r="O22" s="14" t="inlineStr">
        <is>
          <t>確認済</t>
        </is>
      </c>
      <c r="P22" s="14" t="inlineStr">
        <is>
          <t>未確認</t>
        </is>
      </c>
      <c r="Q22" s="15" t="inlineStr">
        <is>
          <t>https://www.town.oe.yamagata.jp/government/mainpolicy/keikaku/</t>
        </is>
      </c>
      <c r="R22" s="12"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6" t="inlineStr">
        <is>
          <t>調査済</t>
        </is>
      </c>
      <c r="T22" s="18" t="inlineStr">
        <is>
          <t>未掲載【当方は計画あり】</t>
        </is>
      </c>
    </row>
    <row r="23">
      <c r="A23" s="12" t="n">
        <v>20</v>
      </c>
      <c r="B23" s="12" t="inlineStr">
        <is>
          <t>大石田町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山形県地域公共交通計画（県・市町村共同、次期計画R8.3.27策定）</t>
        </is>
      </c>
      <c r="G23" s="12" t="inlineStr">
        <is>
          <t>R8〜不明</t>
        </is>
      </c>
      <c r="H23" s="17" t="n"/>
      <c r="I23" s="14" t="inlineStr">
        <is>
          <t>推定</t>
        </is>
      </c>
      <c r="J23" s="14" t="inlineStr">
        <is>
          <t>策定済</t>
        </is>
      </c>
      <c r="K23" s="15" t="inlineStr">
        <is>
          <t>https://www.pref.yamagata.jp/020057/kurashi/kendo/kotsuseisaku/ykotsu_kasseikakyougikai.html</t>
        </is>
      </c>
      <c r="L23" s="12" t="n"/>
      <c r="M23" s="12" t="inlineStr">
        <is>
          <t>不明</t>
        </is>
      </c>
      <c r="N23" s="14" t="n"/>
      <c r="O23" s="14" t="inlineStr">
        <is>
          <t>不明</t>
        </is>
      </c>
      <c r="P23" s="14" t="inlineStr">
        <is>
          <t>計画なし</t>
        </is>
      </c>
      <c r="Q23" s="12" t="n"/>
      <c r="R23" s="12"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6" t="inlineStr">
        <is>
          <t>調査済</t>
        </is>
      </c>
      <c r="T23" s="18" t="inlineStr">
        <is>
          <t>未掲載【当方は計画あり】</t>
        </is>
      </c>
    </row>
    <row r="24">
      <c r="A24" s="12" t="n">
        <v>21</v>
      </c>
      <c r="B24" s="12" t="inlineStr">
        <is>
          <t>金山町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山形県地域公共交通計画（県・市町村共同、次期計画R8.3.27策定）</t>
        </is>
      </c>
      <c r="G24" s="12" t="inlineStr">
        <is>
          <t>R8〜不明</t>
        </is>
      </c>
      <c r="H24" s="17" t="n"/>
      <c r="I24" s="14" t="inlineStr">
        <is>
          <t>推定</t>
        </is>
      </c>
      <c r="J24" s="14" t="inlineStr">
        <is>
          <t>策定済</t>
        </is>
      </c>
      <c r="K24" s="15" t="inlineStr">
        <is>
          <t>https://www.pref.yamagata.jp/020057/kurashi/kendo/kotsuseisaku/ykotsu_kasseikakyougikai.html</t>
        </is>
      </c>
      <c r="L24" s="12" t="n"/>
      <c r="M24" s="12" t="inlineStr">
        <is>
          <t>不明</t>
        </is>
      </c>
      <c r="N24" s="14" t="n"/>
      <c r="O24" s="14" t="inlineStr">
        <is>
          <t>不明</t>
        </is>
      </c>
      <c r="P24" s="14" t="inlineStr">
        <is>
          <t>計画なし</t>
        </is>
      </c>
      <c r="Q24" s="12" t="n"/>
      <c r="R24" s="12"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6" t="inlineStr">
        <is>
          <t>調査済</t>
        </is>
      </c>
      <c r="T24" s="18" t="inlineStr">
        <is>
          <t>未掲載【当方は計画あり】</t>
        </is>
      </c>
    </row>
    <row r="25">
      <c r="A25" s="12" t="n">
        <v>22</v>
      </c>
      <c r="B25" s="12" t="inlineStr">
        <is>
          <t>最上町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山形県地域公共交通計画（県・市町村共同、次期計画R8.3.27策定）</t>
        </is>
      </c>
      <c r="G25" s="12" t="inlineStr">
        <is>
          <t>R8〜不明</t>
        </is>
      </c>
      <c r="H25" s="17" t="n"/>
      <c r="I25" s="14" t="inlineStr">
        <is>
          <t>推定</t>
        </is>
      </c>
      <c r="J25" s="14" t="inlineStr">
        <is>
          <t>策定済</t>
        </is>
      </c>
      <c r="K25" s="15" t="inlineStr">
        <is>
          <t>https://www.pref.yamagata.jp/020057/kurashi/kendo/kotsuseisaku/ykotsu_kasseikakyougikai.html</t>
        </is>
      </c>
      <c r="L25" s="12" t="n"/>
      <c r="M25" s="12" t="inlineStr">
        <is>
          <t>不明</t>
        </is>
      </c>
      <c r="N25" s="14" t="n"/>
      <c r="O25" s="14" t="inlineStr">
        <is>
          <t>不明</t>
        </is>
      </c>
      <c r="P25" s="14" t="inlineStr">
        <is>
          <t>計画なし</t>
        </is>
      </c>
      <c r="Q25" s="12" t="n"/>
      <c r="R25" s="12"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6" t="inlineStr">
        <is>
          <t>調査済</t>
        </is>
      </c>
      <c r="T25" s="18" t="inlineStr">
        <is>
          <t>未掲載【当方は計画あり】</t>
        </is>
      </c>
    </row>
    <row r="26">
      <c r="A26" s="12" t="n">
        <v>23</v>
      </c>
      <c r="B26" s="12" t="inlineStr">
        <is>
          <t>舟形町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山形県地域公共交通計画（県・市町村共同、次期計画R8.3.27策定）</t>
        </is>
      </c>
      <c r="G26" s="12" t="inlineStr">
        <is>
          <t>R8〜不明</t>
        </is>
      </c>
      <c r="H26" s="17" t="n"/>
      <c r="I26" s="14" t="inlineStr">
        <is>
          <t>推定</t>
        </is>
      </c>
      <c r="J26" s="14" t="inlineStr">
        <is>
          <t>策定済</t>
        </is>
      </c>
      <c r="K26" s="15" t="inlineStr">
        <is>
          <t>https://www.pref.yamagata.jp/020057/kurashi/kendo/kotsuseisaku/ykotsu_kasseikakyougikai.html</t>
        </is>
      </c>
      <c r="L26" s="12" t="n"/>
      <c r="M26" s="12" t="inlineStr">
        <is>
          <t>不明</t>
        </is>
      </c>
      <c r="N26" s="14" t="n"/>
      <c r="O26" s="14" t="inlineStr">
        <is>
          <t>不明</t>
        </is>
      </c>
      <c r="P26" s="14" t="inlineStr">
        <is>
          <t>計画なし</t>
        </is>
      </c>
      <c r="Q26" s="12" t="n"/>
      <c r="R26"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6" t="inlineStr">
        <is>
          <t>調査済</t>
        </is>
      </c>
      <c r="T26" s="18" t="inlineStr">
        <is>
          <t>未掲載【当方は計画あり】</t>
        </is>
      </c>
    </row>
    <row r="27">
      <c r="A27" s="12" t="n">
        <v>24</v>
      </c>
      <c r="B27" s="12" t="inlineStr">
        <is>
          <t>真室川町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山形県地域公共交通計画（県・市町村共同、次期計画R8.3.27策定）</t>
        </is>
      </c>
      <c r="G27" s="12" t="inlineStr">
        <is>
          <t>R8〜不明</t>
        </is>
      </c>
      <c r="H27" s="17" t="n"/>
      <c r="I27" s="14" t="inlineStr">
        <is>
          <t>推定</t>
        </is>
      </c>
      <c r="J27" s="14" t="inlineStr">
        <is>
          <t>策定済</t>
        </is>
      </c>
      <c r="K27" s="15" t="inlineStr">
        <is>
          <t>https://www.pref.yamagata.jp/020057/kurashi/kendo/kotsuseisaku/ykotsu_kasseikakyougikai.html</t>
        </is>
      </c>
      <c r="L27" s="12" t="n"/>
      <c r="M27" s="12" t="inlineStr">
        <is>
          <t>不明</t>
        </is>
      </c>
      <c r="N27" s="14" t="n"/>
      <c r="O27" s="14" t="inlineStr">
        <is>
          <t>不明</t>
        </is>
      </c>
      <c r="P27" s="14" t="inlineStr">
        <is>
          <t>計画なし</t>
        </is>
      </c>
      <c r="Q27" s="12" t="n"/>
      <c r="R27" s="12"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6" t="inlineStr">
        <is>
          <t>調査済</t>
        </is>
      </c>
      <c r="T27" s="18" t="inlineStr">
        <is>
          <t>未掲載【当方は計画あり】</t>
        </is>
      </c>
    </row>
    <row r="28">
      <c r="A28" s="12" t="n">
        <v>25</v>
      </c>
      <c r="B28" s="12" t="inlineStr">
        <is>
          <t>大蔵村</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山形県地域公共交通計画（県・市町村共同、次期計画R8.3.27策定）</t>
        </is>
      </c>
      <c r="G28" s="12" t="inlineStr">
        <is>
          <t>R8〜不明</t>
        </is>
      </c>
      <c r="H28" s="17" t="n"/>
      <c r="I28" s="14" t="inlineStr">
        <is>
          <t>推定</t>
        </is>
      </c>
      <c r="J28" s="14" t="inlineStr">
        <is>
          <t>策定済</t>
        </is>
      </c>
      <c r="K28" s="15" t="inlineStr">
        <is>
          <t>https://www.pref.yamagata.jp/020057/kurashi/kendo/kotsuseisaku/ykotsu_kasseikakyougikai.html</t>
        </is>
      </c>
      <c r="L28" s="12" t="n"/>
      <c r="M28" s="12" t="inlineStr">
        <is>
          <t>不明</t>
        </is>
      </c>
      <c r="N28" s="14" t="n"/>
      <c r="O28" s="14" t="inlineStr">
        <is>
          <t>不明</t>
        </is>
      </c>
      <c r="P28" s="14" t="inlineStr">
        <is>
          <t>計画なし</t>
        </is>
      </c>
      <c r="Q28" s="12" t="n"/>
      <c r="R28" s="12"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6" t="inlineStr">
        <is>
          <t>調査済</t>
        </is>
      </c>
      <c r="T28" s="18" t="inlineStr">
        <is>
          <t>未掲載【当方は計画あり】</t>
        </is>
      </c>
    </row>
    <row r="29">
      <c r="A29" s="12" t="n">
        <v>26</v>
      </c>
      <c r="B29" s="12" t="inlineStr">
        <is>
          <t>鮭川村</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山形県地域公共交通計画（県・市町村共同、次期計画R8.3.27策定）</t>
        </is>
      </c>
      <c r="G29" s="12" t="inlineStr">
        <is>
          <t>R8〜不明</t>
        </is>
      </c>
      <c r="H29" s="17" t="n"/>
      <c r="I29" s="14" t="inlineStr">
        <is>
          <t>推定</t>
        </is>
      </c>
      <c r="J29" s="14" t="inlineStr">
        <is>
          <t>策定済</t>
        </is>
      </c>
      <c r="K29" s="15" t="inlineStr">
        <is>
          <t>https://www.pref.yamagata.jp/020057/kurashi/kendo/kotsuseisaku/ykotsu_kasseikakyougikai.html</t>
        </is>
      </c>
      <c r="L29" s="12" t="n"/>
      <c r="M29" s="12" t="inlineStr">
        <is>
          <t>不明</t>
        </is>
      </c>
      <c r="N29" s="14" t="n"/>
      <c r="O29" s="14" t="inlineStr">
        <is>
          <t>不明</t>
        </is>
      </c>
      <c r="P29" s="14" t="inlineStr">
        <is>
          <t>計画なし</t>
        </is>
      </c>
      <c r="Q29" s="12" t="n"/>
      <c r="R29" s="12"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6" t="inlineStr">
        <is>
          <t>調査済</t>
        </is>
      </c>
      <c r="T29" s="18" t="inlineStr">
        <is>
          <t>未掲載【当方は計画あり】</t>
        </is>
      </c>
    </row>
    <row r="30">
      <c r="A30" s="12" t="n">
        <v>27</v>
      </c>
      <c r="B30" s="12" t="inlineStr">
        <is>
          <t>戸沢村</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山形県地域公共交通計画（県・市町村共同、次期計画R8.3.27策定）</t>
        </is>
      </c>
      <c r="G30" s="12" t="inlineStr">
        <is>
          <t>R8〜不明</t>
        </is>
      </c>
      <c r="H30" s="17" t="n"/>
      <c r="I30" s="14" t="inlineStr">
        <is>
          <t>推定</t>
        </is>
      </c>
      <c r="J30" s="14" t="inlineStr">
        <is>
          <t>策定済</t>
        </is>
      </c>
      <c r="K30" s="15" t="inlineStr">
        <is>
          <t>https://www.pref.yamagata.jp/020057/kurashi/kendo/kotsuseisaku/ykotsu_kasseikakyougikai.html</t>
        </is>
      </c>
      <c r="L30" s="12" t="n"/>
      <c r="M30" s="12" t="inlineStr">
        <is>
          <t>不明</t>
        </is>
      </c>
      <c r="N30" s="14" t="n"/>
      <c r="O30" s="14" t="inlineStr">
        <is>
          <t>不明</t>
        </is>
      </c>
      <c r="P30" s="14" t="inlineStr">
        <is>
          <t>計画なし</t>
        </is>
      </c>
      <c r="Q30" s="12" t="n"/>
      <c r="R30" s="12"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6" t="inlineStr">
        <is>
          <t>調査済</t>
        </is>
      </c>
      <c r="T30" s="18" t="inlineStr">
        <is>
          <t>未掲載【当方は計画あり】</t>
        </is>
      </c>
    </row>
    <row r="31">
      <c r="A31" s="12" t="n">
        <v>28</v>
      </c>
      <c r="B31" s="12" t="inlineStr">
        <is>
          <t>高畠町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高畠町地域公共交通計画</t>
        </is>
      </c>
      <c r="G31" s="12" t="inlineStr">
        <is>
          <t>R8〜不明</t>
        </is>
      </c>
      <c r="H31" s="17" t="n"/>
      <c r="I31" s="14" t="inlineStr">
        <is>
          <t>推定</t>
        </is>
      </c>
      <c r="J31" s="14" t="inlineStr">
        <is>
          <t>策定済</t>
        </is>
      </c>
      <c r="K31" s="15" t="inlineStr">
        <is>
          <t>https://www.town.takahata.yamagata.jp/soshikiichiran/kikaku/3/kokyokotsu/4511.html</t>
        </is>
      </c>
      <c r="L31" s="12" t="inlineStr">
        <is>
          <t>第3次高畠町環境基本計画</t>
        </is>
      </c>
      <c r="M31" s="12" t="inlineStr">
        <is>
          <t>R5〜（10年ならR14）</t>
        </is>
      </c>
      <c r="N31" s="17" t="n">
        <v>14</v>
      </c>
      <c r="O31" s="14" t="inlineStr">
        <is>
          <t>推定</t>
        </is>
      </c>
      <c r="P31" s="14" t="inlineStr">
        <is>
          <t>未確認</t>
        </is>
      </c>
      <c r="Q31" s="15" t="inlineStr">
        <is>
          <t>https://www.town.takahata.yamagata.jp/kurashi/gyoseijoho/kakushukeikaku/1/2728.html</t>
        </is>
      </c>
      <c r="R31" s="12"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6" t="inlineStr">
        <is>
          <t>調査済</t>
        </is>
      </c>
      <c r="T31" s="12" t="inlineStr">
        <is>
          <t>掲載</t>
        </is>
      </c>
    </row>
    <row r="32">
      <c r="A32" s="12" t="n">
        <v>29</v>
      </c>
      <c r="B32" s="12" t="inlineStr">
        <is>
          <t>川西町</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川西町地域公共交通計画</t>
        </is>
      </c>
      <c r="G32" s="12" t="inlineStr">
        <is>
          <t>R8〜R12</t>
        </is>
      </c>
      <c r="H32" s="14" t="n">
        <v>12</v>
      </c>
      <c r="I32" s="14" t="inlineStr">
        <is>
          <t>確認済</t>
        </is>
      </c>
      <c r="J32" s="14" t="inlineStr">
        <is>
          <t>策定済</t>
        </is>
      </c>
      <c r="K32" s="15" t="inlineStr">
        <is>
          <t>https://www.town.kawanishi.yamagata.jp/kurashi/doro/02keikaku.pdf</t>
        </is>
      </c>
      <c r="L32" s="12" t="n"/>
      <c r="M32" s="12" t="inlineStr">
        <is>
          <t>不明</t>
        </is>
      </c>
      <c r="N32" s="14" t="n"/>
      <c r="O32" s="14" t="inlineStr">
        <is>
          <t>不明</t>
        </is>
      </c>
      <c r="P32" s="14" t="inlineStr">
        <is>
          <t>計画なし</t>
        </is>
      </c>
      <c r="Q32" s="12" t="n"/>
      <c r="R32"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6" t="inlineStr">
        <is>
          <t>調査済</t>
        </is>
      </c>
      <c r="T32" s="12" t="inlineStr">
        <is>
          <t>掲載（広域：フラワー長井線沿線）</t>
        </is>
      </c>
    </row>
    <row r="33">
      <c r="A33" s="12" t="n">
        <v>30</v>
      </c>
      <c r="B33" s="12" t="inlineStr">
        <is>
          <t>小国町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小国町地域公共交通網形成計画</t>
        </is>
      </c>
      <c r="G33" s="12" t="inlineStr">
        <is>
          <t>不明</t>
        </is>
      </c>
      <c r="H33" s="14" t="n"/>
      <c r="I33" s="14" t="inlineStr">
        <is>
          <t>不明</t>
        </is>
      </c>
      <c r="J33" s="14" t="inlineStr">
        <is>
          <t>未確認</t>
        </is>
      </c>
      <c r="K33" s="15" t="inlineStr">
        <is>
          <t>https://www.town.oguni.yamagata.jp/soshiki/choumin/1214.html</t>
        </is>
      </c>
      <c r="L33" s="12" t="n"/>
      <c r="M33" s="12" t="inlineStr">
        <is>
          <t>不明</t>
        </is>
      </c>
      <c r="N33" s="14" t="n"/>
      <c r="O33" s="14" t="inlineStr">
        <is>
          <t>不明</t>
        </is>
      </c>
      <c r="P33" s="14" t="inlineStr">
        <is>
          <t>計画なし</t>
        </is>
      </c>
      <c r="Q33" s="12" t="n"/>
      <c r="R33" s="12"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6" t="inlineStr">
        <is>
          <t>調査済</t>
        </is>
      </c>
      <c r="T33" s="18" t="inlineStr">
        <is>
          <t>掲載／期間満了</t>
        </is>
      </c>
    </row>
    <row r="34">
      <c r="A34" s="12" t="n">
        <v>31</v>
      </c>
      <c r="B34" s="12" t="inlineStr">
        <is>
          <t>白鷹町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山形県地域公共交通計画（県・市町村共同、次期計画R8.3.27策定）</t>
        </is>
      </c>
      <c r="G34" s="12" t="inlineStr">
        <is>
          <t>R8〜不明</t>
        </is>
      </c>
      <c r="H34" s="17" t="n"/>
      <c r="I34" s="14" t="inlineStr">
        <is>
          <t>推定</t>
        </is>
      </c>
      <c r="J34" s="14" t="inlineStr">
        <is>
          <t>策定済</t>
        </is>
      </c>
      <c r="K34" s="15" t="inlineStr">
        <is>
          <t>https://www.pref.yamagata.jp/020057/kurashi/kendo/kotsuseisaku/ykotsu_kasseikakyougikai.html</t>
        </is>
      </c>
      <c r="L34" s="12" t="n"/>
      <c r="M34" s="12" t="inlineStr">
        <is>
          <t>不明</t>
        </is>
      </c>
      <c r="N34" s="14" t="n"/>
      <c r="O34" s="14" t="inlineStr">
        <is>
          <t>不明</t>
        </is>
      </c>
      <c r="P34" s="14" t="inlineStr">
        <is>
          <t>計画なし</t>
        </is>
      </c>
      <c r="Q34" s="12" t="n"/>
      <c r="R34"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6" t="inlineStr">
        <is>
          <t>調査済</t>
        </is>
      </c>
      <c r="T34" s="18" t="inlineStr">
        <is>
          <t>掲載（広域：フラワー長井線沿線）／期間満了</t>
        </is>
      </c>
    </row>
    <row r="35">
      <c r="A35" s="12" t="n">
        <v>32</v>
      </c>
      <c r="B35" s="12" t="inlineStr">
        <is>
          <t>飯豊町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山形県地域公共交通計画（県・市町村共同、次期計画R8.3.27策定）</t>
        </is>
      </c>
      <c r="G35" s="12" t="inlineStr">
        <is>
          <t>R8〜不明</t>
        </is>
      </c>
      <c r="H35" s="17" t="n"/>
      <c r="I35" s="14" t="inlineStr">
        <is>
          <t>推定</t>
        </is>
      </c>
      <c r="J35" s="14" t="inlineStr">
        <is>
          <t>策定済</t>
        </is>
      </c>
      <c r="K35" s="15" t="inlineStr">
        <is>
          <t>https://www.pref.yamagata.jp/020057/kurashi/kendo/kotsuseisaku/ykotsu_kasseikakyougikai.html</t>
        </is>
      </c>
      <c r="L35" s="12" t="n"/>
      <c r="M35" s="12" t="inlineStr">
        <is>
          <t>不明</t>
        </is>
      </c>
      <c r="N35" s="14" t="n"/>
      <c r="O35" s="14" t="inlineStr">
        <is>
          <t>不明</t>
        </is>
      </c>
      <c r="P35" s="14" t="inlineStr">
        <is>
          <t>計画なし</t>
        </is>
      </c>
      <c r="Q35" s="12" t="n"/>
      <c r="R35" s="12"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6" t="inlineStr">
        <is>
          <t>調査済</t>
        </is>
      </c>
      <c r="T35" s="18" t="inlineStr">
        <is>
          <t>未掲載【当方は計画あり】</t>
        </is>
      </c>
    </row>
    <row r="36">
      <c r="A36" s="12" t="n">
        <v>33</v>
      </c>
      <c r="B36" s="12" t="inlineStr">
        <is>
          <t>三川町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inlineStr">
        <is>
          <t>山形県地域公共交通計画（県・市町村共同、次期計画R8.3.27策定）</t>
        </is>
      </c>
      <c r="G36" s="12" t="inlineStr">
        <is>
          <t>R8〜不明</t>
        </is>
      </c>
      <c r="H36" s="17" t="n"/>
      <c r="I36" s="14" t="inlineStr">
        <is>
          <t>推定</t>
        </is>
      </c>
      <c r="J36" s="14" t="inlineStr">
        <is>
          <t>策定済</t>
        </is>
      </c>
      <c r="K36" s="15" t="inlineStr">
        <is>
          <t>https://www.pref.yamagata.jp/020057/kurashi/kendo/kotsuseisaku/ykotsu_kasseikakyougikai.html</t>
        </is>
      </c>
      <c r="L36" s="12" t="n"/>
      <c r="M36" s="12" t="inlineStr">
        <is>
          <t>不明</t>
        </is>
      </c>
      <c r="N36" s="14" t="n"/>
      <c r="O36" s="14" t="inlineStr">
        <is>
          <t>不明</t>
        </is>
      </c>
      <c r="P36" s="14" t="inlineStr">
        <is>
          <t>計画なし</t>
        </is>
      </c>
      <c r="Q36" s="12" t="n"/>
      <c r="R36" s="12"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6" t="inlineStr">
        <is>
          <t>調査済</t>
        </is>
      </c>
      <c r="T36" s="18" t="inlineStr">
        <is>
          <t>未掲載【当方は計画あり】</t>
        </is>
      </c>
    </row>
    <row r="37">
      <c r="A37" s="12" t="n">
        <v>34</v>
      </c>
      <c r="B37" s="12" t="inlineStr">
        <is>
          <t>庄内町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庄内町地域公共交通計画</t>
        </is>
      </c>
      <c r="G37" s="12" t="inlineStr">
        <is>
          <t>R8〜不明</t>
        </is>
      </c>
      <c r="H37" s="17" t="n"/>
      <c r="I37" s="14" t="inlineStr">
        <is>
          <t>推定</t>
        </is>
      </c>
      <c r="J37" s="14" t="inlineStr">
        <is>
          <t>策定済</t>
        </is>
      </c>
      <c r="K37" s="15" t="inlineStr">
        <is>
          <t>https://www.town.shonai.lg.jp/kurashi/koutsu/chiikikoukyou/tiikikoukyokotsukaigi.html</t>
        </is>
      </c>
      <c r="L37" s="12" t="inlineStr">
        <is>
          <t>第3次庄内町環境基本計画</t>
        </is>
      </c>
      <c r="M37" s="12" t="inlineStr">
        <is>
          <t>R8〜不明</t>
        </is>
      </c>
      <c r="N37" s="17" t="n"/>
      <c r="O37" s="14" t="inlineStr">
        <is>
          <t>推定</t>
        </is>
      </c>
      <c r="P37" s="14" t="inlineStr">
        <is>
          <t>策定済</t>
        </is>
      </c>
      <c r="Q37" s="15" t="inlineStr">
        <is>
          <t>https://www.town.shonai.lg.jp/gyousei/shisaku/seisaku/index.html</t>
        </is>
      </c>
      <c r="R37" s="12"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6" t="inlineStr">
        <is>
          <t>調査済</t>
        </is>
      </c>
      <c r="T37" s="12" t="inlineStr">
        <is>
          <t>掲載</t>
        </is>
      </c>
    </row>
    <row r="38">
      <c r="A38" s="12" t="n">
        <v>35</v>
      </c>
      <c r="B38" s="12" t="inlineStr">
        <is>
          <t>遊佐町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山形県地域公共交通計画（県・市町村共同、次期計画R8.3.27策定）</t>
        </is>
      </c>
      <c r="G38" s="12" t="inlineStr">
        <is>
          <t>R8〜不明</t>
        </is>
      </c>
      <c r="H38" s="17" t="n"/>
      <c r="I38" s="14" t="inlineStr">
        <is>
          <t>推定</t>
        </is>
      </c>
      <c r="J38" s="14" t="inlineStr">
        <is>
          <t>策定済</t>
        </is>
      </c>
      <c r="K38" s="15" t="inlineStr">
        <is>
          <t>https://www.pref.yamagata.jp/020057/kurashi/kendo/kotsuseisaku/ykotsu_kasseikakyougikai.html</t>
        </is>
      </c>
      <c r="L38" s="12" t="inlineStr">
        <is>
          <t>第3次遊佐町環境基本計画</t>
        </is>
      </c>
      <c r="M38" s="12" t="inlineStr">
        <is>
          <t>R4〜R13</t>
        </is>
      </c>
      <c r="N38" s="17" t="n">
        <v>13</v>
      </c>
      <c r="O38" s="14" t="inlineStr">
        <is>
          <t>推定</t>
        </is>
      </c>
      <c r="P38" s="14" t="inlineStr">
        <is>
          <t>未確認</t>
        </is>
      </c>
      <c r="Q38" s="15" t="inlineStr">
        <is>
          <t>https://www.town.yuza.yamagata.jp/genre/living/environment</t>
        </is>
      </c>
      <c r="R38" s="12"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6" t="inlineStr">
        <is>
          <t>調査済</t>
        </is>
      </c>
      <c r="T38" s="18"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ref="U11" location="'営業メモ'!C18" display="→メモ"/>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ref="U21" location="'営業メモ'!C19" display="→メモ"/>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福島県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福島市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福島市地域公共交通計画</t>
        </is>
      </c>
      <c r="G4" s="12" t="inlineStr">
        <is>
          <t>R5〜R12（県計画に準拠）</t>
        </is>
      </c>
      <c r="H4" s="14" t="n">
        <v>12</v>
      </c>
      <c r="I4" s="14" t="inlineStr">
        <is>
          <t>確認済</t>
        </is>
      </c>
      <c r="J4" s="14" t="inlineStr">
        <is>
          <t>未確認</t>
        </is>
      </c>
      <c r="K4" s="15" t="inlineStr">
        <is>
          <t>https://www.city.fukushima.fukushima.jp/material/files/group/62/40koutuukeikaku-honnpenn1.pdf</t>
        </is>
      </c>
      <c r="L4" s="12" t="inlineStr">
        <is>
          <t>福島市環境基本計画（第3次）</t>
        </is>
      </c>
      <c r="M4" s="12" t="inlineStr">
        <is>
          <t>R3〜R7</t>
        </is>
      </c>
      <c r="N4" s="14" t="n">
        <v>7</v>
      </c>
      <c r="O4" s="14" t="inlineStr">
        <is>
          <t>確認済</t>
        </is>
      </c>
      <c r="P4" s="14" t="inlineStr">
        <is>
          <t>着手済</t>
        </is>
      </c>
      <c r="Q4" s="15" t="inlineStr">
        <is>
          <t>https://www.city.fukushima.fukushima.jp/material/files/group/36/02_r6_kannkyoukihonnkeikaku.pdf</t>
        </is>
      </c>
      <c r="R4" s="12"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6" t="inlineStr">
        <is>
          <t>調査済</t>
        </is>
      </c>
      <c r="T4" s="12" t="inlineStr">
        <is>
          <t>掲載（広域：福島県避難地域・阿武隈急行線地域）</t>
        </is>
      </c>
    </row>
    <row r="5">
      <c r="A5" s="12" t="n">
        <v>2</v>
      </c>
      <c r="B5" s="12" t="inlineStr">
        <is>
          <t>会津若松市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会津圏域地域公共交通計画（会津若松市・喜多方市ほか6市町村共同）</t>
        </is>
      </c>
      <c r="G5" s="12" t="inlineStr">
        <is>
          <t>R8〜R13</t>
        </is>
      </c>
      <c r="H5" s="14" t="n">
        <v>13</v>
      </c>
      <c r="I5" s="14" t="inlineStr">
        <is>
          <t>確認済</t>
        </is>
      </c>
      <c r="J5" s="14" t="inlineStr">
        <is>
          <t>策定済</t>
        </is>
      </c>
      <c r="K5" s="15" t="inlineStr">
        <is>
          <t>https://www.pref.fukushima.lg.jp/sec/16005d/aizukenikimoukeikaku.html</t>
        </is>
      </c>
      <c r="L5" s="12" t="inlineStr">
        <is>
          <t>会津若松市第3期環境基本計画</t>
        </is>
      </c>
      <c r="M5" s="12" t="inlineStr">
        <is>
          <t>R6〜R12</t>
        </is>
      </c>
      <c r="N5" s="14" t="n">
        <v>12</v>
      </c>
      <c r="O5" s="14" t="inlineStr">
        <is>
          <t>確認済</t>
        </is>
      </c>
      <c r="P5" s="14" t="inlineStr">
        <is>
          <t>未確認</t>
        </is>
      </c>
      <c r="Q5" s="15" t="inlineStr">
        <is>
          <t>https://www.city.aizuwakamatsu.fukushima.jp/docs/2024050800012/</t>
        </is>
      </c>
      <c r="R5" s="12" t="inlineStr">
        <is>
          <t>交通：前計画（会津圏域地域公共交通網形成計画/再編実施計画 R2〜R7）の後継として新計画を策定、パブコメR7.12.15〜R8.1.5。環境：R6.3策定。</t>
        </is>
      </c>
      <c r="S5" s="16" t="inlineStr">
        <is>
          <t>調査済</t>
        </is>
      </c>
      <c r="T5" s="12" t="inlineStr">
        <is>
          <t>掲載（広域：会津圏域）</t>
        </is>
      </c>
    </row>
    <row r="6">
      <c r="A6" s="12" t="n">
        <v>3</v>
      </c>
      <c r="B6" s="12" t="inlineStr">
        <is>
          <t>郡山市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郡山市総合交通計画マスタープラン（地域公共交通計画を包含）</t>
        </is>
      </c>
      <c r="G6" s="12" t="inlineStr">
        <is>
          <t>R5〜R12</t>
        </is>
      </c>
      <c r="H6" s="14" t="n">
        <v>12</v>
      </c>
      <c r="I6" s="14" t="inlineStr">
        <is>
          <t>確認済</t>
        </is>
      </c>
      <c r="J6" s="14" t="inlineStr">
        <is>
          <t>未確認</t>
        </is>
      </c>
      <c r="K6" s="15" t="inlineStr">
        <is>
          <t>https://www.city.koriyama.lg.jp/soshiki/125/68026.html</t>
        </is>
      </c>
      <c r="L6" s="12" t="inlineStr">
        <is>
          <t>郡山市第五次環境基本計画</t>
        </is>
      </c>
      <c r="M6" s="12" t="inlineStr">
        <is>
          <t>R8〜R11</t>
        </is>
      </c>
      <c r="N6" s="14" t="n">
        <v>11</v>
      </c>
      <c r="O6" s="14" t="inlineStr">
        <is>
          <t>確認済</t>
        </is>
      </c>
      <c r="P6" s="14" t="inlineStr">
        <is>
          <t>着手済</t>
        </is>
      </c>
      <c r="Q6" s="15" t="inlineStr">
        <is>
          <t>https://www.city.koriyama.lg.jp/uploaded/attachment/109925.pdf</t>
        </is>
      </c>
      <c r="R6" s="12"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6" t="inlineStr">
        <is>
          <t>調査済</t>
        </is>
      </c>
      <c r="T6" s="12" t="inlineStr">
        <is>
          <t>掲載</t>
        </is>
      </c>
    </row>
    <row r="7">
      <c r="A7" s="12" t="n">
        <v>4</v>
      </c>
      <c r="B7" s="12" t="inlineStr">
        <is>
          <t>いわき市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いわき市地域公共交通計画</t>
        </is>
      </c>
      <c r="G7" s="12" t="inlineStr">
        <is>
          <t>R5〜R9</t>
        </is>
      </c>
      <c r="H7" s="14" t="n">
        <v>9</v>
      </c>
      <c r="I7" s="14" t="inlineStr">
        <is>
          <t>確認済</t>
        </is>
      </c>
      <c r="J7" s="14" t="inlineStr">
        <is>
          <t>未確認</t>
        </is>
      </c>
      <c r="K7" s="15" t="inlineStr">
        <is>
          <t>https://www.city.iwaki.lg.jp/www/contents/1679296597893/simple/koukyoukoutuukeikaku1.pdf</t>
        </is>
      </c>
      <c r="L7" s="12" t="inlineStr">
        <is>
          <t>いわき市環境基本計画（第三次）（中間改定版）</t>
        </is>
      </c>
      <c r="M7" s="12" t="inlineStr">
        <is>
          <t>R3〜R12</t>
        </is>
      </c>
      <c r="N7" s="14" t="n">
        <v>12</v>
      </c>
      <c r="O7" s="14" t="inlineStr">
        <is>
          <t>確認済</t>
        </is>
      </c>
      <c r="P7" s="14" t="inlineStr">
        <is>
          <t>策定済</t>
        </is>
      </c>
      <c r="Q7" s="15" t="inlineStr">
        <is>
          <t>https://www.city.iwaki.lg.jp/www/contents/1774836268840/simple/gaiyo.pdf</t>
        </is>
      </c>
      <c r="R7" s="12"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6" t="inlineStr">
        <is>
          <t>調査済</t>
        </is>
      </c>
      <c r="T7" s="12" t="inlineStr">
        <is>
          <t>掲載（広域：福島県避難地域）</t>
        </is>
      </c>
      <c r="U7" s="20" t="inlineStr">
        <is>
          <t>→メモ</t>
        </is>
      </c>
    </row>
    <row r="8">
      <c r="A8" s="12" t="n">
        <v>5</v>
      </c>
      <c r="B8" s="12" t="inlineStr">
        <is>
          <t>白河市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白河市地域公共交通計画</t>
        </is>
      </c>
      <c r="G8" s="12" t="inlineStr">
        <is>
          <t>R6〜R10</t>
        </is>
      </c>
      <c r="H8" s="14" t="n">
        <v>10</v>
      </c>
      <c r="I8" s="14" t="inlineStr">
        <is>
          <t>確認済</t>
        </is>
      </c>
      <c r="J8" s="14" t="inlineStr">
        <is>
          <t>未確認</t>
        </is>
      </c>
      <c r="K8" s="15" t="inlineStr">
        <is>
          <t>https://www.city.shirakawa.fukushima.jp/data/doc/1712536078_doc_45_0.pdf</t>
        </is>
      </c>
      <c r="L8" s="12" t="inlineStr">
        <is>
          <t>第3次白河市環境基本計画</t>
        </is>
      </c>
      <c r="M8" s="12" t="inlineStr">
        <is>
          <t>R3〜R12</t>
        </is>
      </c>
      <c r="N8" s="14" t="n">
        <v>12</v>
      </c>
      <c r="O8" s="14" t="inlineStr">
        <is>
          <t>確認済</t>
        </is>
      </c>
      <c r="P8" s="14" t="inlineStr">
        <is>
          <t>未確認</t>
        </is>
      </c>
      <c r="Q8" s="15" t="inlineStr">
        <is>
          <t>https://www.city.shirakawa.fukushima.jp/data/doc/1634185398_doc_49_0.pdf</t>
        </is>
      </c>
      <c r="R8" s="12" t="inlineStr">
        <is>
          <t>交通：R6.3策定、R6〜R10の5年間。環境：第3次2021〜2030年度（第2次はH28策定）。e_urlは検索上位のPDF（計画本体か要確認）。次期計画作業は確認できず。</t>
        </is>
      </c>
      <c r="S8" s="16" t="inlineStr">
        <is>
          <t>調査済</t>
        </is>
      </c>
      <c r="T8" s="12" t="inlineStr">
        <is>
          <t>掲載</t>
        </is>
      </c>
    </row>
    <row r="9">
      <c r="A9" s="12" t="n">
        <v>6</v>
      </c>
      <c r="B9" s="12" t="inlineStr">
        <is>
          <t>須賀川市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須賀川市地域公共交通計画</t>
        </is>
      </c>
      <c r="G9" s="12" t="inlineStr">
        <is>
          <t>不明</t>
        </is>
      </c>
      <c r="H9" s="14" t="n"/>
      <c r="I9" s="14" t="inlineStr">
        <is>
          <t>不明</t>
        </is>
      </c>
      <c r="J9" s="14" t="inlineStr">
        <is>
          <t>未確認</t>
        </is>
      </c>
      <c r="K9" s="15" t="inlineStr">
        <is>
          <t>https://www.city.sukagawa.fukushima.jp/kurashi/koutsu/koutsu_keikaku/1015962.html</t>
        </is>
      </c>
      <c r="L9" s="12" t="inlineStr">
        <is>
          <t>第3次須賀川市環境基本計画（中間改定版）</t>
        </is>
      </c>
      <c r="M9" s="12" t="inlineStr">
        <is>
          <t>H30〜R9</t>
        </is>
      </c>
      <c r="N9" s="17" t="n">
        <v>9</v>
      </c>
      <c r="O9" s="14" t="inlineStr">
        <is>
          <t>推定</t>
        </is>
      </c>
      <c r="P9" s="14" t="inlineStr">
        <is>
          <t>未確認</t>
        </is>
      </c>
      <c r="Q9" s="15" t="inlineStr">
        <is>
          <t>https://www.city.sukagawa.fukushima.jp/kurashi/gomi_recycle/kankyo_hozen/1002334/index.html</t>
        </is>
      </c>
      <c r="R9" s="12"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6" t="inlineStr">
        <is>
          <t>調査済</t>
        </is>
      </c>
      <c r="T9" s="12" t="inlineStr">
        <is>
          <t>掲載</t>
        </is>
      </c>
    </row>
    <row r="10">
      <c r="A10" s="12" t="n">
        <v>7</v>
      </c>
      <c r="B10" s="12" t="inlineStr">
        <is>
          <t>喜多方市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会津圏域地域公共交通計画（会津若松市・喜多方市ほか共同）</t>
        </is>
      </c>
      <c r="G10" s="12" t="inlineStr">
        <is>
          <t>R8〜R13</t>
        </is>
      </c>
      <c r="H10" s="14" t="n">
        <v>13</v>
      </c>
      <c r="I10" s="14" t="inlineStr">
        <is>
          <t>確認済</t>
        </is>
      </c>
      <c r="J10" s="14" t="inlineStr">
        <is>
          <t>策定済</t>
        </is>
      </c>
      <c r="K10" s="15" t="inlineStr">
        <is>
          <t>https://www.pref.fukushima.lg.jp/sec/16005d/aizukenikimoukeikaku.html</t>
        </is>
      </c>
      <c r="L10" s="12" t="inlineStr">
        <is>
          <t>喜多方市環境基本計画（R4.3中間見直し）</t>
        </is>
      </c>
      <c r="M10" s="12" t="inlineStr">
        <is>
          <t>H28〜R8</t>
        </is>
      </c>
      <c r="N10" s="17" t="n">
        <v>8</v>
      </c>
      <c r="O10" s="14" t="inlineStr">
        <is>
          <t>推定</t>
        </is>
      </c>
      <c r="P10" s="14" t="inlineStr">
        <is>
          <t>未確認</t>
        </is>
      </c>
      <c r="Q10" s="15" t="inlineStr">
        <is>
          <t>https://www.city.kitakata.fukushima.jp/life/4/25/125/</t>
        </is>
      </c>
      <c r="R10" s="12"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6" t="inlineStr">
        <is>
          <t>調査済</t>
        </is>
      </c>
      <c r="T10" s="12" t="inlineStr">
        <is>
          <t>掲載（広域：会津圏域）</t>
        </is>
      </c>
    </row>
    <row r="11">
      <c r="A11" s="12" t="n">
        <v>8</v>
      </c>
      <c r="B11" s="12" t="inlineStr">
        <is>
          <t>相馬市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n"/>
      <c r="G11" s="12" t="inlineStr">
        <is>
          <t>不明</t>
        </is>
      </c>
      <c r="H11" s="14" t="n"/>
      <c r="I11" s="14" t="inlineStr">
        <is>
          <t>不明</t>
        </is>
      </c>
      <c r="J11" s="14" t="inlineStr">
        <is>
          <t>未確認</t>
        </is>
      </c>
      <c r="K11" s="12" t="n"/>
      <c r="L11" s="12" t="inlineStr">
        <is>
          <t>第2次相馬市環境基本計画</t>
        </is>
      </c>
      <c r="M11" s="12" t="inlineStr">
        <is>
          <t>H30〜R9</t>
        </is>
      </c>
      <c r="N11" s="17" t="n">
        <v>9</v>
      </c>
      <c r="O11" s="14" t="inlineStr">
        <is>
          <t>推定</t>
        </is>
      </c>
      <c r="P11" s="14" t="inlineStr">
        <is>
          <t>未確認</t>
        </is>
      </c>
      <c r="Q11" s="15" t="inlineStr">
        <is>
          <t>https://www.city.soma.fukushima.jp/shinososhiki/seikatsukankyoka/keikaku_shisaku/1622.html</t>
        </is>
      </c>
      <c r="R11" s="12"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19" t="inlineStr">
        <is>
          <t>環境のみ調査</t>
        </is>
      </c>
      <c r="T11" s="12" t="inlineStr">
        <is>
          <t>未掲載</t>
        </is>
      </c>
    </row>
    <row r="12">
      <c r="A12" s="12" t="n">
        <v>9</v>
      </c>
      <c r="B12" s="12" t="inlineStr">
        <is>
          <t>二本松市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二本松市地域公共交通計画</t>
        </is>
      </c>
      <c r="G12" s="12" t="inlineStr">
        <is>
          <t>R6〜不明</t>
        </is>
      </c>
      <c r="H12" s="14" t="n"/>
      <c r="I12" s="14" t="inlineStr">
        <is>
          <t>不明</t>
        </is>
      </c>
      <c r="J12" s="14" t="inlineStr">
        <is>
          <t>未確認</t>
        </is>
      </c>
      <c r="K12" s="15" t="inlineStr">
        <is>
          <t>https://www.city.nihonmatsu.lg.jp/kurashi_tetsuduki/koutsu/page011927.html</t>
        </is>
      </c>
      <c r="L12" s="12" t="inlineStr">
        <is>
          <t>第2次二本松市環境基本計画（改定版）</t>
        </is>
      </c>
      <c r="M12" s="12" t="inlineStr">
        <is>
          <t>R1〜R10</t>
        </is>
      </c>
      <c r="N12" s="14" t="n">
        <v>10</v>
      </c>
      <c r="O12" s="14" t="inlineStr">
        <is>
          <t>確認済</t>
        </is>
      </c>
      <c r="P12" s="14" t="inlineStr">
        <is>
          <t>未確認</t>
        </is>
      </c>
      <c r="Q12" s="15" t="inlineStr">
        <is>
          <t>https://www.city.nihonmatsu.lg.jp/data/doc/1716164612_doc_33_0.pdf</t>
        </is>
      </c>
      <c r="R12" s="12" t="inlineStr">
        <is>
          <t>交通：R6.3策定（網形成計画R1〜R5の後継）、終期は検索で確認できず（5年ならR10）。環境：第2次2019〜2028年度、R6.5改定（区域施策編を包含）。次期計画作業は確認できず。</t>
        </is>
      </c>
      <c r="S12" s="16" t="inlineStr">
        <is>
          <t>調査済</t>
        </is>
      </c>
      <c r="T12" s="12" t="inlineStr">
        <is>
          <t>掲載</t>
        </is>
      </c>
    </row>
    <row r="13">
      <c r="A13" s="12" t="n">
        <v>10</v>
      </c>
      <c r="B13" s="12" t="inlineStr">
        <is>
          <t>田村市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田村市地域公共交通計画</t>
        </is>
      </c>
      <c r="G13" s="12" t="inlineStr">
        <is>
          <t>R4〜R8</t>
        </is>
      </c>
      <c r="H13" s="14" t="n">
        <v>8</v>
      </c>
      <c r="I13" s="14" t="inlineStr">
        <is>
          <t>確認済</t>
        </is>
      </c>
      <c r="J13" s="14" t="inlineStr">
        <is>
          <t>着手済</t>
        </is>
      </c>
      <c r="K13" s="15" t="inlineStr">
        <is>
          <t>https://www.city.tamura.lg.jp/soshiki/1/assets/【set】田村市地域公共交通計画概要版2406改訂.pdf</t>
        </is>
      </c>
      <c r="L13" s="12" t="n"/>
      <c r="M13" s="12" t="inlineStr">
        <is>
          <t>不明</t>
        </is>
      </c>
      <c r="N13" s="14" t="n"/>
      <c r="O13" s="14" t="inlineStr">
        <is>
          <t>不明</t>
        </is>
      </c>
      <c r="P13" s="14" t="inlineStr">
        <is>
          <t>計画なし</t>
        </is>
      </c>
      <c r="Q13" s="12" t="n"/>
      <c r="R13" s="12"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6" t="inlineStr">
        <is>
          <t>調査済</t>
        </is>
      </c>
      <c r="T13" s="12" t="inlineStr">
        <is>
          <t>掲載（広域：福島県避難地域）</t>
        </is>
      </c>
    </row>
    <row r="14">
      <c r="A14" s="12" t="n">
        <v>11</v>
      </c>
      <c r="B14" s="12" t="inlineStr">
        <is>
          <t>南相馬市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南相馬市地域公共交通計画</t>
        </is>
      </c>
      <c r="G14" s="12" t="inlineStr">
        <is>
          <t>R8〜R12</t>
        </is>
      </c>
      <c r="H14" s="14" t="n">
        <v>12</v>
      </c>
      <c r="I14" s="14" t="inlineStr">
        <is>
          <t>確認済</t>
        </is>
      </c>
      <c r="J14" s="14" t="inlineStr">
        <is>
          <t>策定済</t>
        </is>
      </c>
      <c r="K14" s="15" t="inlineStr">
        <is>
          <t>https://www.city.minamisoma.lg.jp/material/files/group/3/202601281245.pdf</t>
        </is>
      </c>
      <c r="L14" s="12" t="inlineStr">
        <is>
          <t>第三次南相馬市環境基本計画</t>
        </is>
      </c>
      <c r="M14" s="12" t="inlineStr">
        <is>
          <t>R5〜R12（推定）</t>
        </is>
      </c>
      <c r="N14" s="17" t="n">
        <v>12</v>
      </c>
      <c r="O14" s="14" t="inlineStr">
        <is>
          <t>推定</t>
        </is>
      </c>
      <c r="P14" s="14" t="inlineStr">
        <is>
          <t>未確認</t>
        </is>
      </c>
      <c r="Q14" s="15" t="inlineStr">
        <is>
          <t>https://www.city.minamisoma.lg.jp/material/files/group/3/20231024_co148.pdf</t>
        </is>
      </c>
      <c r="R14" s="12"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6" t="inlineStr">
        <is>
          <t>調査済</t>
        </is>
      </c>
      <c r="T14" s="18" t="inlineStr">
        <is>
          <t>掲載（広域：福島県避難地域）／期間満了</t>
        </is>
      </c>
    </row>
    <row r="15">
      <c r="A15" s="12" t="n">
        <v>12</v>
      </c>
      <c r="B15" s="12" t="inlineStr">
        <is>
          <t>伊達市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伊達市地域公共交通計画</t>
        </is>
      </c>
      <c r="G15" s="12" t="inlineStr">
        <is>
          <t>不明</t>
        </is>
      </c>
      <c r="H15" s="14" t="n"/>
      <c r="I15" s="14" t="inlineStr">
        <is>
          <t>不明</t>
        </is>
      </c>
      <c r="J15" s="14" t="inlineStr">
        <is>
          <t>未確認</t>
        </is>
      </c>
      <c r="K15" s="15" t="inlineStr">
        <is>
          <t>https://www.city.fukushima-date.lg.jp/soshiki/86/47231.html</t>
        </is>
      </c>
      <c r="L15" s="12" t="inlineStr">
        <is>
          <t>第2次伊達市環境基本計画</t>
        </is>
      </c>
      <c r="M15" s="12" t="inlineStr">
        <is>
          <t>R3〜R12</t>
        </is>
      </c>
      <c r="N15" s="14" t="n">
        <v>12</v>
      </c>
      <c r="O15" s="14" t="inlineStr">
        <is>
          <t>確認済</t>
        </is>
      </c>
      <c r="P15" s="14" t="inlineStr">
        <is>
          <t>策定済</t>
        </is>
      </c>
      <c r="Q15" s="15" t="inlineStr">
        <is>
          <t>https://www.city.fukushima-date.lg.jp/soshiki/86/47604.html</t>
        </is>
      </c>
      <c r="R15" s="12"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6" t="inlineStr">
        <is>
          <t>調査済</t>
        </is>
      </c>
      <c r="T15" s="12" t="inlineStr">
        <is>
          <t>掲載（広域：阿武隈急行線地域）</t>
        </is>
      </c>
    </row>
    <row r="16">
      <c r="A16" s="12" t="n">
        <v>13</v>
      </c>
      <c r="B16" s="12" t="inlineStr">
        <is>
          <t>本宮市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本宮市地域公共交通計画</t>
        </is>
      </c>
      <c r="G16" s="12" t="inlineStr">
        <is>
          <t>不明（R8度末終了と推定）</t>
        </is>
      </c>
      <c r="H16" s="17" t="n">
        <v>8</v>
      </c>
      <c r="I16" s="14" t="inlineStr">
        <is>
          <t>推定</t>
        </is>
      </c>
      <c r="J16" s="14" t="inlineStr">
        <is>
          <t>着手済</t>
        </is>
      </c>
      <c r="K16" s="15" t="inlineStr">
        <is>
          <t>https://www.city.motomiya.lg.jp/soshiki/10/tiikikoukyoukoutsuukeikaku.html</t>
        </is>
      </c>
      <c r="L16" s="12" t="inlineStr">
        <is>
          <t>本宮市第2次環境基本計画</t>
        </is>
      </c>
      <c r="M16" s="12" t="inlineStr">
        <is>
          <t>不明（R1〜R10と推定）</t>
        </is>
      </c>
      <c r="N16" s="14" t="n"/>
      <c r="O16" s="14" t="inlineStr">
        <is>
          <t>不明</t>
        </is>
      </c>
      <c r="P16" s="14" t="inlineStr">
        <is>
          <t>未確認</t>
        </is>
      </c>
      <c r="Q16" s="12" t="n"/>
      <c r="R16" s="12"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6" t="inlineStr">
        <is>
          <t>調査済</t>
        </is>
      </c>
      <c r="T16" s="12" t="inlineStr">
        <is>
          <t>掲載</t>
        </is>
      </c>
    </row>
    <row r="17">
      <c r="A17" s="12" t="n">
        <v>14</v>
      </c>
      <c r="B17" s="12" t="inlineStr">
        <is>
          <t>桑折町</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n"/>
      <c r="G17" s="12" t="inlineStr">
        <is>
          <t>不明</t>
        </is>
      </c>
      <c r="H17" s="14" t="n"/>
      <c r="I17" s="14" t="inlineStr">
        <is>
          <t>不明</t>
        </is>
      </c>
      <c r="J17" s="14" t="inlineStr">
        <is>
          <t>未確認</t>
        </is>
      </c>
      <c r="K17" s="12" t="n"/>
      <c r="L17" s="12" t="n"/>
      <c r="M17" s="12" t="inlineStr">
        <is>
          <t>不明</t>
        </is>
      </c>
      <c r="N17" s="14" t="n"/>
      <c r="O17" s="14" t="inlineStr">
        <is>
          <t>不明</t>
        </is>
      </c>
      <c r="P17" s="14" t="inlineStr">
        <is>
          <t>計画なし</t>
        </is>
      </c>
      <c r="Q17" s="12" t="n"/>
      <c r="R17" s="12"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9" t="inlineStr">
        <is>
          <t>環境のみ調査</t>
        </is>
      </c>
      <c r="T17" s="12" t="inlineStr">
        <is>
          <t>未掲載</t>
        </is>
      </c>
    </row>
    <row r="18">
      <c r="A18" s="12" t="n">
        <v>15</v>
      </c>
      <c r="B18" s="12" t="inlineStr">
        <is>
          <t>国見町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n"/>
      <c r="G18" s="12" t="inlineStr">
        <is>
          <t>不明</t>
        </is>
      </c>
      <c r="H18" s="14" t="n"/>
      <c r="I18" s="14" t="inlineStr">
        <is>
          <t>不明</t>
        </is>
      </c>
      <c r="J18" s="14" t="inlineStr">
        <is>
          <t>未確認</t>
        </is>
      </c>
      <c r="K18" s="12" t="n"/>
      <c r="L18" s="12" t="n"/>
      <c r="M18" s="12" t="inlineStr">
        <is>
          <t>不明</t>
        </is>
      </c>
      <c r="N18" s="14" t="n"/>
      <c r="O18" s="14" t="inlineStr">
        <is>
          <t>不明</t>
        </is>
      </c>
      <c r="P18" s="14" t="inlineStr">
        <is>
          <t>計画なし</t>
        </is>
      </c>
      <c r="Q18" s="12" t="n"/>
      <c r="R18" s="12"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19" t="inlineStr">
        <is>
          <t>環境のみ調査</t>
        </is>
      </c>
      <c r="T18" s="12" t="inlineStr">
        <is>
          <t>未掲載</t>
        </is>
      </c>
    </row>
    <row r="19">
      <c r="A19" s="12" t="n">
        <v>16</v>
      </c>
      <c r="B19" s="12" t="inlineStr">
        <is>
          <t>川俣町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福島県避難地域広域公共交通計画（県・避難12市町村の広域計画）</t>
        </is>
      </c>
      <c r="G19" s="12" t="inlineStr">
        <is>
          <t>R5〜R9</t>
        </is>
      </c>
      <c r="H19" s="14" t="n">
        <v>9</v>
      </c>
      <c r="I19" s="14" t="inlineStr">
        <is>
          <t>確認済</t>
        </is>
      </c>
      <c r="J19" s="14" t="inlineStr">
        <is>
          <t>未確認</t>
        </is>
      </c>
      <c r="K19" s="15" t="inlineStr">
        <is>
          <t>https://www.pref.fukushima.lg.jp/sec/16005d/hinankeikaku.html</t>
        </is>
      </c>
      <c r="L19" s="12" t="n"/>
      <c r="M19" s="12" t="inlineStr">
        <is>
          <t>不明</t>
        </is>
      </c>
      <c r="N19" s="14" t="n"/>
      <c r="O19" s="14" t="inlineStr">
        <is>
          <t>不明</t>
        </is>
      </c>
      <c r="P19" s="14" t="inlineStr">
        <is>
          <t>計画なし</t>
        </is>
      </c>
      <c r="Q19" s="12" t="n"/>
      <c r="R19" s="12"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6" t="inlineStr">
        <is>
          <t>調査済</t>
        </is>
      </c>
      <c r="T19" s="12" t="inlineStr">
        <is>
          <t>掲載（広域：福島県避難地域）</t>
        </is>
      </c>
      <c r="U19" s="20" t="inlineStr">
        <is>
          <t>→メモ</t>
        </is>
      </c>
    </row>
    <row r="20">
      <c r="A20" s="12" t="n">
        <v>17</v>
      </c>
      <c r="B20" s="12" t="inlineStr">
        <is>
          <t>大玉村</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大玉村地域公共交通計画</t>
        </is>
      </c>
      <c r="G20" s="12" t="inlineStr">
        <is>
          <t>R4〜R8（推定）</t>
        </is>
      </c>
      <c r="H20" s="17" t="n">
        <v>8</v>
      </c>
      <c r="I20" s="14" t="inlineStr">
        <is>
          <t>推定</t>
        </is>
      </c>
      <c r="J20" s="14" t="inlineStr">
        <is>
          <t>未確認</t>
        </is>
      </c>
      <c r="K20" s="15" t="inlineStr">
        <is>
          <t>https://www.vill.otama.fukushima.jp/gyousei_jouhou/keikaku/</t>
        </is>
      </c>
      <c r="L20" s="12" t="n"/>
      <c r="M20" s="12" t="inlineStr">
        <is>
          <t>不明</t>
        </is>
      </c>
      <c r="N20" s="14" t="n"/>
      <c r="O20" s="14" t="inlineStr">
        <is>
          <t>不明</t>
        </is>
      </c>
      <c r="P20" s="14" t="inlineStr">
        <is>
          <t>未確認</t>
        </is>
      </c>
      <c r="Q20" s="12" t="n"/>
      <c r="R20" s="12"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19" t="inlineStr">
        <is>
          <t>交通のみ調査</t>
        </is>
      </c>
      <c r="T20" s="12" t="inlineStr">
        <is>
          <t>掲載</t>
        </is>
      </c>
    </row>
    <row r="21">
      <c r="A21" s="12" t="n">
        <v>18</v>
      </c>
      <c r="B21" s="12" t="inlineStr">
        <is>
          <t>鏡石町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n"/>
      <c r="G21" s="12" t="inlineStr">
        <is>
          <t>不明</t>
        </is>
      </c>
      <c r="H21" s="14" t="n"/>
      <c r="I21" s="14" t="inlineStr">
        <is>
          <t>不明</t>
        </is>
      </c>
      <c r="J21" s="14" t="inlineStr">
        <is>
          <t>未確認</t>
        </is>
      </c>
      <c r="K21" s="12" t="n"/>
      <c r="L21" s="12" t="n"/>
      <c r="M21" s="12" t="inlineStr">
        <is>
          <t>不明</t>
        </is>
      </c>
      <c r="N21" s="14" t="n"/>
      <c r="O21" s="14" t="inlineStr">
        <is>
          <t>不明</t>
        </is>
      </c>
      <c r="P21" s="14" t="inlineStr">
        <is>
          <t>計画なし</t>
        </is>
      </c>
      <c r="Q21" s="12" t="n"/>
      <c r="R21" s="12"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19" t="inlineStr">
        <is>
          <t>環境のみ調査</t>
        </is>
      </c>
      <c r="T21" s="12" t="inlineStr">
        <is>
          <t>未掲載</t>
        </is>
      </c>
    </row>
    <row r="22">
      <c r="A22" s="12" t="n">
        <v>19</v>
      </c>
      <c r="B22" s="12" t="inlineStr">
        <is>
          <t>天栄村</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n"/>
      <c r="G22" s="12" t="inlineStr">
        <is>
          <t>不明</t>
        </is>
      </c>
      <c r="H22" s="14" t="n"/>
      <c r="I22" s="14" t="inlineStr">
        <is>
          <t>不明</t>
        </is>
      </c>
      <c r="J22" s="14" t="inlineStr">
        <is>
          <t>未確認</t>
        </is>
      </c>
      <c r="K22" s="12" t="n"/>
      <c r="L22" s="12" t="n"/>
      <c r="M22" s="12" t="inlineStr">
        <is>
          <t>不明</t>
        </is>
      </c>
      <c r="N22" s="14" t="n"/>
      <c r="O22" s="14" t="inlineStr">
        <is>
          <t>不明</t>
        </is>
      </c>
      <c r="P22" s="14" t="inlineStr">
        <is>
          <t>計画なし</t>
        </is>
      </c>
      <c r="Q22" s="12" t="n"/>
      <c r="R22" s="12"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19" t="inlineStr">
        <is>
          <t>環境のみ調査</t>
        </is>
      </c>
      <c r="T22" s="12" t="inlineStr">
        <is>
          <t>未掲載</t>
        </is>
      </c>
    </row>
    <row r="23">
      <c r="A23" s="12" t="n">
        <v>20</v>
      </c>
      <c r="B23" s="12" t="inlineStr">
        <is>
          <t>下郷町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n"/>
      <c r="G23" s="12" t="inlineStr">
        <is>
          <t>不明</t>
        </is>
      </c>
      <c r="H23" s="14" t="n"/>
      <c r="I23" s="14" t="inlineStr">
        <is>
          <t>不明</t>
        </is>
      </c>
      <c r="J23" s="14" t="inlineStr">
        <is>
          <t>未確認</t>
        </is>
      </c>
      <c r="K23" s="12" t="n"/>
      <c r="L23" s="12" t="n"/>
      <c r="M23" s="12" t="inlineStr">
        <is>
          <t>不明</t>
        </is>
      </c>
      <c r="N23" s="14" t="n"/>
      <c r="O23" s="14" t="inlineStr">
        <is>
          <t>不明</t>
        </is>
      </c>
      <c r="P23" s="14" t="inlineStr">
        <is>
          <t>計画なし</t>
        </is>
      </c>
      <c r="Q23" s="12" t="n"/>
      <c r="R23" s="12"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19" t="inlineStr">
        <is>
          <t>環境のみ調査</t>
        </is>
      </c>
      <c r="T23" s="12" t="inlineStr">
        <is>
          <t>未掲載</t>
        </is>
      </c>
    </row>
    <row r="24">
      <c r="A24" s="12" t="n">
        <v>21</v>
      </c>
      <c r="B24" s="12" t="inlineStr">
        <is>
          <t>檜枝岐村</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n"/>
      <c r="G24" s="12" t="inlineStr">
        <is>
          <t>不明</t>
        </is>
      </c>
      <c r="H24" s="14" t="n"/>
      <c r="I24" s="14" t="inlineStr">
        <is>
          <t>不明</t>
        </is>
      </c>
      <c r="J24" s="14" t="inlineStr">
        <is>
          <t>未確認</t>
        </is>
      </c>
      <c r="K24" s="12" t="n"/>
      <c r="L24" s="12" t="n"/>
      <c r="M24" s="12" t="inlineStr">
        <is>
          <t>不明</t>
        </is>
      </c>
      <c r="N24" s="14" t="n"/>
      <c r="O24" s="14" t="inlineStr">
        <is>
          <t>不明</t>
        </is>
      </c>
      <c r="P24" s="14" t="inlineStr">
        <is>
          <t>未確認</t>
        </is>
      </c>
      <c r="Q24" s="12" t="n"/>
      <c r="R24" s="12"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19" t="inlineStr">
        <is>
          <t>未調査</t>
        </is>
      </c>
      <c r="T24" s="12" t="inlineStr">
        <is>
          <t>未掲載</t>
        </is>
      </c>
    </row>
    <row r="25">
      <c r="A25" s="12" t="n">
        <v>22</v>
      </c>
      <c r="B25" s="12" t="inlineStr">
        <is>
          <t>只見町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n"/>
      <c r="G25" s="12" t="inlineStr">
        <is>
          <t>不明</t>
        </is>
      </c>
      <c r="H25" s="14" t="n"/>
      <c r="I25" s="14" t="inlineStr">
        <is>
          <t>不明</t>
        </is>
      </c>
      <c r="J25" s="14" t="inlineStr">
        <is>
          <t>未確認</t>
        </is>
      </c>
      <c r="K25" s="12" t="n"/>
      <c r="L25" s="12" t="n"/>
      <c r="M25" s="12" t="inlineStr">
        <is>
          <t>不明</t>
        </is>
      </c>
      <c r="N25" s="14" t="n"/>
      <c r="O25" s="14" t="inlineStr">
        <is>
          <t>不明</t>
        </is>
      </c>
      <c r="P25" s="14" t="inlineStr">
        <is>
          <t>計画なし</t>
        </is>
      </c>
      <c r="Q25" s="12" t="n"/>
      <c r="R25" s="12"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19" t="inlineStr">
        <is>
          <t>環境のみ調査</t>
        </is>
      </c>
      <c r="T25" s="12" t="inlineStr">
        <is>
          <t>未掲載</t>
        </is>
      </c>
    </row>
    <row r="26">
      <c r="A26" s="12" t="n">
        <v>23</v>
      </c>
      <c r="B26" s="12" t="inlineStr">
        <is>
          <t>南会津町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南会津町地域公共交通計画</t>
        </is>
      </c>
      <c r="G26" s="12" t="inlineStr">
        <is>
          <t>R6〜R10</t>
        </is>
      </c>
      <c r="H26" s="14" t="n">
        <v>10</v>
      </c>
      <c r="I26" s="14" t="inlineStr">
        <is>
          <t>確認済</t>
        </is>
      </c>
      <c r="J26" s="14" t="inlineStr">
        <is>
          <t>未確認</t>
        </is>
      </c>
      <c r="K26" s="15" t="inlineStr">
        <is>
          <t>https://www.town.minamiaizu.lg.jp/official/soshikikarasagasu/sogoseisakuka/kakushukeikaku/1/3114.html</t>
        </is>
      </c>
      <c r="L26" s="12" t="inlineStr">
        <is>
          <t>第2次南会津町環境基本計画</t>
        </is>
      </c>
      <c r="M26" s="12" t="inlineStr">
        <is>
          <t>不明</t>
        </is>
      </c>
      <c r="N26" s="14" t="n"/>
      <c r="O26" s="14" t="inlineStr">
        <is>
          <t>不明</t>
        </is>
      </c>
      <c r="P26" s="14" t="inlineStr">
        <is>
          <t>未確認</t>
        </is>
      </c>
      <c r="Q26" s="15" t="inlineStr">
        <is>
          <t>https://www.town.minamiaizu.lg.jp/official/soshikikarasagasu/kankyosuidoka/kakushukeikaku/1/450.html</t>
        </is>
      </c>
      <c r="R26" s="12"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6" t="inlineStr">
        <is>
          <t>調査済</t>
        </is>
      </c>
      <c r="T26" s="12" t="inlineStr">
        <is>
          <t>掲載</t>
        </is>
      </c>
    </row>
    <row r="27">
      <c r="A27" s="12" t="n">
        <v>24</v>
      </c>
      <c r="B27" s="12" t="inlineStr">
        <is>
          <t>北塩原村</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北塩原村地域公共交通計画</t>
        </is>
      </c>
      <c r="G27" s="12" t="inlineStr">
        <is>
          <t>R7〜R11</t>
        </is>
      </c>
      <c r="H27" s="14" t="n">
        <v>11</v>
      </c>
      <c r="I27" s="14" t="inlineStr">
        <is>
          <t>確認済</t>
        </is>
      </c>
      <c r="J27" s="14" t="inlineStr">
        <is>
          <t>策定済</t>
        </is>
      </c>
      <c r="K27" s="15" t="inlineStr">
        <is>
          <t>https://www.vill.kitashiobara.fukushima.jp/soshiki/somukikaku/6805.html</t>
        </is>
      </c>
      <c r="L27" s="12" t="n"/>
      <c r="M27" s="12" t="inlineStr">
        <is>
          <t>不明</t>
        </is>
      </c>
      <c r="N27" s="14" t="n"/>
      <c r="O27" s="14" t="inlineStr">
        <is>
          <t>不明</t>
        </is>
      </c>
      <c r="P27" s="14" t="inlineStr">
        <is>
          <t>計画なし</t>
        </is>
      </c>
      <c r="Q27" s="12" t="n"/>
      <c r="R27" s="12"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6" t="inlineStr">
        <is>
          <t>調査済</t>
        </is>
      </c>
      <c r="T27" s="12" t="inlineStr">
        <is>
          <t>掲載</t>
        </is>
      </c>
    </row>
    <row r="28">
      <c r="A28" s="12" t="n">
        <v>25</v>
      </c>
      <c r="B28" s="12" t="inlineStr">
        <is>
          <t>西会津町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n"/>
      <c r="G28" s="12" t="inlineStr">
        <is>
          <t>不明</t>
        </is>
      </c>
      <c r="H28" s="14" t="n"/>
      <c r="I28" s="14" t="inlineStr">
        <is>
          <t>不明</t>
        </is>
      </c>
      <c r="J28" s="14" t="inlineStr">
        <is>
          <t>未確認</t>
        </is>
      </c>
      <c r="K28" s="12" t="n"/>
      <c r="L28" s="12" t="n"/>
      <c r="M28" s="12" t="inlineStr">
        <is>
          <t>不明</t>
        </is>
      </c>
      <c r="N28" s="14" t="n"/>
      <c r="O28" s="14" t="inlineStr">
        <is>
          <t>不明</t>
        </is>
      </c>
      <c r="P28" s="14" t="inlineStr">
        <is>
          <t>計画なし</t>
        </is>
      </c>
      <c r="Q28" s="12" t="n"/>
      <c r="R28" s="12"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9" t="inlineStr">
        <is>
          <t>環境のみ調査</t>
        </is>
      </c>
      <c r="T28" s="12" t="inlineStr">
        <is>
          <t>未掲載</t>
        </is>
      </c>
    </row>
    <row r="29">
      <c r="A29" s="12" t="n">
        <v>26</v>
      </c>
      <c r="B29" s="12" t="inlineStr">
        <is>
          <t>磐梯町</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n"/>
      <c r="G29" s="12" t="inlineStr">
        <is>
          <t>不明</t>
        </is>
      </c>
      <c r="H29" s="14" t="n"/>
      <c r="I29" s="14" t="inlineStr">
        <is>
          <t>不明</t>
        </is>
      </c>
      <c r="J29" s="14" t="inlineStr">
        <is>
          <t>未確認</t>
        </is>
      </c>
      <c r="K29" s="12" t="n"/>
      <c r="L29" s="12" t="n"/>
      <c r="M29" s="12" t="inlineStr">
        <is>
          <t>不明</t>
        </is>
      </c>
      <c r="N29" s="14" t="n"/>
      <c r="O29" s="14" t="inlineStr">
        <is>
          <t>不明</t>
        </is>
      </c>
      <c r="P29" s="14" t="inlineStr">
        <is>
          <t>計画なし</t>
        </is>
      </c>
      <c r="Q29" s="12" t="n"/>
      <c r="R29" s="12"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9" t="inlineStr">
        <is>
          <t>環境のみ調査</t>
        </is>
      </c>
      <c r="T29" s="12" t="inlineStr">
        <is>
          <t>未掲載</t>
        </is>
      </c>
    </row>
    <row r="30">
      <c r="A30" s="12" t="n">
        <v>27</v>
      </c>
      <c r="B30" s="12" t="inlineStr">
        <is>
          <t>猪苗代町</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n"/>
      <c r="G30" s="12" t="inlineStr">
        <is>
          <t>不明</t>
        </is>
      </c>
      <c r="H30" s="14" t="n"/>
      <c r="I30" s="14" t="inlineStr">
        <is>
          <t>不明</t>
        </is>
      </c>
      <c r="J30" s="14" t="inlineStr">
        <is>
          <t>未確認</t>
        </is>
      </c>
      <c r="K30" s="12" t="n"/>
      <c r="L30" s="12" t="n"/>
      <c r="M30" s="12" t="inlineStr">
        <is>
          <t>不明</t>
        </is>
      </c>
      <c r="N30" s="14" t="n"/>
      <c r="O30" s="14" t="inlineStr">
        <is>
          <t>不明</t>
        </is>
      </c>
      <c r="P30" s="14" t="inlineStr">
        <is>
          <t>計画なし</t>
        </is>
      </c>
      <c r="Q30" s="12" t="n"/>
      <c r="R30" s="12"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9" t="inlineStr">
        <is>
          <t>環境のみ調査</t>
        </is>
      </c>
      <c r="T30" s="12" t="inlineStr">
        <is>
          <t>未掲載</t>
        </is>
      </c>
    </row>
    <row r="31">
      <c r="A31" s="12" t="n">
        <v>28</v>
      </c>
      <c r="B31" s="12" t="inlineStr">
        <is>
          <t>会津坂下町</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会津圏域地域公共交通計画（福島県・会津圏域6市町村共同）</t>
        </is>
      </c>
      <c r="G31" s="12" t="inlineStr">
        <is>
          <t>R8〜R13</t>
        </is>
      </c>
      <c r="H31" s="14" t="n">
        <v>13</v>
      </c>
      <c r="I31" s="14" t="inlineStr">
        <is>
          <t>確認済</t>
        </is>
      </c>
      <c r="J31" s="14" t="inlineStr">
        <is>
          <t>策定済</t>
        </is>
      </c>
      <c r="K31" s="15" t="inlineStr">
        <is>
          <t>https://www.pref.fukushima.lg.jp/sec/16005d/aizukeniki-keikaku-ribenkeikaku.html</t>
        </is>
      </c>
      <c r="L31" s="12" t="n"/>
      <c r="M31" s="12" t="inlineStr">
        <is>
          <t>不明</t>
        </is>
      </c>
      <c r="N31" s="14" t="n"/>
      <c r="O31" s="14" t="inlineStr">
        <is>
          <t>不明</t>
        </is>
      </c>
      <c r="P31" s="14" t="inlineStr">
        <is>
          <t>計画なし</t>
        </is>
      </c>
      <c r="Q31" s="12" t="n"/>
      <c r="R31"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6" t="inlineStr">
        <is>
          <t>調査済</t>
        </is>
      </c>
      <c r="T31" s="12" t="inlineStr">
        <is>
          <t>掲載（広域：会津圏域）</t>
        </is>
      </c>
    </row>
    <row r="32">
      <c r="A32" s="12" t="n">
        <v>29</v>
      </c>
      <c r="B32" s="12" t="inlineStr">
        <is>
          <t>湯川村</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会津圏域地域公共交通計画（福島県・会津圏域6市町村共同）</t>
        </is>
      </c>
      <c r="G32" s="12" t="inlineStr">
        <is>
          <t>R8〜R13</t>
        </is>
      </c>
      <c r="H32" s="14" t="n">
        <v>13</v>
      </c>
      <c r="I32" s="14" t="inlineStr">
        <is>
          <t>確認済</t>
        </is>
      </c>
      <c r="J32" s="14" t="inlineStr">
        <is>
          <t>策定済</t>
        </is>
      </c>
      <c r="K32" s="15" t="inlineStr">
        <is>
          <t>https://www.pref.fukushima.lg.jp/sec/16005d/aizukeniki-keikaku-ribenkeikaku.html</t>
        </is>
      </c>
      <c r="L32" s="12" t="n"/>
      <c r="M32" s="12" t="inlineStr">
        <is>
          <t>不明</t>
        </is>
      </c>
      <c r="N32" s="14" t="n"/>
      <c r="O32" s="14" t="inlineStr">
        <is>
          <t>不明</t>
        </is>
      </c>
      <c r="P32" s="14" t="inlineStr">
        <is>
          <t>未確認</t>
        </is>
      </c>
      <c r="Q32" s="12" t="n"/>
      <c r="R32"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19" t="inlineStr">
        <is>
          <t>交通のみ調査</t>
        </is>
      </c>
      <c r="T32" s="12" t="inlineStr">
        <is>
          <t>掲載（広域：会津圏域）</t>
        </is>
      </c>
    </row>
    <row r="33">
      <c r="A33" s="12" t="n">
        <v>30</v>
      </c>
      <c r="B33" s="12" t="inlineStr">
        <is>
          <t>柳津町</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会津圏域地域公共交通計画（福島県・会津圏域6市町村共同）</t>
        </is>
      </c>
      <c r="G33" s="12" t="inlineStr">
        <is>
          <t>R8〜R13</t>
        </is>
      </c>
      <c r="H33" s="14" t="n">
        <v>13</v>
      </c>
      <c r="I33" s="14" t="inlineStr">
        <is>
          <t>確認済</t>
        </is>
      </c>
      <c r="J33" s="14" t="inlineStr">
        <is>
          <t>策定済</t>
        </is>
      </c>
      <c r="K33" s="15" t="inlineStr">
        <is>
          <t>https://www.pref.fukushima.lg.jp/sec/16005d/aizukeniki-keikaku-ribenkeikaku.html</t>
        </is>
      </c>
      <c r="L33" s="12" t="n"/>
      <c r="M33" s="12" t="inlineStr">
        <is>
          <t>不明</t>
        </is>
      </c>
      <c r="N33" s="14" t="n"/>
      <c r="O33" s="14" t="inlineStr">
        <is>
          <t>不明</t>
        </is>
      </c>
      <c r="P33" s="14" t="inlineStr">
        <is>
          <t>計画なし</t>
        </is>
      </c>
      <c r="Q33" s="12" t="n"/>
      <c r="R33"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6" t="inlineStr">
        <is>
          <t>調査済</t>
        </is>
      </c>
      <c r="T33" s="12" t="inlineStr">
        <is>
          <t>掲載（広域：会津圏域）</t>
        </is>
      </c>
    </row>
    <row r="34">
      <c r="A34" s="12" t="n">
        <v>31</v>
      </c>
      <c r="B34" s="12" t="inlineStr">
        <is>
          <t>三島町</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n"/>
      <c r="G34" s="12" t="inlineStr">
        <is>
          <t>不明</t>
        </is>
      </c>
      <c r="H34" s="14" t="n"/>
      <c r="I34" s="14" t="inlineStr">
        <is>
          <t>不明</t>
        </is>
      </c>
      <c r="J34" s="14" t="inlineStr">
        <is>
          <t>未確認</t>
        </is>
      </c>
      <c r="K34" s="12" t="n"/>
      <c r="L34" s="12" t="n"/>
      <c r="M34" s="12" t="inlineStr">
        <is>
          <t>不明</t>
        </is>
      </c>
      <c r="N34" s="14" t="n"/>
      <c r="O34" s="14" t="inlineStr">
        <is>
          <t>不明</t>
        </is>
      </c>
      <c r="P34" s="14" t="inlineStr">
        <is>
          <t>計画なし</t>
        </is>
      </c>
      <c r="Q34" s="12" t="n"/>
      <c r="R34" s="12"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19" t="inlineStr">
        <is>
          <t>環境のみ調査</t>
        </is>
      </c>
      <c r="T34" s="12" t="inlineStr">
        <is>
          <t>未掲載</t>
        </is>
      </c>
    </row>
    <row r="35">
      <c r="A35" s="12" t="n">
        <v>32</v>
      </c>
      <c r="B35" s="12" t="inlineStr">
        <is>
          <t>金山町</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n"/>
      <c r="G35" s="12" t="inlineStr">
        <is>
          <t>不明</t>
        </is>
      </c>
      <c r="H35" s="14" t="n"/>
      <c r="I35" s="14" t="inlineStr">
        <is>
          <t>不明</t>
        </is>
      </c>
      <c r="J35" s="14" t="inlineStr">
        <is>
          <t>未確認</t>
        </is>
      </c>
      <c r="K35" s="12" t="n"/>
      <c r="L35" s="12" t="n"/>
      <c r="M35" s="12" t="inlineStr">
        <is>
          <t>不明</t>
        </is>
      </c>
      <c r="N35" s="14" t="n"/>
      <c r="O35" s="14" t="inlineStr">
        <is>
          <t>不明</t>
        </is>
      </c>
      <c r="P35" s="14" t="inlineStr">
        <is>
          <t>計画なし</t>
        </is>
      </c>
      <c r="Q35" s="12" t="n"/>
      <c r="R35" s="12"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19" t="inlineStr">
        <is>
          <t>環境のみ調査</t>
        </is>
      </c>
      <c r="T35" s="12" t="inlineStr">
        <is>
          <t>未掲載</t>
        </is>
      </c>
    </row>
    <row r="36">
      <c r="A36" s="12" t="n">
        <v>33</v>
      </c>
      <c r="B36" s="12" t="inlineStr">
        <is>
          <t>昭和村</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n"/>
      <c r="M36" s="12" t="inlineStr">
        <is>
          <t>不明</t>
        </is>
      </c>
      <c r="N36" s="14" t="n"/>
      <c r="O36" s="14" t="inlineStr">
        <is>
          <t>不明</t>
        </is>
      </c>
      <c r="P36" s="14" t="inlineStr">
        <is>
          <t>未確認</t>
        </is>
      </c>
      <c r="Q36" s="12" t="n"/>
      <c r="R36" s="12"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19" t="inlineStr">
        <is>
          <t>未調査</t>
        </is>
      </c>
      <c r="T36" s="12" t="inlineStr">
        <is>
          <t>未掲載</t>
        </is>
      </c>
    </row>
    <row r="37">
      <c r="A37" s="12" t="n">
        <v>34</v>
      </c>
      <c r="B37" s="12" t="inlineStr">
        <is>
          <t>会津美里町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会津圏域地域公共交通計画（福島県・会津圏域6市町村共同）</t>
        </is>
      </c>
      <c r="G37" s="12" t="inlineStr">
        <is>
          <t>R8〜R13</t>
        </is>
      </c>
      <c r="H37" s="14" t="n">
        <v>13</v>
      </c>
      <c r="I37" s="14" t="inlineStr">
        <is>
          <t>確認済</t>
        </is>
      </c>
      <c r="J37" s="14" t="inlineStr">
        <is>
          <t>策定済</t>
        </is>
      </c>
      <c r="K37" s="15" t="inlineStr">
        <is>
          <t>https://www.pref.fukushima.lg.jp/sec/16005d/aizukeniki-keikaku-ribenkeikaku.html</t>
        </is>
      </c>
      <c r="L37" s="12" t="n"/>
      <c r="M37" s="12" t="inlineStr">
        <is>
          <t>不明</t>
        </is>
      </c>
      <c r="N37" s="14" t="n"/>
      <c r="O37" s="14" t="inlineStr">
        <is>
          <t>不明</t>
        </is>
      </c>
      <c r="P37" s="14" t="inlineStr">
        <is>
          <t>計画なし</t>
        </is>
      </c>
      <c r="Q37" s="12" t="n"/>
      <c r="R37" s="12"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6" t="inlineStr">
        <is>
          <t>調査済</t>
        </is>
      </c>
      <c r="T37" s="12" t="inlineStr">
        <is>
          <t>掲載（広域：会津圏域）</t>
        </is>
      </c>
    </row>
    <row r="38">
      <c r="A38" s="12" t="n">
        <v>35</v>
      </c>
      <c r="B38" s="12" t="inlineStr">
        <is>
          <t>西郷村</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西郷村地域公共交通計画</t>
        </is>
      </c>
      <c r="G38" s="12" t="inlineStr">
        <is>
          <t>R8〜R13</t>
        </is>
      </c>
      <c r="H38" s="14" t="n">
        <v>13</v>
      </c>
      <c r="I38" s="14" t="inlineStr">
        <is>
          <t>確認済</t>
        </is>
      </c>
      <c r="J38" s="14" t="inlineStr">
        <is>
          <t>策定済</t>
        </is>
      </c>
      <c r="K38" s="15" t="inlineStr">
        <is>
          <t>https://www.vill.nishigo.fukushima.jp/material/files/group/3/koutsuukeikaku_soan_2026.pdf</t>
        </is>
      </c>
      <c r="L38" s="12" t="inlineStr">
        <is>
          <t>西郷村環境基本計画（改定）</t>
        </is>
      </c>
      <c r="M38" s="12" t="inlineStr">
        <is>
          <t>不明</t>
        </is>
      </c>
      <c r="N38" s="14" t="n"/>
      <c r="O38" s="14" t="inlineStr">
        <is>
          <t>不明</t>
        </is>
      </c>
      <c r="P38" s="14" t="inlineStr">
        <is>
          <t>策定済</t>
        </is>
      </c>
      <c r="Q38" s="15" t="inlineStr">
        <is>
          <t>https://www.vill.nishigo.fukushima.jp/soshiki/kankyohozenka/kankyo_gomi/2/4547.html</t>
        </is>
      </c>
      <c r="R38" s="12"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6" t="inlineStr">
        <is>
          <t>調査済</t>
        </is>
      </c>
      <c r="T38" s="18" t="inlineStr">
        <is>
          <t>掲載／期間満了</t>
        </is>
      </c>
    </row>
    <row r="39">
      <c r="A39" s="12" t="n">
        <v>36</v>
      </c>
      <c r="B39" s="12" t="inlineStr">
        <is>
          <t>泉崎村</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福島県地域公共交通計画（県全域の広域計画）</t>
        </is>
      </c>
      <c r="G39" s="12" t="inlineStr">
        <is>
          <t>R6〜R12</t>
        </is>
      </c>
      <c r="H39" s="14" t="n">
        <v>12</v>
      </c>
      <c r="I39" s="14" t="inlineStr">
        <is>
          <t>確認済</t>
        </is>
      </c>
      <c r="J39" s="14" t="inlineStr">
        <is>
          <t>未確認</t>
        </is>
      </c>
      <c r="K39" s="15" t="inlineStr">
        <is>
          <t>https://www.pref.fukushima.lg.jp/uploaded/attachment/622613.pdf</t>
        </is>
      </c>
      <c r="L39" s="12" t="n"/>
      <c r="M39" s="12" t="inlineStr">
        <is>
          <t>不明</t>
        </is>
      </c>
      <c r="N39" s="14" t="n"/>
      <c r="O39" s="14" t="inlineStr">
        <is>
          <t>不明</t>
        </is>
      </c>
      <c r="P39" s="14" t="inlineStr">
        <is>
          <t>未確認</t>
        </is>
      </c>
      <c r="Q39" s="12" t="n"/>
      <c r="R39" s="12"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19" t="inlineStr">
        <is>
          <t>交通のみ調査</t>
        </is>
      </c>
      <c r="T39" s="18" t="inlineStr">
        <is>
          <t>未掲載【当方は計画あり】</t>
        </is>
      </c>
    </row>
    <row r="40">
      <c r="A40" s="12" t="n">
        <v>37</v>
      </c>
      <c r="B40" s="12" t="inlineStr">
        <is>
          <t>中島村</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福島県地域公共交通計画（県全域の広域計画）</t>
        </is>
      </c>
      <c r="G40" s="12" t="inlineStr">
        <is>
          <t>R6〜R12</t>
        </is>
      </c>
      <c r="H40" s="14" t="n">
        <v>12</v>
      </c>
      <c r="I40" s="14" t="inlineStr">
        <is>
          <t>確認済</t>
        </is>
      </c>
      <c r="J40" s="14" t="inlineStr">
        <is>
          <t>未確認</t>
        </is>
      </c>
      <c r="K40" s="15" t="inlineStr">
        <is>
          <t>https://www.pref.fukushima.lg.jp/uploaded/attachment/622613.pdf</t>
        </is>
      </c>
      <c r="L40" s="12" t="n"/>
      <c r="M40" s="12" t="inlineStr">
        <is>
          <t>不明</t>
        </is>
      </c>
      <c r="N40" s="14" t="n"/>
      <c r="O40" s="14" t="inlineStr">
        <is>
          <t>不明</t>
        </is>
      </c>
      <c r="P40" s="14" t="inlineStr">
        <is>
          <t>未確認</t>
        </is>
      </c>
      <c r="Q40" s="12" t="n"/>
      <c r="R40" s="12"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19" t="inlineStr">
        <is>
          <t>交通のみ調査</t>
        </is>
      </c>
      <c r="T40" s="18" t="inlineStr">
        <is>
          <t>未掲載【当方は計画あり】</t>
        </is>
      </c>
    </row>
    <row r="41">
      <c r="A41" s="12" t="n">
        <v>38</v>
      </c>
      <c r="B41" s="12" t="inlineStr">
        <is>
          <t>矢吹町</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inlineStr">
        <is>
          <t>矢吹町地域公共交通計画</t>
        </is>
      </c>
      <c r="G41" s="12" t="inlineStr">
        <is>
          <t>不明</t>
        </is>
      </c>
      <c r="H41" s="14" t="n"/>
      <c r="I41" s="14" t="inlineStr">
        <is>
          <t>不明</t>
        </is>
      </c>
      <c r="J41" s="14" t="inlineStr">
        <is>
          <t>未確認</t>
        </is>
      </c>
      <c r="K41" s="15" t="inlineStr">
        <is>
          <t>https://www.town.yabuki.fukushima.jp/page/page009573.html</t>
        </is>
      </c>
      <c r="L41" s="12" t="n"/>
      <c r="M41" s="12" t="inlineStr">
        <is>
          <t>不明</t>
        </is>
      </c>
      <c r="N41" s="14" t="n"/>
      <c r="O41" s="14" t="inlineStr">
        <is>
          <t>不明</t>
        </is>
      </c>
      <c r="P41" s="14" t="inlineStr">
        <is>
          <t>計画なし</t>
        </is>
      </c>
      <c r="Q41" s="12" t="n"/>
      <c r="R41" s="12"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6" t="inlineStr">
        <is>
          <t>調査済</t>
        </is>
      </c>
      <c r="T41" s="12" t="inlineStr">
        <is>
          <t>掲載</t>
        </is>
      </c>
    </row>
    <row r="42">
      <c r="A42" s="12" t="n">
        <v>39</v>
      </c>
      <c r="B42" s="12" t="inlineStr">
        <is>
          <t>棚倉町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福島県地域公共交通計画（県全域の広域計画）</t>
        </is>
      </c>
      <c r="G42" s="12" t="inlineStr">
        <is>
          <t>R6〜R12</t>
        </is>
      </c>
      <c r="H42" s="14" t="n">
        <v>12</v>
      </c>
      <c r="I42" s="14" t="inlineStr">
        <is>
          <t>確認済</t>
        </is>
      </c>
      <c r="J42" s="14" t="inlineStr">
        <is>
          <t>未確認</t>
        </is>
      </c>
      <c r="K42" s="15" t="inlineStr">
        <is>
          <t>https://www.pref.fukushima.lg.jp/uploaded/attachment/622613.pdf</t>
        </is>
      </c>
      <c r="L42" s="12" t="inlineStr">
        <is>
          <t>棚倉町環境基本計画－SDGsと環境共生圏づくりを目指して－</t>
        </is>
      </c>
      <c r="M42" s="12" t="inlineStr">
        <is>
          <t>不明（R3.3策定。要約1件に「令和32年（2050年）まで」とあるが長期目標年の誤認の可能性）</t>
        </is>
      </c>
      <c r="N42" s="14" t="n"/>
      <c r="O42" s="14" t="inlineStr">
        <is>
          <t>不明</t>
        </is>
      </c>
      <c r="P42" s="14" t="inlineStr">
        <is>
          <t>未確認</t>
        </is>
      </c>
      <c r="Q42" s="15" t="inlineStr">
        <is>
          <t>https://www.town.tanagura.fukushima.jp/data/doc/1617153691_doc_15_0.pdf</t>
        </is>
      </c>
      <c r="R42" s="12"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6" t="inlineStr">
        <is>
          <t>調査済</t>
        </is>
      </c>
      <c r="T42" s="18" t="inlineStr">
        <is>
          <t>掲載／期間満了</t>
        </is>
      </c>
    </row>
    <row r="43">
      <c r="A43" s="12" t="n">
        <v>40</v>
      </c>
      <c r="B43" s="12" t="inlineStr">
        <is>
          <t>矢祭町</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inlineStr">
        <is>
          <t>福島県地域公共交通計画（県全域の広域計画）</t>
        </is>
      </c>
      <c r="G43" s="12" t="inlineStr">
        <is>
          <t>R6〜R12</t>
        </is>
      </c>
      <c r="H43" s="14" t="n">
        <v>12</v>
      </c>
      <c r="I43" s="14" t="inlineStr">
        <is>
          <t>確認済</t>
        </is>
      </c>
      <c r="J43" s="14" t="inlineStr">
        <is>
          <t>未確認</t>
        </is>
      </c>
      <c r="K43" s="15" t="inlineStr">
        <is>
          <t>https://www.pref.fukushima.lg.jp/uploaded/attachment/622613.pdf</t>
        </is>
      </c>
      <c r="L43" s="12" t="n"/>
      <c r="M43" s="12" t="inlineStr">
        <is>
          <t>不明</t>
        </is>
      </c>
      <c r="N43" s="14" t="n"/>
      <c r="O43" s="14" t="inlineStr">
        <is>
          <t>不明</t>
        </is>
      </c>
      <c r="P43" s="14" t="inlineStr">
        <is>
          <t>計画なし</t>
        </is>
      </c>
      <c r="Q43" s="12" t="n"/>
      <c r="R43" s="12"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6" t="inlineStr">
        <is>
          <t>調査済</t>
        </is>
      </c>
      <c r="T43" s="18" t="inlineStr">
        <is>
          <t>未掲載【当方は計画あり】</t>
        </is>
      </c>
    </row>
    <row r="44">
      <c r="A44" s="12" t="n">
        <v>41</v>
      </c>
      <c r="B44" s="12" t="inlineStr">
        <is>
          <t>塙町</t>
        </is>
      </c>
      <c r="C44" s="13">
        <f>IF(OR(D44="◎",E44="◎"),"◎ 営業",IF(OR(D44="△",E44="△"),"△ 着手済・要確認",IF(OR(D44="？",E44="？"),"？ 期間要確認","✕ 対象外")))</f>
        <v/>
      </c>
      <c r="D44" s="14">
        <f>IF(J44="計画なし","－",IF(J44="策定済","✕",IF(H44="","？",IF(AND(H44&gt;=TGT_MIN,H44&lt;=TGT_MAX),IF(J44="着手済","△","◎"),"✕"))))</f>
        <v/>
      </c>
      <c r="E44" s="14">
        <f>IF(P44="計画なし","－",IF(P44="策定済","✕",IF(N44="","？",IF(AND(N44&gt;=TGT_MIN,N44&lt;=TGT_MAX),IF(P44="着手済","△","◎"),"✕"))))</f>
        <v/>
      </c>
      <c r="F44" s="12" t="inlineStr">
        <is>
          <t>塙町地域公共交通網形成計画（H30.3策定、国交省一覧の単独計画はこれと推定）</t>
        </is>
      </c>
      <c r="G44" s="12" t="inlineStr">
        <is>
          <t>不明</t>
        </is>
      </c>
      <c r="H44" s="14" t="n">
        <v>12</v>
      </c>
      <c r="I44" s="14" t="inlineStr">
        <is>
          <t>不明</t>
        </is>
      </c>
      <c r="J44" s="14" t="inlineStr">
        <is>
          <t>未確認</t>
        </is>
      </c>
      <c r="K44" s="15" t="inlineStr">
        <is>
          <t>https://www.town.hanawa.fukushima.jp/page/page000688.html</t>
        </is>
      </c>
      <c r="L44" s="12" t="n"/>
      <c r="M44" s="12" t="inlineStr">
        <is>
          <t>不明</t>
        </is>
      </c>
      <c r="N44" s="14" t="n"/>
      <c r="O44" s="14" t="inlineStr">
        <is>
          <t>不明</t>
        </is>
      </c>
      <c r="P44" s="14" t="inlineStr">
        <is>
          <t>計画なし</t>
        </is>
      </c>
      <c r="Q44" s="12" t="n"/>
      <c r="R44" s="12"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6" t="inlineStr">
        <is>
          <t>調査済</t>
        </is>
      </c>
      <c r="T44" s="12" t="inlineStr">
        <is>
          <t>掲載</t>
        </is>
      </c>
    </row>
    <row r="45">
      <c r="A45" s="12" t="n">
        <v>42</v>
      </c>
      <c r="B45" s="12" t="inlineStr">
        <is>
          <t>鮫川村</t>
        </is>
      </c>
      <c r="C45" s="13">
        <f>IF(OR(D45="◎",E45="◎"),"◎ 営業",IF(OR(D45="△",E45="△"),"△ 着手済・要確認",IF(OR(D45="？",E45="？"),"？ 期間要確認","✕ 対象外")))</f>
        <v/>
      </c>
      <c r="D45" s="14">
        <f>IF(J45="計画なし","－",IF(J45="策定済","✕",IF(H45="","？",IF(AND(H45&gt;=TGT_MIN,H45&lt;=TGT_MAX),IF(J45="着手済","△","◎"),"✕"))))</f>
        <v/>
      </c>
      <c r="E45" s="14">
        <f>IF(P45="計画なし","－",IF(P45="策定済","✕",IF(N45="","？",IF(AND(N45&gt;=TGT_MIN,N45&lt;=TGT_MAX),IF(P45="着手済","△","◎"),"✕"))))</f>
        <v/>
      </c>
      <c r="F45" s="12" t="inlineStr">
        <is>
          <t>鮫川村地域公共交通計画</t>
        </is>
      </c>
      <c r="G45" s="12" t="inlineStr">
        <is>
          <t>R5〜R9</t>
        </is>
      </c>
      <c r="H45" s="14" t="n">
        <v>9</v>
      </c>
      <c r="I45" s="14" t="inlineStr">
        <is>
          <t>確認済</t>
        </is>
      </c>
      <c r="J45" s="14" t="inlineStr">
        <is>
          <t>未確認</t>
        </is>
      </c>
      <c r="K45" s="15" t="inlineStr">
        <is>
          <t>https://www.vill.samegawa.fukushima.jp/sp/page/page002592.html</t>
        </is>
      </c>
      <c r="L45" s="12" t="n"/>
      <c r="M45" s="12" t="inlineStr">
        <is>
          <t>不明</t>
        </is>
      </c>
      <c r="N45" s="14" t="n"/>
      <c r="O45" s="14" t="inlineStr">
        <is>
          <t>不明</t>
        </is>
      </c>
      <c r="P45" s="14" t="inlineStr">
        <is>
          <t>計画なし</t>
        </is>
      </c>
      <c r="Q45" s="12" t="n"/>
      <c r="R45" s="12"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6" t="inlineStr">
        <is>
          <t>調査済</t>
        </is>
      </c>
      <c r="T45" s="12" t="inlineStr">
        <is>
          <t>掲載</t>
        </is>
      </c>
      <c r="U45" s="20" t="inlineStr">
        <is>
          <t>→メモ</t>
        </is>
      </c>
    </row>
    <row r="46">
      <c r="A46" s="12" t="n">
        <v>43</v>
      </c>
      <c r="B46" s="12" t="inlineStr">
        <is>
          <t>石川町</t>
        </is>
      </c>
      <c r="C46" s="13">
        <f>IF(OR(D46="◎",E46="◎"),"◎ 営業",IF(OR(D46="△",E46="△"),"△ 着手済・要確認",IF(OR(D46="？",E46="？"),"？ 期間要確認","✕ 対象外")))</f>
        <v/>
      </c>
      <c r="D46" s="14">
        <f>IF(J46="計画なし","－",IF(J46="策定済","✕",IF(H46="","？",IF(AND(H46&gt;=TGT_MIN,H46&lt;=TGT_MAX),IF(J46="着手済","△","◎"),"✕"))))</f>
        <v/>
      </c>
      <c r="E46" s="14">
        <f>IF(P46="計画なし","－",IF(P46="策定済","✕",IF(N46="","？",IF(AND(N46&gt;=TGT_MIN,N46&lt;=TGT_MAX),IF(P46="着手済","△","◎"),"✕"))))</f>
        <v/>
      </c>
      <c r="F46" s="12" t="inlineStr">
        <is>
          <t>石川町地域公共交通計画</t>
        </is>
      </c>
      <c r="G46" s="12" t="inlineStr">
        <is>
          <t>R5〜R10</t>
        </is>
      </c>
      <c r="H46" s="14" t="n">
        <v>10</v>
      </c>
      <c r="I46" s="14" t="inlineStr">
        <is>
          <t>確認済</t>
        </is>
      </c>
      <c r="J46" s="14" t="inlineStr">
        <is>
          <t>未確認</t>
        </is>
      </c>
      <c r="K46" s="15" t="inlineStr">
        <is>
          <t>https://www.town.ishikawa.fukushima.jp/admin/project/03/24.html</t>
        </is>
      </c>
      <c r="L46" s="12" t="n"/>
      <c r="M46" s="12" t="inlineStr">
        <is>
          <t>不明</t>
        </is>
      </c>
      <c r="N46" s="14" t="n"/>
      <c r="O46" s="14" t="inlineStr">
        <is>
          <t>不明</t>
        </is>
      </c>
      <c r="P46" s="14" t="inlineStr">
        <is>
          <t>計画なし</t>
        </is>
      </c>
      <c r="Q46" s="12" t="n"/>
      <c r="R46" s="12"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6" t="inlineStr">
        <is>
          <t>調査済</t>
        </is>
      </c>
      <c r="T46" s="12" t="inlineStr">
        <is>
          <t>掲載</t>
        </is>
      </c>
    </row>
    <row r="47">
      <c r="A47" s="12" t="n">
        <v>44</v>
      </c>
      <c r="B47" s="12" t="inlineStr">
        <is>
          <t>玉川村</t>
        </is>
      </c>
      <c r="C47" s="13">
        <f>IF(OR(D47="◎",E47="◎"),"◎ 営業",IF(OR(D47="△",E47="△"),"△ 着手済・要確認",IF(OR(D47="？",E47="？"),"？ 期間要確認","✕ 対象外")))</f>
        <v/>
      </c>
      <c r="D47" s="14">
        <f>IF(J47="計画なし","－",IF(J47="策定済","✕",IF(H47="","？",IF(AND(H47&gt;=TGT_MIN,H47&lt;=TGT_MAX),IF(J47="着手済","△","◎"),"✕"))))</f>
        <v/>
      </c>
      <c r="E47" s="14">
        <f>IF(P47="計画なし","－",IF(P47="策定済","✕",IF(N47="","？",IF(AND(N47&gt;=TGT_MIN,N47&lt;=TGT_MAX),IF(P47="着手済","△","◎"),"✕"))))</f>
        <v/>
      </c>
      <c r="F47" s="12" t="inlineStr">
        <is>
          <t>玉川村地域公共交通網形成計画（R1.6策定、期間満了）</t>
        </is>
      </c>
      <c r="G47" s="12" t="inlineStr">
        <is>
          <t>R1〜R6</t>
        </is>
      </c>
      <c r="H47" s="14" t="n">
        <v>6</v>
      </c>
      <c r="I47" s="14" t="inlineStr">
        <is>
          <t>確認済</t>
        </is>
      </c>
      <c r="J47" s="14" t="inlineStr">
        <is>
          <t>未確認</t>
        </is>
      </c>
      <c r="K47" s="15" t="inlineStr">
        <is>
          <t>https://www.vill.tamakawa.fukushima.jp/guide/plan/000055.html</t>
        </is>
      </c>
      <c r="L47" s="12" t="n"/>
      <c r="M47" s="12" t="inlineStr">
        <is>
          <t>不明</t>
        </is>
      </c>
      <c r="N47" s="14" t="n"/>
      <c r="O47" s="14" t="inlineStr">
        <is>
          <t>不明</t>
        </is>
      </c>
      <c r="P47" s="14" t="inlineStr">
        <is>
          <t>計画なし</t>
        </is>
      </c>
      <c r="Q47" s="12" t="n"/>
      <c r="R47"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6" t="inlineStr">
        <is>
          <t>調査済</t>
        </is>
      </c>
      <c r="T47" s="18" t="inlineStr">
        <is>
          <t>掲載／期間満了</t>
        </is>
      </c>
    </row>
    <row r="48">
      <c r="A48" s="12" t="n">
        <v>45</v>
      </c>
      <c r="B48" s="12" t="inlineStr">
        <is>
          <t>平田村</t>
        </is>
      </c>
      <c r="C48" s="13">
        <f>IF(OR(D48="◎",E48="◎"),"◎ 営業",IF(OR(D48="△",E48="△"),"△ 着手済・要確認",IF(OR(D48="？",E48="？"),"？ 期間要確認","✕ 対象外")))</f>
        <v/>
      </c>
      <c r="D48" s="14">
        <f>IF(J48="計画なし","－",IF(J48="策定済","✕",IF(H48="","？",IF(AND(H48&gt;=TGT_MIN,H48&lt;=TGT_MAX),IF(J48="着手済","△","◎"),"✕"))))</f>
        <v/>
      </c>
      <c r="E48" s="14">
        <f>IF(P48="計画なし","－",IF(P48="策定済","✕",IF(N48="","？",IF(AND(N48&gt;=TGT_MIN,N48&lt;=TGT_MAX),IF(P48="着手済","△","◎"),"✕"))))</f>
        <v/>
      </c>
      <c r="F48" s="12" t="inlineStr">
        <is>
          <t>福島県地域公共交通計画（県全域の広域計画）</t>
        </is>
      </c>
      <c r="G48" s="12" t="inlineStr">
        <is>
          <t>R6〜R12</t>
        </is>
      </c>
      <c r="H48" s="14" t="n">
        <v>12</v>
      </c>
      <c r="I48" s="14" t="inlineStr">
        <is>
          <t>確認済</t>
        </is>
      </c>
      <c r="J48" s="14" t="inlineStr">
        <is>
          <t>未確認</t>
        </is>
      </c>
      <c r="K48" s="15" t="inlineStr">
        <is>
          <t>https://www.pref.fukushima.lg.jp/uploaded/attachment/622613.pdf</t>
        </is>
      </c>
      <c r="L48" s="12" t="n"/>
      <c r="M48" s="12" t="inlineStr">
        <is>
          <t>不明</t>
        </is>
      </c>
      <c r="N48" s="14" t="n"/>
      <c r="O48" s="14" t="inlineStr">
        <is>
          <t>不明</t>
        </is>
      </c>
      <c r="P48" s="14" t="inlineStr">
        <is>
          <t>計画なし</t>
        </is>
      </c>
      <c r="Q48" s="12" t="n"/>
      <c r="R48"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6" t="inlineStr">
        <is>
          <t>調査済</t>
        </is>
      </c>
      <c r="T48" s="18" t="inlineStr">
        <is>
          <t>未掲載【当方は計画あり】</t>
        </is>
      </c>
    </row>
    <row r="49">
      <c r="A49" s="12" t="n">
        <v>46</v>
      </c>
      <c r="B49" s="12" t="inlineStr">
        <is>
          <t>浅川町</t>
        </is>
      </c>
      <c r="C49" s="13">
        <f>IF(OR(D49="◎",E49="◎"),"◎ 営業",IF(OR(D49="△",E49="△"),"△ 着手済・要確認",IF(OR(D49="？",E49="？"),"？ 期間要確認","✕ 対象外")))</f>
        <v/>
      </c>
      <c r="D49" s="14">
        <f>IF(J49="計画なし","－",IF(J49="策定済","✕",IF(H49="","？",IF(AND(H49&gt;=TGT_MIN,H49&lt;=TGT_MAX),IF(J49="着手済","△","◎"),"✕"))))</f>
        <v/>
      </c>
      <c r="E49" s="14">
        <f>IF(P49="計画なし","－",IF(P49="策定済","✕",IF(N49="","？",IF(AND(N49&gt;=TGT_MIN,N49&lt;=TGT_MAX),IF(P49="着手済","△","◎"),"✕"))))</f>
        <v/>
      </c>
      <c r="F49" s="12" t="inlineStr">
        <is>
          <t>福島県地域公共交通計画（県全域の広域計画）</t>
        </is>
      </c>
      <c r="G49" s="12" t="inlineStr">
        <is>
          <t>R6〜R12</t>
        </is>
      </c>
      <c r="H49" s="14" t="n">
        <v>12</v>
      </c>
      <c r="I49" s="14" t="inlineStr">
        <is>
          <t>確認済</t>
        </is>
      </c>
      <c r="J49" s="14" t="inlineStr">
        <is>
          <t>未確認</t>
        </is>
      </c>
      <c r="K49" s="15" t="inlineStr">
        <is>
          <t>https://www.pref.fukushima.lg.jp/uploaded/attachment/622613.pdf</t>
        </is>
      </c>
      <c r="L49" s="12" t="n"/>
      <c r="M49" s="12" t="inlineStr">
        <is>
          <t>不明</t>
        </is>
      </c>
      <c r="N49" s="14" t="n"/>
      <c r="O49" s="14" t="inlineStr">
        <is>
          <t>不明</t>
        </is>
      </c>
      <c r="P49" s="14" t="inlineStr">
        <is>
          <t>計画なし</t>
        </is>
      </c>
      <c r="Q49" s="12" t="n"/>
      <c r="R49" s="12"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6" t="inlineStr">
        <is>
          <t>調査済</t>
        </is>
      </c>
      <c r="T49" s="18" t="inlineStr">
        <is>
          <t>未掲載【当方は計画あり】</t>
        </is>
      </c>
    </row>
    <row r="50">
      <c r="A50" s="12" t="n">
        <v>47</v>
      </c>
      <c r="B50" s="12" t="inlineStr">
        <is>
          <t>古殿町</t>
        </is>
      </c>
      <c r="C50" s="13">
        <f>IF(OR(D50="◎",E50="◎"),"◎ 営業",IF(OR(D50="△",E50="△"),"△ 着手済・要確認",IF(OR(D50="？",E50="？"),"？ 期間要確認","✕ 対象外")))</f>
        <v/>
      </c>
      <c r="D50" s="14">
        <f>IF(J50="計画なし","－",IF(J50="策定済","✕",IF(H50="","？",IF(AND(H50&gt;=TGT_MIN,H50&lt;=TGT_MAX),IF(J50="着手済","△","◎"),"✕"))))</f>
        <v/>
      </c>
      <c r="E50" s="14">
        <f>IF(P50="計画なし","－",IF(P50="策定済","✕",IF(N50="","？",IF(AND(N50&gt;=TGT_MIN,N50&lt;=TGT_MAX),IF(P50="着手済","△","◎"),"✕"))))</f>
        <v/>
      </c>
      <c r="F50" s="12" t="inlineStr">
        <is>
          <t>福島県地域公共交通計画（県全域の広域計画）</t>
        </is>
      </c>
      <c r="G50" s="12" t="inlineStr">
        <is>
          <t>R6〜R12</t>
        </is>
      </c>
      <c r="H50" s="14" t="n">
        <v>12</v>
      </c>
      <c r="I50" s="14" t="inlineStr">
        <is>
          <t>確認済</t>
        </is>
      </c>
      <c r="J50" s="14" t="inlineStr">
        <is>
          <t>未確認</t>
        </is>
      </c>
      <c r="K50" s="15" t="inlineStr">
        <is>
          <t>https://www.pref.fukushima.lg.jp/uploaded/attachment/622613.pdf</t>
        </is>
      </c>
      <c r="L50" s="12" t="n"/>
      <c r="M50" s="12" t="inlineStr">
        <is>
          <t>不明</t>
        </is>
      </c>
      <c r="N50" s="14" t="n"/>
      <c r="O50" s="14" t="inlineStr">
        <is>
          <t>不明</t>
        </is>
      </c>
      <c r="P50" s="14" t="inlineStr">
        <is>
          <t>計画なし</t>
        </is>
      </c>
      <c r="Q50" s="12" t="n"/>
      <c r="R50" s="12"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6" t="inlineStr">
        <is>
          <t>調査済</t>
        </is>
      </c>
      <c r="T50" s="18" t="inlineStr">
        <is>
          <t>未掲載【当方は計画あり】</t>
        </is>
      </c>
    </row>
    <row r="51">
      <c r="A51" s="12" t="n">
        <v>48</v>
      </c>
      <c r="B51" s="12" t="inlineStr">
        <is>
          <t>三春町</t>
        </is>
      </c>
      <c r="C51" s="13">
        <f>IF(OR(D51="◎",E51="◎"),"◎ 営業",IF(OR(D51="△",E51="△"),"△ 着手済・要確認",IF(OR(D51="？",E51="？"),"？ 期間要確認","✕ 対象外")))</f>
        <v/>
      </c>
      <c r="D51" s="14">
        <f>IF(J51="計画なし","－",IF(J51="策定済","✕",IF(H51="","？",IF(AND(H51&gt;=TGT_MIN,H51&lt;=TGT_MAX),IF(J51="着手済","△","◎"),"✕"))))</f>
        <v/>
      </c>
      <c r="E51" s="14">
        <f>IF(P51="計画なし","－",IF(P51="策定済","✕",IF(N51="","？",IF(AND(N51&gt;=TGT_MIN,N51&lt;=TGT_MAX),IF(P51="着手済","△","◎"),"✕"))))</f>
        <v/>
      </c>
      <c r="F51" s="12" t="inlineStr">
        <is>
          <t>三春町地域公共交通計画</t>
        </is>
      </c>
      <c r="G51" s="12" t="inlineStr">
        <is>
          <t>R5〜R9</t>
        </is>
      </c>
      <c r="H51" s="14" t="n">
        <v>9</v>
      </c>
      <c r="I51" s="14" t="inlineStr">
        <is>
          <t>確認済</t>
        </is>
      </c>
      <c r="J51" s="14" t="inlineStr">
        <is>
          <t>未確認</t>
        </is>
      </c>
      <c r="K51" s="15" t="inlineStr">
        <is>
          <t>https://www.town.miharu.fukushima.jp/soshiki/4/kokyoukotsu.html</t>
        </is>
      </c>
      <c r="L51" s="12" t="n"/>
      <c r="M51" s="12" t="inlineStr">
        <is>
          <t>不明</t>
        </is>
      </c>
      <c r="N51" s="14" t="n"/>
      <c r="O51" s="14" t="inlineStr">
        <is>
          <t>不明</t>
        </is>
      </c>
      <c r="P51" s="14" t="inlineStr">
        <is>
          <t>計画なし</t>
        </is>
      </c>
      <c r="Q51" s="12" t="n"/>
      <c r="R51" s="12"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6" t="inlineStr">
        <is>
          <t>調査済</t>
        </is>
      </c>
      <c r="T51" s="12" t="inlineStr">
        <is>
          <t>掲載</t>
        </is>
      </c>
    </row>
    <row r="52">
      <c r="A52" s="12" t="n">
        <v>49</v>
      </c>
      <c r="B52" s="12" t="inlineStr">
        <is>
          <t>小野町</t>
        </is>
      </c>
      <c r="C52" s="13">
        <f>IF(OR(D52="◎",E52="◎"),"◎ 営業",IF(OR(D52="△",E52="△"),"△ 着手済・要確認",IF(OR(D52="？",E52="？"),"？ 期間要確認","✕ 対象外")))</f>
        <v/>
      </c>
      <c r="D52" s="14">
        <f>IF(J52="計画なし","－",IF(J52="策定済","✕",IF(H52="","？",IF(AND(H52&gt;=TGT_MIN,H52&lt;=TGT_MAX),IF(J52="着手済","△","◎"),"✕"))))</f>
        <v/>
      </c>
      <c r="E52" s="14">
        <f>IF(P52="計画なし","－",IF(P52="策定済","✕",IF(N52="","？",IF(AND(N52&gt;=TGT_MIN,N52&lt;=TGT_MAX),IF(P52="着手済","△","◎"),"✕"))))</f>
        <v/>
      </c>
      <c r="F52" s="12" t="inlineStr">
        <is>
          <t>小野町地域公共交通計画</t>
        </is>
      </c>
      <c r="G52" s="12" t="inlineStr">
        <is>
          <t>R6〜R10</t>
        </is>
      </c>
      <c r="H52" s="14" t="n">
        <v>10</v>
      </c>
      <c r="I52" s="14" t="inlineStr">
        <is>
          <t>確認済</t>
        </is>
      </c>
      <c r="J52" s="14" t="inlineStr">
        <is>
          <t>未確認</t>
        </is>
      </c>
      <c r="K52" s="15" t="inlineStr">
        <is>
          <t>https://www.town.ono.fukushima.jp/soshiki/3/entry_9.html</t>
        </is>
      </c>
      <c r="L52" s="12" t="n"/>
      <c r="M52" s="12" t="inlineStr">
        <is>
          <t>不明</t>
        </is>
      </c>
      <c r="N52" s="14" t="n"/>
      <c r="O52" s="14" t="inlineStr">
        <is>
          <t>不明</t>
        </is>
      </c>
      <c r="P52" s="14" t="inlineStr">
        <is>
          <t>計画なし</t>
        </is>
      </c>
      <c r="Q52" s="12" t="n"/>
      <c r="R52" s="12"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6" t="inlineStr">
        <is>
          <t>調査済</t>
        </is>
      </c>
      <c r="T52" s="12" t="inlineStr">
        <is>
          <t>掲載</t>
        </is>
      </c>
    </row>
    <row r="53">
      <c r="A53" s="12" t="n">
        <v>50</v>
      </c>
      <c r="B53" s="12" t="inlineStr">
        <is>
          <t>広野町</t>
        </is>
      </c>
      <c r="C53" s="13">
        <f>IF(OR(D53="◎",E53="◎"),"◎ 営業",IF(OR(D53="△",E53="△"),"△ 着手済・要確認",IF(OR(D53="？",E53="？"),"？ 期間要確認","✕ 対象外")))</f>
        <v/>
      </c>
      <c r="D53" s="14">
        <f>IF(J53="計画なし","－",IF(J53="策定済","✕",IF(H53="","？",IF(AND(H53&gt;=TGT_MIN,H53&lt;=TGT_MAX),IF(J53="着手済","△","◎"),"✕"))))</f>
        <v/>
      </c>
      <c r="E53" s="14">
        <f>IF(P53="計画なし","－",IF(P53="策定済","✕",IF(N53="","？",IF(AND(N53&gt;=TGT_MIN,N53&lt;=TGT_MAX),IF(P53="着手済","△","◎"),"✕"))))</f>
        <v/>
      </c>
      <c r="F53" s="12" t="inlineStr">
        <is>
          <t>福島県避難地域広域公共交通計画（避難12市町村対象・県策定）</t>
        </is>
      </c>
      <c r="G53" s="12" t="inlineStr">
        <is>
          <t>R5〜R9</t>
        </is>
      </c>
      <c r="H53" s="14" t="n">
        <v>9</v>
      </c>
      <c r="I53" s="14" t="inlineStr">
        <is>
          <t>確認済</t>
        </is>
      </c>
      <c r="J53" s="14" t="inlineStr">
        <is>
          <t>着手済</t>
        </is>
      </c>
      <c r="K53" s="15" t="inlineStr">
        <is>
          <t>https://www.pref.fukushima.lg.jp/sec/16005d/hinan-koutsuu-keikaku.html</t>
        </is>
      </c>
      <c r="L53" s="12" t="inlineStr">
        <is>
          <t>広野町環境基本計画</t>
        </is>
      </c>
      <c r="M53" s="12" t="inlineStr">
        <is>
          <t>R7〜R17</t>
        </is>
      </c>
      <c r="N53" s="14" t="n">
        <v>17</v>
      </c>
      <c r="O53" s="14" t="inlineStr">
        <is>
          <t>確認済</t>
        </is>
      </c>
      <c r="P53" s="14" t="inlineStr">
        <is>
          <t>策定済</t>
        </is>
      </c>
      <c r="Q53" s="15" t="inlineStr">
        <is>
          <t>https://www.town.hirono.fukushima.jp/chousei/machidukuri/1003877/1005075.html</t>
        </is>
      </c>
      <c r="R53"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6" t="inlineStr">
        <is>
          <t>調査済</t>
        </is>
      </c>
      <c r="T53" s="12" t="inlineStr">
        <is>
          <t>掲載（広域：福島県避難地域）</t>
        </is>
      </c>
      <c r="U53" s="20" t="inlineStr">
        <is>
          <t>→メモ</t>
        </is>
      </c>
    </row>
    <row r="54">
      <c r="A54" s="12" t="n">
        <v>51</v>
      </c>
      <c r="B54" s="12" t="inlineStr">
        <is>
          <t>楢葉町</t>
        </is>
      </c>
      <c r="C54" s="13">
        <f>IF(OR(D54="◎",E54="◎"),"◎ 営業",IF(OR(D54="△",E54="△"),"△ 着手済・要確認",IF(OR(D54="？",E54="？"),"？ 期間要確認","✕ 対象外")))</f>
        <v/>
      </c>
      <c r="D54" s="14">
        <f>IF(J54="計画なし","－",IF(J54="策定済","✕",IF(H54="","？",IF(AND(H54&gt;=TGT_MIN,H54&lt;=TGT_MAX),IF(J54="着手済","△","◎"),"✕"))))</f>
        <v/>
      </c>
      <c r="E54" s="14">
        <f>IF(P54="計画なし","－",IF(P54="策定済","✕",IF(N54="","？",IF(AND(N54&gt;=TGT_MIN,N54&lt;=TGT_MAX),IF(P54="着手済","△","◎"),"✕"))))</f>
        <v/>
      </c>
      <c r="F54" s="12" t="inlineStr">
        <is>
          <t>福島県避難地域広域公共交通計画（避難12市町村対象・県策定）</t>
        </is>
      </c>
      <c r="G54" s="12" t="inlineStr">
        <is>
          <t>R5〜R9</t>
        </is>
      </c>
      <c r="H54" s="14" t="n">
        <v>9</v>
      </c>
      <c r="I54" s="14" t="inlineStr">
        <is>
          <t>確認済</t>
        </is>
      </c>
      <c r="J54" s="14" t="inlineStr">
        <is>
          <t>着手済</t>
        </is>
      </c>
      <c r="K54" s="15" t="inlineStr">
        <is>
          <t>https://www.pref.fukushima.lg.jp/sec/16005d/hinan-koutsuu-keikaku.html</t>
        </is>
      </c>
      <c r="L54" s="12" t="n"/>
      <c r="M54" s="12" t="inlineStr">
        <is>
          <t>不明</t>
        </is>
      </c>
      <c r="N54" s="14" t="n"/>
      <c r="O54" s="14" t="inlineStr">
        <is>
          <t>不明</t>
        </is>
      </c>
      <c r="P54" s="14" t="inlineStr">
        <is>
          <t>計画なし</t>
        </is>
      </c>
      <c r="Q54" s="12" t="n"/>
      <c r="R54"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6" t="inlineStr">
        <is>
          <t>調査済</t>
        </is>
      </c>
      <c r="T54" s="12" t="inlineStr">
        <is>
          <t>掲載（広域：福島県避難地域）</t>
        </is>
      </c>
      <c r="U54" s="20" t="inlineStr">
        <is>
          <t>→メモ</t>
        </is>
      </c>
    </row>
    <row r="55">
      <c r="A55" s="12" t="n">
        <v>52</v>
      </c>
      <c r="B55" s="12" t="inlineStr">
        <is>
          <t>富岡町</t>
        </is>
      </c>
      <c r="C55" s="13">
        <f>IF(OR(D55="◎",E55="◎"),"◎ 営業",IF(OR(D55="△",E55="△"),"△ 着手済・要確認",IF(OR(D55="？",E55="？"),"？ 期間要確認","✕ 対象外")))</f>
        <v/>
      </c>
      <c r="D55" s="14">
        <f>IF(J55="計画なし","－",IF(J55="策定済","✕",IF(H55="","？",IF(AND(H55&gt;=TGT_MIN,H55&lt;=TGT_MAX),IF(J55="着手済","△","◎"),"✕"))))</f>
        <v/>
      </c>
      <c r="E55" s="14">
        <f>IF(P55="計画なし","－",IF(P55="策定済","✕",IF(N55="","？",IF(AND(N55&gt;=TGT_MIN,N55&lt;=TGT_MAX),IF(P55="着手済","△","◎"),"✕"))))</f>
        <v/>
      </c>
      <c r="F55" s="12" t="inlineStr">
        <is>
          <t>福島県避難地域広域公共交通計画（避難12市町村対象・県策定）</t>
        </is>
      </c>
      <c r="G55" s="12" t="inlineStr">
        <is>
          <t>R5〜R9</t>
        </is>
      </c>
      <c r="H55" s="14" t="n">
        <v>9</v>
      </c>
      <c r="I55" s="14" t="inlineStr">
        <is>
          <t>確認済</t>
        </is>
      </c>
      <c r="J55" s="14" t="inlineStr">
        <is>
          <t>着手済</t>
        </is>
      </c>
      <c r="K55" s="15" t="inlineStr">
        <is>
          <t>https://www.pref.fukushima.lg.jp/sec/16005d/hinan-koutsuu-keikaku.html</t>
        </is>
      </c>
      <c r="L55" s="12" t="n"/>
      <c r="M55" s="12" t="inlineStr">
        <is>
          <t>不明</t>
        </is>
      </c>
      <c r="N55" s="14" t="n"/>
      <c r="O55" s="14" t="inlineStr">
        <is>
          <t>不明</t>
        </is>
      </c>
      <c r="P55" s="14" t="inlineStr">
        <is>
          <t>計画なし</t>
        </is>
      </c>
      <c r="Q55" s="12" t="n"/>
      <c r="R55"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6" t="inlineStr">
        <is>
          <t>調査済</t>
        </is>
      </c>
      <c r="T55" s="12" t="inlineStr">
        <is>
          <t>掲載（広域：福島県避難地域）</t>
        </is>
      </c>
      <c r="U55" s="20" t="inlineStr">
        <is>
          <t>→メモ</t>
        </is>
      </c>
    </row>
    <row r="56">
      <c r="A56" s="12" t="n">
        <v>53</v>
      </c>
      <c r="B56" s="12" t="inlineStr">
        <is>
          <t>川内村</t>
        </is>
      </c>
      <c r="C56" s="13">
        <f>IF(OR(D56="◎",E56="◎"),"◎ 営業",IF(OR(D56="△",E56="△"),"△ 着手済・要確認",IF(OR(D56="？",E56="？"),"？ 期間要確認","✕ 対象外")))</f>
        <v/>
      </c>
      <c r="D56" s="14">
        <f>IF(J56="計画なし","－",IF(J56="策定済","✕",IF(H56="","？",IF(AND(H56&gt;=TGT_MIN,H56&lt;=TGT_MAX),IF(J56="着手済","△","◎"),"✕"))))</f>
        <v/>
      </c>
      <c r="E56" s="14">
        <f>IF(P56="計画なし","－",IF(P56="策定済","✕",IF(N56="","？",IF(AND(N56&gt;=TGT_MIN,N56&lt;=TGT_MAX),IF(P56="着手済","△","◎"),"✕"))))</f>
        <v/>
      </c>
      <c r="F56" s="12" t="inlineStr">
        <is>
          <t>福島県避難地域広域公共交通計画（避難12市町村対象・県策定）</t>
        </is>
      </c>
      <c r="G56" s="12" t="inlineStr">
        <is>
          <t>R5〜R9</t>
        </is>
      </c>
      <c r="H56" s="14" t="n">
        <v>9</v>
      </c>
      <c r="I56" s="14" t="inlineStr">
        <is>
          <t>確認済</t>
        </is>
      </c>
      <c r="J56" s="14" t="inlineStr">
        <is>
          <t>着手済</t>
        </is>
      </c>
      <c r="K56" s="15" t="inlineStr">
        <is>
          <t>https://www.pref.fukushima.lg.jp/sec/16005d/hinan-koutsuu-keikaku.html</t>
        </is>
      </c>
      <c r="L56" s="12" t="n"/>
      <c r="M56" s="12" t="inlineStr">
        <is>
          <t>不明</t>
        </is>
      </c>
      <c r="N56" s="14" t="n"/>
      <c r="O56" s="14" t="inlineStr">
        <is>
          <t>不明</t>
        </is>
      </c>
      <c r="P56" s="14" t="inlineStr">
        <is>
          <t>計画なし</t>
        </is>
      </c>
      <c r="Q56" s="12" t="n"/>
      <c r="R56"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6" t="inlineStr">
        <is>
          <t>調査済</t>
        </is>
      </c>
      <c r="T56" s="12" t="inlineStr">
        <is>
          <t>掲載（広域：福島県避難地域）</t>
        </is>
      </c>
      <c r="U56" s="20" t="inlineStr">
        <is>
          <t>→メモ</t>
        </is>
      </c>
    </row>
    <row r="57">
      <c r="A57" s="12" t="n">
        <v>54</v>
      </c>
      <c r="B57" s="12" t="inlineStr">
        <is>
          <t>大熊町</t>
        </is>
      </c>
      <c r="C57" s="13">
        <f>IF(OR(D57="◎",E57="◎"),"◎ 営業",IF(OR(D57="△",E57="△"),"△ 着手済・要確認",IF(OR(D57="？",E57="？"),"？ 期間要確認","✕ 対象外")))</f>
        <v/>
      </c>
      <c r="D57" s="14">
        <f>IF(J57="計画なし","－",IF(J57="策定済","✕",IF(H57="","？",IF(AND(H57&gt;=TGT_MIN,H57&lt;=TGT_MAX),IF(J57="着手済","△","◎"),"✕"))))</f>
        <v/>
      </c>
      <c r="E57" s="14">
        <f>IF(P57="計画なし","－",IF(P57="策定済","✕",IF(N57="","？",IF(AND(N57&gt;=TGT_MIN,N57&lt;=TGT_MAX),IF(P57="着手済","△","◎"),"✕"))))</f>
        <v/>
      </c>
      <c r="F57" s="12" t="inlineStr">
        <is>
          <t>福島県避難地域広域公共交通計画（避難12市町村対象・県策定）</t>
        </is>
      </c>
      <c r="G57" s="12" t="inlineStr">
        <is>
          <t>R5〜R9</t>
        </is>
      </c>
      <c r="H57" s="14" t="n">
        <v>9</v>
      </c>
      <c r="I57" s="14" t="inlineStr">
        <is>
          <t>確認済</t>
        </is>
      </c>
      <c r="J57" s="14" t="inlineStr">
        <is>
          <t>着手済</t>
        </is>
      </c>
      <c r="K57" s="15" t="inlineStr">
        <is>
          <t>https://www.pref.fukushima.lg.jp/sec/16005d/hinan-koutsuu-keikaku.html</t>
        </is>
      </c>
      <c r="L57" s="12" t="n"/>
      <c r="M57" s="12" t="inlineStr">
        <is>
          <t>不明</t>
        </is>
      </c>
      <c r="N57" s="14" t="n"/>
      <c r="O57" s="14" t="inlineStr">
        <is>
          <t>不明</t>
        </is>
      </c>
      <c r="P57" s="14" t="inlineStr">
        <is>
          <t>計画なし</t>
        </is>
      </c>
      <c r="Q57" s="12" t="n"/>
      <c r="R57"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6" t="inlineStr">
        <is>
          <t>調査済</t>
        </is>
      </c>
      <c r="T57" s="12" t="inlineStr">
        <is>
          <t>掲載（広域：福島県避難地域）</t>
        </is>
      </c>
      <c r="U57" s="20" t="inlineStr">
        <is>
          <t>→メモ</t>
        </is>
      </c>
    </row>
    <row r="58">
      <c r="A58" s="12" t="n">
        <v>55</v>
      </c>
      <c r="B58" s="12" t="inlineStr">
        <is>
          <t>双葉町</t>
        </is>
      </c>
      <c r="C58" s="13">
        <f>IF(OR(D58="◎",E58="◎"),"◎ 営業",IF(OR(D58="△",E58="△"),"△ 着手済・要確認",IF(OR(D58="？",E58="？"),"？ 期間要確認","✕ 対象外")))</f>
        <v/>
      </c>
      <c r="D58" s="14">
        <f>IF(J58="計画なし","－",IF(J58="策定済","✕",IF(H58="","？",IF(AND(H58&gt;=TGT_MIN,H58&lt;=TGT_MAX),IF(J58="着手済","△","◎"),"✕"))))</f>
        <v/>
      </c>
      <c r="E58" s="14">
        <f>IF(P58="計画なし","－",IF(P58="策定済","✕",IF(N58="","？",IF(AND(N58&gt;=TGT_MIN,N58&lt;=TGT_MAX),IF(P58="着手済","△","◎"),"✕"))))</f>
        <v/>
      </c>
      <c r="F58" s="12" t="inlineStr">
        <is>
          <t>福島県避難地域広域公共交通計画（避難12市町村対象・県策定）</t>
        </is>
      </c>
      <c r="G58" s="12" t="inlineStr">
        <is>
          <t>R5〜R9</t>
        </is>
      </c>
      <c r="H58" s="14" t="n">
        <v>9</v>
      </c>
      <c r="I58" s="14" t="inlineStr">
        <is>
          <t>確認済</t>
        </is>
      </c>
      <c r="J58" s="14" t="inlineStr">
        <is>
          <t>着手済</t>
        </is>
      </c>
      <c r="K58" s="15" t="inlineStr">
        <is>
          <t>https://www.pref.fukushima.lg.jp/sec/16005d/hinan-koutsuu-keikaku.html</t>
        </is>
      </c>
      <c r="L58" s="12" t="n"/>
      <c r="M58" s="12" t="inlineStr">
        <is>
          <t>不明</t>
        </is>
      </c>
      <c r="N58" s="14" t="n"/>
      <c r="O58" s="14" t="inlineStr">
        <is>
          <t>不明</t>
        </is>
      </c>
      <c r="P58" s="14" t="inlineStr">
        <is>
          <t>計画なし</t>
        </is>
      </c>
      <c r="Q58" s="12" t="n"/>
      <c r="R58"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6" t="inlineStr">
        <is>
          <t>調査済</t>
        </is>
      </c>
      <c r="T58" s="12" t="inlineStr">
        <is>
          <t>掲載（広域：福島県避難地域）</t>
        </is>
      </c>
      <c r="U58" s="20" t="inlineStr">
        <is>
          <t>→メモ</t>
        </is>
      </c>
    </row>
    <row r="59">
      <c r="A59" s="12" t="n">
        <v>56</v>
      </c>
      <c r="B59" s="12" t="inlineStr">
        <is>
          <t>浪江町</t>
        </is>
      </c>
      <c r="C59" s="13">
        <f>IF(OR(D59="◎",E59="◎"),"◎ 営業",IF(OR(D59="△",E59="△"),"△ 着手済・要確認",IF(OR(D59="？",E59="？"),"？ 期間要確認","✕ 対象外")))</f>
        <v/>
      </c>
      <c r="D59" s="14">
        <f>IF(J59="計画なし","－",IF(J59="策定済","✕",IF(H59="","？",IF(AND(H59&gt;=TGT_MIN,H59&lt;=TGT_MAX),IF(J59="着手済","△","◎"),"✕"))))</f>
        <v/>
      </c>
      <c r="E59" s="14">
        <f>IF(P59="計画なし","－",IF(P59="策定済","✕",IF(N59="","？",IF(AND(N59&gt;=TGT_MIN,N59&lt;=TGT_MAX),IF(P59="着手済","△","◎"),"✕"))))</f>
        <v/>
      </c>
      <c r="F59" s="12" t="inlineStr">
        <is>
          <t>福島県避難地域広域公共交通計画（避難12市町村対象・県策定）</t>
        </is>
      </c>
      <c r="G59" s="12" t="inlineStr">
        <is>
          <t>R5〜R9</t>
        </is>
      </c>
      <c r="H59" s="14" t="n">
        <v>9</v>
      </c>
      <c r="I59" s="14" t="inlineStr">
        <is>
          <t>確認済</t>
        </is>
      </c>
      <c r="J59" s="14" t="inlineStr">
        <is>
          <t>着手済</t>
        </is>
      </c>
      <c r="K59" s="15" t="inlineStr">
        <is>
          <t>https://www.pref.fukushima.lg.jp/sec/16005d/hinan-koutsuu-keikaku.html</t>
        </is>
      </c>
      <c r="L59" s="12" t="n"/>
      <c r="M59" s="12" t="inlineStr">
        <is>
          <t>不明</t>
        </is>
      </c>
      <c r="N59" s="14" t="n"/>
      <c r="O59" s="14" t="inlineStr">
        <is>
          <t>不明</t>
        </is>
      </c>
      <c r="P59" s="14" t="inlineStr">
        <is>
          <t>計画なし</t>
        </is>
      </c>
      <c r="Q59" s="12" t="n"/>
      <c r="R59"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6" t="inlineStr">
        <is>
          <t>調査済</t>
        </is>
      </c>
      <c r="T59" s="12" t="inlineStr">
        <is>
          <t>掲載（広域：福島県避難地域）</t>
        </is>
      </c>
      <c r="U59" s="20" t="inlineStr">
        <is>
          <t>→メモ</t>
        </is>
      </c>
    </row>
    <row r="60">
      <c r="A60" s="12" t="n">
        <v>57</v>
      </c>
      <c r="B60" s="12" t="inlineStr">
        <is>
          <t>葛尾村</t>
        </is>
      </c>
      <c r="C60" s="13">
        <f>IF(OR(D60="◎",E60="◎"),"◎ 営業",IF(OR(D60="△",E60="△"),"△ 着手済・要確認",IF(OR(D60="？",E60="？"),"？ 期間要確認","✕ 対象外")))</f>
        <v/>
      </c>
      <c r="D60" s="14">
        <f>IF(J60="計画なし","－",IF(J60="策定済","✕",IF(H60="","？",IF(AND(H60&gt;=TGT_MIN,H60&lt;=TGT_MAX),IF(J60="着手済","△","◎"),"✕"))))</f>
        <v/>
      </c>
      <c r="E60" s="14">
        <f>IF(P60="計画なし","－",IF(P60="策定済","✕",IF(N60="","？",IF(AND(N60&gt;=TGT_MIN,N60&lt;=TGT_MAX),IF(P60="着手済","△","◎"),"✕"))))</f>
        <v/>
      </c>
      <c r="F60" s="12" t="inlineStr">
        <is>
          <t>福島県避難地域広域公共交通計画（避難12市町村対象・県策定）</t>
        </is>
      </c>
      <c r="G60" s="12" t="inlineStr">
        <is>
          <t>R5〜R9</t>
        </is>
      </c>
      <c r="H60" s="14" t="n">
        <v>9</v>
      </c>
      <c r="I60" s="14" t="inlineStr">
        <is>
          <t>確認済</t>
        </is>
      </c>
      <c r="J60" s="14" t="inlineStr">
        <is>
          <t>着手済</t>
        </is>
      </c>
      <c r="K60" s="15" t="inlineStr">
        <is>
          <t>https://www.pref.fukushima.lg.jp/sec/16005d/hinan-koutsuu-keikaku.html</t>
        </is>
      </c>
      <c r="L60" s="12" t="n"/>
      <c r="M60" s="12" t="inlineStr">
        <is>
          <t>不明</t>
        </is>
      </c>
      <c r="N60" s="14" t="n"/>
      <c r="O60" s="14" t="inlineStr">
        <is>
          <t>不明</t>
        </is>
      </c>
      <c r="P60" s="14" t="inlineStr">
        <is>
          <t>計画なし</t>
        </is>
      </c>
      <c r="Q60" s="12" t="n"/>
      <c r="R60"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6" t="inlineStr">
        <is>
          <t>調査済</t>
        </is>
      </c>
      <c r="T60" s="12" t="inlineStr">
        <is>
          <t>掲載（広域：福島県避難地域）</t>
        </is>
      </c>
      <c r="U60" s="20" t="inlineStr">
        <is>
          <t>→メモ</t>
        </is>
      </c>
    </row>
    <row r="61">
      <c r="A61" s="12" t="n">
        <v>58</v>
      </c>
      <c r="B61" s="12" t="inlineStr">
        <is>
          <t>新地町</t>
        </is>
      </c>
      <c r="C61" s="13">
        <f>IF(OR(D61="◎",E61="◎"),"◎ 営業",IF(OR(D61="△",E61="△"),"△ 着手済・要確認",IF(OR(D61="？",E61="？"),"？ 期間要確認","✕ 対象外")))</f>
        <v/>
      </c>
      <c r="D61" s="14">
        <f>IF(J61="計画なし","－",IF(J61="策定済","✕",IF(H61="","？",IF(AND(H61&gt;=TGT_MIN,H61&lt;=TGT_MAX),IF(J61="着手済","△","◎"),"✕"))))</f>
        <v/>
      </c>
      <c r="E61" s="14">
        <f>IF(P61="計画なし","－",IF(P61="策定済","✕",IF(N61="","？",IF(AND(N61&gt;=TGT_MIN,N61&lt;=TGT_MAX),IF(P61="着手済","△","◎"),"✕"))))</f>
        <v/>
      </c>
      <c r="F61" s="12" t="inlineStr">
        <is>
          <t>福島県地域公共交通計画（県全域）</t>
        </is>
      </c>
      <c r="G61" s="12" t="inlineStr">
        <is>
          <t>R6〜R12</t>
        </is>
      </c>
      <c r="H61" s="14" t="n">
        <v>12</v>
      </c>
      <c r="I61" s="14" t="inlineStr">
        <is>
          <t>確認済</t>
        </is>
      </c>
      <c r="J61" s="14" t="inlineStr">
        <is>
          <t>未確認</t>
        </is>
      </c>
      <c r="K61" s="15" t="inlineStr">
        <is>
          <t>https://www.pref.fukushima.lg.jp/sec/16005d/chiikikoukyoukasseikakyougikai.html</t>
        </is>
      </c>
      <c r="L61" s="12" t="n"/>
      <c r="M61" s="12" t="inlineStr">
        <is>
          <t>不明</t>
        </is>
      </c>
      <c r="N61" s="14" t="n"/>
      <c r="O61" s="14" t="inlineStr">
        <is>
          <t>不明</t>
        </is>
      </c>
      <c r="P61" s="14" t="inlineStr">
        <is>
          <t>計画なし</t>
        </is>
      </c>
      <c r="Q61" s="12" t="n"/>
      <c r="R61" s="12"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6" t="inlineStr">
        <is>
          <t>調査済</t>
        </is>
      </c>
      <c r="T61" s="18" t="inlineStr">
        <is>
          <t>未掲載【当方は計画あり】</t>
        </is>
      </c>
    </row>
    <row r="62">
      <c r="A62" s="12" t="n">
        <v>59</v>
      </c>
      <c r="B62" s="12" t="inlineStr">
        <is>
          <t>飯舘村</t>
        </is>
      </c>
      <c r="C62" s="13">
        <f>IF(OR(D62="◎",E62="◎"),"◎ 営業",IF(OR(D62="△",E62="△"),"△ 着手済・要確認",IF(OR(D62="？",E62="？"),"？ 期間要確認","✕ 対象外")))</f>
        <v/>
      </c>
      <c r="D62" s="14">
        <f>IF(J62="計画なし","－",IF(J62="策定済","✕",IF(H62="","？",IF(AND(H62&gt;=TGT_MIN,H62&lt;=TGT_MAX),IF(J62="着手済","△","◎"),"✕"))))</f>
        <v/>
      </c>
      <c r="E62" s="14">
        <f>IF(P62="計画なし","－",IF(P62="策定済","✕",IF(N62="","？",IF(AND(N62&gt;=TGT_MIN,N62&lt;=TGT_MAX),IF(P62="着手済","△","◎"),"✕"))))</f>
        <v/>
      </c>
      <c r="F62" s="12" t="inlineStr">
        <is>
          <t>福島県避難地域広域公共交通計画（避難12市町村対象・県策定）</t>
        </is>
      </c>
      <c r="G62" s="12" t="inlineStr">
        <is>
          <t>R5〜R9</t>
        </is>
      </c>
      <c r="H62" s="14" t="n">
        <v>9</v>
      </c>
      <c r="I62" s="14" t="inlineStr">
        <is>
          <t>確認済</t>
        </is>
      </c>
      <c r="J62" s="14" t="inlineStr">
        <is>
          <t>着手済</t>
        </is>
      </c>
      <c r="K62" s="15" t="inlineStr">
        <is>
          <t>https://www.pref.fukushima.lg.jp/sec/16005d/hinan-koutsuu-keikaku.html</t>
        </is>
      </c>
      <c r="L62" s="12" t="n"/>
      <c r="M62" s="12" t="inlineStr">
        <is>
          <t>不明</t>
        </is>
      </c>
      <c r="N62" s="14" t="n"/>
      <c r="O62" s="14" t="inlineStr">
        <is>
          <t>不明</t>
        </is>
      </c>
      <c r="P62" s="14" t="inlineStr">
        <is>
          <t>計画なし</t>
        </is>
      </c>
      <c r="Q62" s="12" t="n"/>
      <c r="R62" s="12"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6" t="inlineStr">
        <is>
          <t>調査済</t>
        </is>
      </c>
      <c r="T62" s="12" t="inlineStr">
        <is>
          <t>掲載（広域：福島県避難地域）</t>
        </is>
      </c>
      <c r="U62" s="20" t="inlineStr">
        <is>
          <t>→メモ</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20" display="→メモ"/>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ref="U19" location="'営業メモ'!C22" display="→メモ"/>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ref="U45" location="'営業メモ'!C21" display="→メモ"/>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ref="U53" location="'営業メモ'!C22" display="→メモ"/>
    <hyperlink xmlns:r="http://schemas.openxmlformats.org/officeDocument/2006/relationships" ref="K54" r:id="rId52"/>
    <hyperlink ref="U54" location="'営業メモ'!C22" display="→メモ"/>
    <hyperlink xmlns:r="http://schemas.openxmlformats.org/officeDocument/2006/relationships" ref="K55" r:id="rId53"/>
    <hyperlink ref="U55" location="'営業メモ'!C22" display="→メモ"/>
    <hyperlink xmlns:r="http://schemas.openxmlformats.org/officeDocument/2006/relationships" ref="K56" r:id="rId54"/>
    <hyperlink ref="U56" location="'営業メモ'!C22" display="→メモ"/>
    <hyperlink xmlns:r="http://schemas.openxmlformats.org/officeDocument/2006/relationships" ref="K57" r:id="rId55"/>
    <hyperlink ref="U57" location="'営業メモ'!C22" display="→メモ"/>
    <hyperlink xmlns:r="http://schemas.openxmlformats.org/officeDocument/2006/relationships" ref="K58" r:id="rId56"/>
    <hyperlink ref="U58" location="'営業メモ'!C22" display="→メモ"/>
    <hyperlink xmlns:r="http://schemas.openxmlformats.org/officeDocument/2006/relationships" ref="K59" r:id="rId57"/>
    <hyperlink ref="U59" location="'営業メモ'!C22" display="→メモ"/>
    <hyperlink xmlns:r="http://schemas.openxmlformats.org/officeDocument/2006/relationships" ref="K60" r:id="rId58"/>
    <hyperlink ref="U60" location="'営業メモ'!C22" display="→メモ"/>
    <hyperlink xmlns:r="http://schemas.openxmlformats.org/officeDocument/2006/relationships" ref="K61" r:id="rId59"/>
    <hyperlink xmlns:r="http://schemas.openxmlformats.org/officeDocument/2006/relationships" ref="K62" r:id="rId60"/>
    <hyperlink ref="U62" location="'営業メモ'!C22" display="→メモ"/>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茨城県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水戸市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水戸市地域公共交通計画</t>
        </is>
      </c>
      <c r="G4" s="12" t="inlineStr">
        <is>
          <t>R6〜R10</t>
        </is>
      </c>
      <c r="H4" s="14" t="n">
        <v>10</v>
      </c>
      <c r="I4" s="14" t="inlineStr">
        <is>
          <t>確認済</t>
        </is>
      </c>
      <c r="J4" s="14" t="inlineStr">
        <is>
          <t>未確認</t>
        </is>
      </c>
      <c r="K4" s="15" t="inlineStr">
        <is>
          <t>https://www.city.mito.lg.jp/page/117784.html</t>
        </is>
      </c>
      <c r="L4" s="12" t="inlineStr">
        <is>
          <t>水戸市環境基本計画（第3次）</t>
        </is>
      </c>
      <c r="M4" s="12" t="inlineStr">
        <is>
          <t>R7〜R16（推定）</t>
        </is>
      </c>
      <c r="N4" s="17" t="n">
        <v>16</v>
      </c>
      <c r="O4" s="14" t="inlineStr">
        <is>
          <t>推定</t>
        </is>
      </c>
      <c r="P4" s="14" t="inlineStr">
        <is>
          <t>未確認</t>
        </is>
      </c>
      <c r="Q4" s="15" t="inlineStr">
        <is>
          <t>https://www.city.mito.lg.jp/page/3982.html</t>
        </is>
      </c>
      <c r="R4" s="12"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6" t="inlineStr">
        <is>
          <t>調査済</t>
        </is>
      </c>
      <c r="T4" s="12" t="inlineStr">
        <is>
          <t>掲載</t>
        </is>
      </c>
    </row>
    <row r="5">
      <c r="A5" s="12" t="n">
        <v>2</v>
      </c>
      <c r="B5" s="12" t="inlineStr">
        <is>
          <t>日立市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日立市地域公共交通計画</t>
        </is>
      </c>
      <c r="G5" s="12" t="inlineStr">
        <is>
          <t>R6〜R10</t>
        </is>
      </c>
      <c r="H5" s="14" t="n">
        <v>10</v>
      </c>
      <c r="I5" s="14" t="inlineStr">
        <is>
          <t>確認済</t>
        </is>
      </c>
      <c r="J5" s="14" t="inlineStr">
        <is>
          <t>未確認</t>
        </is>
      </c>
      <c r="K5" s="15" t="inlineStr">
        <is>
          <t>https://www.city.hitachi.lg.jp/machizukuri_kankyo/kotsu_doro/1002832/1012175.html</t>
        </is>
      </c>
      <c r="L5" s="12" t="inlineStr">
        <is>
          <t>第4次日立市環境基本計画</t>
        </is>
      </c>
      <c r="M5" s="12" t="inlineStr">
        <is>
          <t>R5〜R12</t>
        </is>
      </c>
      <c r="N5" s="14" t="n">
        <v>12</v>
      </c>
      <c r="O5" s="14" t="inlineStr">
        <is>
          <t>確認済</t>
        </is>
      </c>
      <c r="P5" s="14" t="inlineStr">
        <is>
          <t>未確認</t>
        </is>
      </c>
      <c r="Q5" s="15" t="inlineStr">
        <is>
          <t>https://www.city.hitachi.lg.jp/_res/projects/default_project/_page_/001/011/987/keikakuhonpen.pdf</t>
        </is>
      </c>
      <c r="R5" s="12"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6" t="inlineStr">
        <is>
          <t>調査済</t>
        </is>
      </c>
      <c r="T5" s="12" t="inlineStr">
        <is>
          <t>掲載</t>
        </is>
      </c>
    </row>
    <row r="6">
      <c r="A6" s="12" t="n">
        <v>3</v>
      </c>
      <c r="B6" s="12" t="inlineStr">
        <is>
          <t>土浦市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土浦市地域公共交通計画</t>
        </is>
      </c>
      <c r="G6" s="12" t="inlineStr">
        <is>
          <t>R4〜R8</t>
        </is>
      </c>
      <c r="H6" s="17" t="n">
        <v>8</v>
      </c>
      <c r="I6" s="14" t="inlineStr">
        <is>
          <t>推定</t>
        </is>
      </c>
      <c r="J6" s="14" t="inlineStr">
        <is>
          <t>未確認</t>
        </is>
      </c>
      <c r="K6" s="15" t="inlineStr">
        <is>
          <t>https://www.city.tsuchiura.lg.jp/page/page009677.html</t>
        </is>
      </c>
      <c r="L6" s="12" t="inlineStr">
        <is>
          <t>第三期土浦市環境基本計画</t>
        </is>
      </c>
      <c r="M6" s="12" t="inlineStr">
        <is>
          <t>R4〜R13</t>
        </is>
      </c>
      <c r="N6" s="14" t="n">
        <v>13</v>
      </c>
      <c r="O6" s="14" t="inlineStr">
        <is>
          <t>確認済</t>
        </is>
      </c>
      <c r="P6" s="14" t="inlineStr">
        <is>
          <t>未確認</t>
        </is>
      </c>
      <c r="Q6" s="15" t="inlineStr">
        <is>
          <t>https://www.city.tsuchiura.lg.jp/shisei/shinokeikaku/kankyo-kotsu-machizukuri/page017189.html</t>
        </is>
      </c>
      <c r="R6" s="12" t="inlineStr">
        <is>
          <t>交通計画はR4年3月策定（網形成計画の後継）。期間R4〜R8は5年と推定（検索要約で示唆されたが原文未確認）。R8終了なら次期計画作業が今年度進行中の可能性大だが、検索上限到達のため未確認。要確認。</t>
        </is>
      </c>
      <c r="S6" s="16" t="inlineStr">
        <is>
          <t>調査済</t>
        </is>
      </c>
      <c r="T6" s="12" t="inlineStr">
        <is>
          <t>掲載</t>
        </is>
      </c>
    </row>
    <row r="7">
      <c r="A7" s="12" t="n">
        <v>4</v>
      </c>
      <c r="B7" s="12" t="inlineStr">
        <is>
          <t>古河市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古河市地域公共交通計画</t>
        </is>
      </c>
      <c r="G7" s="12" t="inlineStr">
        <is>
          <t>R6〜R10</t>
        </is>
      </c>
      <c r="H7" s="14" t="n">
        <v>10</v>
      </c>
      <c r="I7" s="14" t="inlineStr">
        <is>
          <t>確認済</t>
        </is>
      </c>
      <c r="J7" s="14" t="inlineStr">
        <is>
          <t>未確認</t>
        </is>
      </c>
      <c r="K7" s="15" t="inlineStr">
        <is>
          <t>https://www.city.ibaraki-koga.lg.jp/material/files/group/80/kogasikoukyoukoutuukeikaku2.pdf</t>
        </is>
      </c>
      <c r="L7" s="12" t="inlineStr">
        <is>
          <t>第2次古河市環境基本計画</t>
        </is>
      </c>
      <c r="M7" s="12" t="inlineStr">
        <is>
          <t>R4〜R13</t>
        </is>
      </c>
      <c r="N7" s="14" t="n">
        <v>13</v>
      </c>
      <c r="O7" s="14" t="inlineStr">
        <is>
          <t>確認済</t>
        </is>
      </c>
      <c r="P7" s="14" t="inlineStr">
        <is>
          <t>未確認</t>
        </is>
      </c>
      <c r="Q7" s="15" t="inlineStr">
        <is>
          <t>https://www.city.ibaraki-koga.lg.jp/material/files/group/21/kankyoukeikakuhyousi.pdf</t>
        </is>
      </c>
      <c r="R7" s="12"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6" t="inlineStr">
        <is>
          <t>調査済</t>
        </is>
      </c>
      <c r="T7" s="12" t="inlineStr">
        <is>
          <t>掲載</t>
        </is>
      </c>
    </row>
    <row r="8">
      <c r="A8" s="12" t="n">
        <v>5</v>
      </c>
      <c r="B8" s="12" t="inlineStr">
        <is>
          <t>石岡市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石岡市地域公共交通計画</t>
        </is>
      </c>
      <c r="G8" s="12" t="inlineStr">
        <is>
          <t>R6〜R10</t>
        </is>
      </c>
      <c r="H8" s="14" t="n">
        <v>10</v>
      </c>
      <c r="I8" s="14" t="inlineStr">
        <is>
          <t>確認済</t>
        </is>
      </c>
      <c r="J8" s="14" t="inlineStr">
        <is>
          <t>未確認</t>
        </is>
      </c>
      <c r="K8" s="15" t="inlineStr">
        <is>
          <t>https://www.city.ishioka.lg.jp/data/doc/1712650110_doc_103_0.pdf</t>
        </is>
      </c>
      <c r="L8" s="12" t="inlineStr">
        <is>
          <t>石岡市環境基本計画（いしおかスタイル）</t>
        </is>
      </c>
      <c r="M8" s="12" t="inlineStr">
        <is>
          <t>R4〜R13</t>
        </is>
      </c>
      <c r="N8" s="14" t="n">
        <v>13</v>
      </c>
      <c r="O8" s="14" t="inlineStr">
        <is>
          <t>確認済</t>
        </is>
      </c>
      <c r="P8" s="14" t="inlineStr">
        <is>
          <t>未確認</t>
        </is>
      </c>
      <c r="Q8" s="15" t="inlineStr">
        <is>
          <t>https://www.city.ishioka.lg.jp/data/doc/1749196597_doc_45_0.pdf</t>
        </is>
      </c>
      <c r="R8" s="12" t="inlineStr">
        <is>
          <t>交通計画は網形成計画(H31.3策定,〜R5)の後継でR6〜R10。環境基本計画はR4〜R13の10年（前計画H25.3）。URLは検索結果上位の市PDFで、どのファイルが計画本体かは要確認。R9終了ではない。</t>
        </is>
      </c>
      <c r="S8" s="16" t="inlineStr">
        <is>
          <t>調査済</t>
        </is>
      </c>
      <c r="T8" s="12" t="inlineStr">
        <is>
          <t>掲載</t>
        </is>
      </c>
    </row>
    <row r="9">
      <c r="A9" s="12" t="n">
        <v>6</v>
      </c>
      <c r="B9" s="12" t="inlineStr">
        <is>
          <t>結城市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結城市地域公共交通計画</t>
        </is>
      </c>
      <c r="G9" s="12" t="inlineStr">
        <is>
          <t>R4〜R8</t>
        </is>
      </c>
      <c r="H9" s="14" t="n">
        <v>8</v>
      </c>
      <c r="I9" s="14" t="inlineStr">
        <is>
          <t>確認済</t>
        </is>
      </c>
      <c r="J9" s="14" t="inlineStr">
        <is>
          <t>着手済</t>
        </is>
      </c>
      <c r="K9" s="15" t="inlineStr">
        <is>
          <t>https://www.city.yuki.lg.jp/shisei/keikaku/keikaku-gaiyou/page007919.html</t>
        </is>
      </c>
      <c r="L9" s="12" t="inlineStr">
        <is>
          <t>第2次結城市環境基本計画</t>
        </is>
      </c>
      <c r="M9" s="12" t="inlineStr">
        <is>
          <t>R3〜R12</t>
        </is>
      </c>
      <c r="N9" s="14" t="n">
        <v>12</v>
      </c>
      <c r="O9" s="14" t="inlineStr">
        <is>
          <t>確認済</t>
        </is>
      </c>
      <c r="P9" s="14" t="inlineStr">
        <is>
          <t>未確認</t>
        </is>
      </c>
      <c r="Q9" s="15" t="inlineStr">
        <is>
          <t>https://www.city.yuki.lg.jp/shisei/publiccomment/r02/page006785.html</t>
        </is>
      </c>
      <c r="R9" s="12"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6" t="inlineStr">
        <is>
          <t>調査済</t>
        </is>
      </c>
      <c r="T9" s="12" t="inlineStr">
        <is>
          <t>掲載</t>
        </is>
      </c>
    </row>
    <row r="10">
      <c r="A10" s="12" t="n">
        <v>7</v>
      </c>
      <c r="B10" s="12" t="inlineStr">
        <is>
          <t>龍ケ崎市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龍ケ崎市地域公共交通計画</t>
        </is>
      </c>
      <c r="G10" s="12" t="inlineStr">
        <is>
          <t>R5〜R11</t>
        </is>
      </c>
      <c r="H10" s="14" t="n">
        <v>11</v>
      </c>
      <c r="I10" s="14" t="inlineStr">
        <is>
          <t>確認済</t>
        </is>
      </c>
      <c r="J10" s="14" t="inlineStr">
        <is>
          <t>未確認</t>
        </is>
      </c>
      <c r="K10" s="15" t="inlineStr">
        <is>
          <t>https://www.city.ryugasaki.ibaraki.jp/kurashi/seikatsu/kokyokotsu/keikaku/20220329131428914.files/01.pdf</t>
        </is>
      </c>
      <c r="L10" s="12" t="inlineStr">
        <is>
          <t>龍ケ崎市第2次環境基本計画</t>
        </is>
      </c>
      <c r="M10" s="12" t="inlineStr">
        <is>
          <t>H29〜R8</t>
        </is>
      </c>
      <c r="N10" s="14" t="n">
        <v>8</v>
      </c>
      <c r="O10" s="14" t="inlineStr">
        <is>
          <t>確認済</t>
        </is>
      </c>
      <c r="P10" s="14" t="inlineStr">
        <is>
          <t>着手済</t>
        </is>
      </c>
      <c r="Q10" s="15" t="inlineStr">
        <is>
          <t>https://www.city.ryugasaki.ibaraki.jp/kurashi/kankyo/kankyo/kankyohakusyo/r7-kakyohakusyo.files/R7kankyo-hakusyo.pdf</t>
        </is>
      </c>
      <c r="R10" s="12"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6" t="inlineStr">
        <is>
          <t>調査済</t>
        </is>
      </c>
      <c r="T10" s="12" t="inlineStr">
        <is>
          <t>掲載</t>
        </is>
      </c>
    </row>
    <row r="11">
      <c r="A11" s="12" t="n">
        <v>8</v>
      </c>
      <c r="B11" s="12" t="inlineStr">
        <is>
          <t>下妻市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下妻市地域公共交通網形成計画（現行計画不明）</t>
        </is>
      </c>
      <c r="G11" s="12" t="inlineStr">
        <is>
          <t>不明</t>
        </is>
      </c>
      <c r="H11" s="14" t="n"/>
      <c r="I11" s="14" t="inlineStr">
        <is>
          <t>不明</t>
        </is>
      </c>
      <c r="J11" s="14" t="inlineStr">
        <is>
          <t>未確認</t>
        </is>
      </c>
      <c r="K11" s="12" t="n"/>
      <c r="L11" s="12" t="inlineStr">
        <is>
          <t>第2次下妻市環境基本計画（地球温暖化対策実行計画〔事務事業編・区域施策編〕を包含）</t>
        </is>
      </c>
      <c r="M11" s="12" t="inlineStr">
        <is>
          <t>不明</t>
        </is>
      </c>
      <c r="N11" s="14" t="n"/>
      <c r="O11" s="14" t="inlineStr">
        <is>
          <t>不明</t>
        </is>
      </c>
      <c r="P11" s="14" t="inlineStr">
        <is>
          <t>未確認</t>
        </is>
      </c>
      <c r="Q11" s="12" t="n"/>
      <c r="R11" s="12"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6" t="inlineStr">
        <is>
          <t>調査済</t>
        </is>
      </c>
      <c r="T11" s="12" t="inlineStr">
        <is>
          <t>掲載</t>
        </is>
      </c>
    </row>
    <row r="12">
      <c r="A12" s="12" t="n">
        <v>9</v>
      </c>
      <c r="B12" s="12" t="inlineStr">
        <is>
          <t>常総市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常総市地域公共交通計画</t>
        </is>
      </c>
      <c r="G12" s="12" t="inlineStr">
        <is>
          <t>不明</t>
        </is>
      </c>
      <c r="H12" s="14" t="n"/>
      <c r="I12" s="14" t="inlineStr">
        <is>
          <t>不明</t>
        </is>
      </c>
      <c r="J12" s="14" t="inlineStr">
        <is>
          <t>未確認</t>
        </is>
      </c>
      <c r="K12" s="12" t="n"/>
      <c r="L12" s="12" t="inlineStr">
        <is>
          <t>常総市環境基本計画</t>
        </is>
      </c>
      <c r="M12" s="12" t="inlineStr">
        <is>
          <t>H30〜（期間不明）</t>
        </is>
      </c>
      <c r="N12" s="14" t="n"/>
      <c r="O12" s="14" t="inlineStr">
        <is>
          <t>不明</t>
        </is>
      </c>
      <c r="P12" s="14" t="inlineStr">
        <is>
          <t>未確認</t>
        </is>
      </c>
      <c r="Q12" s="12" t="n"/>
      <c r="R12" s="12"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6" t="inlineStr">
        <is>
          <t>調査済</t>
        </is>
      </c>
      <c r="T12" s="12" t="inlineStr">
        <is>
          <t>掲載</t>
        </is>
      </c>
    </row>
    <row r="13">
      <c r="A13" s="12" t="n">
        <v>10</v>
      </c>
      <c r="B13" s="12" t="inlineStr">
        <is>
          <t>常陸太田市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常陸太田市地域公共交通計画</t>
        </is>
      </c>
      <c r="G13" s="12" t="inlineStr">
        <is>
          <t>R4〜R8（推定）</t>
        </is>
      </c>
      <c r="H13" s="17" t="n">
        <v>8</v>
      </c>
      <c r="I13" s="14" t="inlineStr">
        <is>
          <t>推定</t>
        </is>
      </c>
      <c r="J13" s="14" t="inlineStr">
        <is>
          <t>着手済</t>
        </is>
      </c>
      <c r="K13" s="15" t="inlineStr">
        <is>
          <t>https://www.city.hitachiota.ibaraki.jp/data/doc/1651137157_doc_40_0.pdf</t>
        </is>
      </c>
      <c r="L13" s="12" t="inlineStr">
        <is>
          <t>第4次常陸太田市環境基本計画</t>
        </is>
      </c>
      <c r="M13" s="12" t="inlineStr">
        <is>
          <t>R6〜R10</t>
        </is>
      </c>
      <c r="N13" s="14" t="n">
        <v>10</v>
      </c>
      <c r="O13" s="14" t="inlineStr">
        <is>
          <t>確認済</t>
        </is>
      </c>
      <c r="P13" s="14" t="inlineStr">
        <is>
          <t>未確認</t>
        </is>
      </c>
      <c r="Q13" s="15" t="inlineStr">
        <is>
          <t>https://www.city.hitachiota.ibaraki.jp/page/page009600.html</t>
        </is>
      </c>
      <c r="R13" s="12"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6" t="inlineStr">
        <is>
          <t>調査済</t>
        </is>
      </c>
      <c r="T13" s="12" t="inlineStr">
        <is>
          <t>掲載</t>
        </is>
      </c>
    </row>
    <row r="14">
      <c r="A14" s="12" t="n">
        <v>11</v>
      </c>
      <c r="B14" s="12" t="inlineStr">
        <is>
          <t>高萩市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高萩市地域公共交通計画</t>
        </is>
      </c>
      <c r="G14" s="12" t="inlineStr">
        <is>
          <t>不明</t>
        </is>
      </c>
      <c r="H14" s="14" t="n"/>
      <c r="I14" s="14" t="inlineStr">
        <is>
          <t>不明</t>
        </is>
      </c>
      <c r="J14" s="14" t="inlineStr">
        <is>
          <t>未確認</t>
        </is>
      </c>
      <c r="K14" s="15" t="inlineStr">
        <is>
          <t>https://www.city.takahagi.ibaraki.jp/kurashi/koutsu/page005493.html</t>
        </is>
      </c>
      <c r="L14" s="12" t="inlineStr">
        <is>
          <t>第2次高萩市環境基本計画</t>
        </is>
      </c>
      <c r="M14" s="12" t="inlineStr">
        <is>
          <t>R3〜R12</t>
        </is>
      </c>
      <c r="N14" s="14" t="n">
        <v>12</v>
      </c>
      <c r="O14" s="14" t="inlineStr">
        <is>
          <t>確認済</t>
        </is>
      </c>
      <c r="P14" s="14" t="inlineStr">
        <is>
          <t>未確認</t>
        </is>
      </c>
      <c r="Q14" s="15" t="inlineStr">
        <is>
          <t>https://www.city.takahagi.ibaraki.jp/kurashi/sumai/kankyou/ondanka/page004519.html</t>
        </is>
      </c>
      <c r="R14" s="12"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6" t="inlineStr">
        <is>
          <t>調査済</t>
        </is>
      </c>
      <c r="T14" s="12" t="inlineStr">
        <is>
          <t>掲載</t>
        </is>
      </c>
    </row>
    <row r="15">
      <c r="A15" s="12" t="n">
        <v>12</v>
      </c>
      <c r="B15" s="12" t="inlineStr">
        <is>
          <t>北茨城市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北茨城市地域公共交通計画</t>
        </is>
      </c>
      <c r="G15" s="12" t="inlineStr">
        <is>
          <t>R6〜R10</t>
        </is>
      </c>
      <c r="H15" s="14" t="n">
        <v>10</v>
      </c>
      <c r="I15" s="14" t="inlineStr">
        <is>
          <t>確認済</t>
        </is>
      </c>
      <c r="J15" s="14" t="inlineStr">
        <is>
          <t>未確認</t>
        </is>
      </c>
      <c r="K15" s="15" t="inlineStr">
        <is>
          <t>https://www.city.kitaibaraki.lg.jp/docs/2024013000015</t>
        </is>
      </c>
      <c r="L15" s="12" t="inlineStr">
        <is>
          <t>第2次北茨城市環境基本計画</t>
        </is>
      </c>
      <c r="M15" s="12" t="inlineStr">
        <is>
          <t>R7〜R16</t>
        </is>
      </c>
      <c r="N15" s="14" t="n">
        <v>16</v>
      </c>
      <c r="O15" s="14" t="inlineStr">
        <is>
          <t>確認済</t>
        </is>
      </c>
      <c r="P15" s="14" t="inlineStr">
        <is>
          <t>策定済</t>
        </is>
      </c>
      <c r="Q15" s="15" t="inlineStr">
        <is>
          <t>https://cms.city.kitaibaraki.lg.jp/docs/2025060500022/file_contents/file_20256113161234_1.pdf</t>
        </is>
      </c>
      <c r="R15" s="12"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6" t="inlineStr">
        <is>
          <t>調査済</t>
        </is>
      </c>
      <c r="T15" s="12" t="inlineStr">
        <is>
          <t>掲載</t>
        </is>
      </c>
    </row>
    <row r="16">
      <c r="A16" s="12" t="n">
        <v>13</v>
      </c>
      <c r="B16" s="12" t="inlineStr">
        <is>
          <t>笠間市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笠間市地域公共交通計画</t>
        </is>
      </c>
      <c r="G16" s="12" t="inlineStr">
        <is>
          <t>R7〜R11</t>
        </is>
      </c>
      <c r="H16" s="14" t="n">
        <v>11</v>
      </c>
      <c r="I16" s="14" t="inlineStr">
        <is>
          <t>確認済</t>
        </is>
      </c>
      <c r="J16" s="14" t="inlineStr">
        <is>
          <t>策定済</t>
        </is>
      </c>
      <c r="K16" s="15" t="inlineStr">
        <is>
          <t>https://www.city.kasama.lg.jp/data/doc/1758843883_doc_70_0.pdf</t>
        </is>
      </c>
      <c r="L16" s="12" t="inlineStr">
        <is>
          <t>第3次笠間市環境基本計画</t>
        </is>
      </c>
      <c r="M16" s="12" t="inlineStr">
        <is>
          <t>R8〜R12</t>
        </is>
      </c>
      <c r="N16" s="14" t="n">
        <v>12</v>
      </c>
      <c r="O16" s="14" t="inlineStr">
        <is>
          <t>確認済</t>
        </is>
      </c>
      <c r="P16" s="14" t="inlineStr">
        <is>
          <t>策定済</t>
        </is>
      </c>
      <c r="Q16" s="15" t="inlineStr">
        <is>
          <t>https://www.city.kasama.lg.jp/data/doc/1774510801_doc_207_0.pdf</t>
        </is>
      </c>
      <c r="R16" s="12" t="inlineStr">
        <is>
          <t>交通計画はR7年7月策定(2025〜2029年度)。環境基本計画第3次はR8年3月策定。いずれもPDF URLは検索結果上のもので本文の同定は未検証(取得ブロック)。</t>
        </is>
      </c>
      <c r="S16" s="16" t="inlineStr">
        <is>
          <t>調査済</t>
        </is>
      </c>
      <c r="T16" s="18" t="inlineStr">
        <is>
          <t>未掲載【当方は計画あり】</t>
        </is>
      </c>
    </row>
    <row r="17">
      <c r="A17" s="12" t="n">
        <v>14</v>
      </c>
      <c r="B17" s="12" t="inlineStr">
        <is>
          <t>取手市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取手市地域公共交通計画</t>
        </is>
      </c>
      <c r="G17" s="12" t="inlineStr">
        <is>
          <t>不明</t>
        </is>
      </c>
      <c r="H17" s="14" t="n"/>
      <c r="I17" s="14" t="inlineStr">
        <is>
          <t>不明</t>
        </is>
      </c>
      <c r="J17" s="14" t="inlineStr">
        <is>
          <t>未確認</t>
        </is>
      </c>
      <c r="K17" s="15" t="inlineStr">
        <is>
          <t>https://www.city.toride.ibaraki.jp/seisaku/shise/machizukuri/sogo/plan2024/kanrenkeikaku.html</t>
        </is>
      </c>
      <c r="L17" s="12" t="inlineStr">
        <is>
          <t>第二次取手市環境基本計画</t>
        </is>
      </c>
      <c r="M17" s="12" t="inlineStr">
        <is>
          <t>R1〜R10</t>
        </is>
      </c>
      <c r="N17" s="14" t="n">
        <v>10</v>
      </c>
      <c r="O17" s="14" t="inlineStr">
        <is>
          <t>確認済</t>
        </is>
      </c>
      <c r="P17" s="14" t="inlineStr">
        <is>
          <t>未確認</t>
        </is>
      </c>
      <c r="Q17" s="15" t="inlineStr">
        <is>
          <t>https://www.city.toride.ibaraki.jp/seisaku/shise/machizukuri/sogo/plan2024/documents/33dai2jikannkyoukihonkeikaku.pdf</t>
        </is>
      </c>
      <c r="R17" s="12" t="inlineStr">
        <is>
          <t>交通計画は総合計画関連計画ページで存在のみ確認、期間不明(t_urlは関連計画一覧ページ)。環境基本計画は2019〜2028年度(2024年度中間見直し予定)。区域施策編R5〜R12あり。緑の基本計画R8.3改訂。</t>
        </is>
      </c>
      <c r="S17" s="16" t="inlineStr">
        <is>
          <t>調査済</t>
        </is>
      </c>
      <c r="T17" s="12" t="inlineStr">
        <is>
          <t>掲載</t>
        </is>
      </c>
    </row>
    <row r="18">
      <c r="A18" s="12" t="n">
        <v>15</v>
      </c>
      <c r="B18" s="12" t="inlineStr">
        <is>
          <t>牛久市</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第2次牛久市地域公共交通計画</t>
        </is>
      </c>
      <c r="G18" s="12" t="inlineStr">
        <is>
          <t>R8〜R11</t>
        </is>
      </c>
      <c r="H18" s="14" t="n">
        <v>11</v>
      </c>
      <c r="I18" s="14" t="inlineStr">
        <is>
          <t>確認済</t>
        </is>
      </c>
      <c r="J18" s="14" t="inlineStr">
        <is>
          <t>策定済</t>
        </is>
      </c>
      <c r="K18" s="15" t="inlineStr">
        <is>
          <t>https://www.city.ushiku.lg.jp/kurashi-tetsuduki/seikatsu/kokyokotsu/page014651.html</t>
        </is>
      </c>
      <c r="L18" s="12" t="inlineStr">
        <is>
          <t>牛久市第4期環境基本計画</t>
        </is>
      </c>
      <c r="M18" s="12" t="inlineStr">
        <is>
          <t>R4〜R8</t>
        </is>
      </c>
      <c r="N18" s="14" t="n">
        <v>8</v>
      </c>
      <c r="O18" s="14" t="inlineStr">
        <is>
          <t>確認済</t>
        </is>
      </c>
      <c r="P18" s="14" t="inlineStr">
        <is>
          <t>未確認</t>
        </is>
      </c>
      <c r="Q18" s="15" t="inlineStr">
        <is>
          <t>https://www.city.ushiku.lg.jp/page/page002088.html</t>
        </is>
      </c>
      <c r="R18" s="12" t="inlineStr">
        <is>
          <t>交通計画第2次は素案R8.1→策定済(R8〜R11)、R8.10バス路線再編予定。環境基本計画(第4期)はR8年度末で終了→第5期策定作業がR8年度進行中の可能性大だが検索上限で未確認。e_urlは環境政策課ページ。</t>
        </is>
      </c>
      <c r="S18" s="16" t="inlineStr">
        <is>
          <t>調査済</t>
        </is>
      </c>
      <c r="T18" s="12" t="inlineStr">
        <is>
          <t>掲載</t>
        </is>
      </c>
    </row>
    <row r="19">
      <c r="A19" s="12" t="n">
        <v>16</v>
      </c>
      <c r="B19" s="12" t="inlineStr">
        <is>
          <t>つくば市</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第2次つくば市地域公共交通計画</t>
        </is>
      </c>
      <c r="G19" s="12" t="inlineStr">
        <is>
          <t>R8〜R12</t>
        </is>
      </c>
      <c r="H19" s="14" t="n">
        <v>12</v>
      </c>
      <c r="I19" s="14" t="inlineStr">
        <is>
          <t>確認済</t>
        </is>
      </c>
      <c r="J19" s="14" t="inlineStr">
        <is>
          <t>策定済</t>
        </is>
      </c>
      <c r="K19" s="12" t="n"/>
      <c r="L19" s="12" t="inlineStr">
        <is>
          <t>第3次つくば市環境基本計画</t>
        </is>
      </c>
      <c r="M19" s="12" t="inlineStr">
        <is>
          <t>R2〜R11</t>
        </is>
      </c>
      <c r="N19" s="14" t="n">
        <v>11</v>
      </c>
      <c r="O19" s="14" t="inlineStr">
        <is>
          <t>確認済</t>
        </is>
      </c>
      <c r="P19" s="14" t="inlineStr">
        <is>
          <t>未確認</t>
        </is>
      </c>
      <c r="Q19" s="15" t="inlineStr">
        <is>
          <t>https://www.city.tsukuba.lg.jp/material/files/group/137/3honpen.pdf</t>
        </is>
      </c>
      <c r="R19" s="12"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6" t="inlineStr">
        <is>
          <t>調査済</t>
        </is>
      </c>
      <c r="T19" s="12" t="inlineStr">
        <is>
          <t>掲載</t>
        </is>
      </c>
    </row>
    <row r="20">
      <c r="A20" s="12" t="n">
        <v>17</v>
      </c>
      <c r="B20" s="12" t="inlineStr">
        <is>
          <t>ひたちなか市</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ひたちなか市地域公共交通計画</t>
        </is>
      </c>
      <c r="G20" s="12" t="inlineStr">
        <is>
          <t>R8〜R12</t>
        </is>
      </c>
      <c r="H20" s="14" t="n">
        <v>12</v>
      </c>
      <c r="I20" s="14" t="inlineStr">
        <is>
          <t>確認済</t>
        </is>
      </c>
      <c r="J20" s="14" t="inlineStr">
        <is>
          <t>策定済</t>
        </is>
      </c>
      <c r="K20" s="15" t="inlineStr">
        <is>
          <t>https://www.city.hitachinaka.lg.jp/_res/projects/default_project/_page_/001/016/190/hitachinakashi_chiikikoukyoukoutuukeikakuan.pdf</t>
        </is>
      </c>
      <c r="L20" s="12" t="inlineStr">
        <is>
          <t>ひたちなか市第3次環境基本計画（改定）</t>
        </is>
      </c>
      <c r="M20" s="12" t="inlineStr">
        <is>
          <t>R8〜R12</t>
        </is>
      </c>
      <c r="N20" s="14" t="n">
        <v>12</v>
      </c>
      <c r="O20" s="14" t="inlineStr">
        <is>
          <t>確認済</t>
        </is>
      </c>
      <c r="P20" s="14" t="inlineStr">
        <is>
          <t>策定済</t>
        </is>
      </c>
      <c r="Q20" s="15" t="inlineStr">
        <is>
          <t>https://www.city.hitachinaka.lg.jp/_res/projects/default_project/_page_/001/017/041/kaiteigaiyoubann.pdf</t>
        </is>
      </c>
      <c r="R20" s="12"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6" t="inlineStr">
        <is>
          <t>調査済</t>
        </is>
      </c>
      <c r="T20" s="12" t="inlineStr">
        <is>
          <t>掲載</t>
        </is>
      </c>
    </row>
    <row r="21">
      <c r="A21" s="12" t="n">
        <v>18</v>
      </c>
      <c r="B21" s="12" t="inlineStr">
        <is>
          <t>鹿嶋市</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鹿嶋市地域公共交通計画</t>
        </is>
      </c>
      <c r="G21" s="12" t="inlineStr">
        <is>
          <t>R6〜R10</t>
        </is>
      </c>
      <c r="H21" s="14" t="n">
        <v>10</v>
      </c>
      <c r="I21" s="14" t="inlineStr">
        <is>
          <t>確認済</t>
        </is>
      </c>
      <c r="J21" s="14" t="inlineStr">
        <is>
          <t>未確認</t>
        </is>
      </c>
      <c r="K21" s="15" t="inlineStr">
        <is>
          <t>https://www.city.kashima.ibaraki.jp/uploaded/attachment/60268.pdf</t>
        </is>
      </c>
      <c r="L21" s="12" t="inlineStr">
        <is>
          <t>鹿嶋市環境基本計画</t>
        </is>
      </c>
      <c r="M21" s="12" t="inlineStr">
        <is>
          <t>R3〜R12</t>
        </is>
      </c>
      <c r="N21" s="17" t="n">
        <v>12</v>
      </c>
      <c r="O21" s="14" t="inlineStr">
        <is>
          <t>推定</t>
        </is>
      </c>
      <c r="P21" s="14" t="inlineStr">
        <is>
          <t>未確認</t>
        </is>
      </c>
      <c r="Q21" s="15" t="inlineStr">
        <is>
          <t>https://www.city.kashima.ibaraki.jp/uploaded/life/87842_130084_misc.pdf</t>
        </is>
      </c>
      <c r="R21" s="12"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6" t="inlineStr">
        <is>
          <t>調査済</t>
        </is>
      </c>
      <c r="T21" s="12" t="inlineStr">
        <is>
          <t>掲載</t>
        </is>
      </c>
    </row>
    <row r="22">
      <c r="A22" s="12" t="n">
        <v>19</v>
      </c>
      <c r="B22" s="12" t="inlineStr">
        <is>
          <t>潮来市</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潮来市地域公共交通計画</t>
        </is>
      </c>
      <c r="G22" s="12" t="inlineStr">
        <is>
          <t>R4〜R8</t>
        </is>
      </c>
      <c r="H22" s="17" t="n">
        <v>8</v>
      </c>
      <c r="I22" s="14" t="inlineStr">
        <is>
          <t>推定</t>
        </is>
      </c>
      <c r="J22" s="14" t="inlineStr">
        <is>
          <t>未確認</t>
        </is>
      </c>
      <c r="K22" s="15" t="inlineStr">
        <is>
          <t>https://www.city.itako.lg.jp/page/page006375.html</t>
        </is>
      </c>
      <c r="L22" s="12" t="n"/>
      <c r="M22" s="12" t="inlineStr">
        <is>
          <t>不明</t>
        </is>
      </c>
      <c r="N22" s="14" t="n"/>
      <c r="O22" s="14" t="inlineStr">
        <is>
          <t>不明</t>
        </is>
      </c>
      <c r="P22" s="14" t="inlineStr">
        <is>
          <t>未確認</t>
        </is>
      </c>
      <c r="Q22" s="12" t="n"/>
      <c r="R22" s="12"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19" t="inlineStr">
        <is>
          <t>交通のみ調査</t>
        </is>
      </c>
      <c r="T22" s="12" t="inlineStr">
        <is>
          <t>掲載</t>
        </is>
      </c>
    </row>
    <row r="23">
      <c r="A23" s="12" t="n">
        <v>20</v>
      </c>
      <c r="B23" s="12" t="inlineStr">
        <is>
          <t>守谷市</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守谷市地域公共交通計画</t>
        </is>
      </c>
      <c r="G23" s="12" t="inlineStr">
        <is>
          <t>R5〜R9</t>
        </is>
      </c>
      <c r="H23" s="14" t="n">
        <v>9</v>
      </c>
      <c r="I23" s="14" t="inlineStr">
        <is>
          <t>確認済</t>
        </is>
      </c>
      <c r="J23" s="14" t="inlineStr">
        <is>
          <t>着手済</t>
        </is>
      </c>
      <c r="K23" s="15" t="inlineStr">
        <is>
          <t>https://www.city.moriya.ibaraki.jp/kurashi_tetsuzuki/koutsu/1002163/1002204.html</t>
        </is>
      </c>
      <c r="L23" s="12" t="inlineStr">
        <is>
          <t>第2次守谷市環境基本計画</t>
        </is>
      </c>
      <c r="M23" s="12" t="inlineStr">
        <is>
          <t>〜R7（推定）</t>
        </is>
      </c>
      <c r="N23" s="17" t="n">
        <v>7</v>
      </c>
      <c r="O23" s="14" t="inlineStr">
        <is>
          <t>推定</t>
        </is>
      </c>
      <c r="P23" s="14" t="inlineStr">
        <is>
          <t>着手済</t>
        </is>
      </c>
      <c r="Q23" s="15" t="inlineStr">
        <is>
          <t>https://www.city.moriya.ibaraki.jp/kurashi_tetsuzuki/kankyo_gomi/1001993/1002006.html</t>
        </is>
      </c>
      <c r="R23" s="12"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6" t="inlineStr">
        <is>
          <t>調査済</t>
        </is>
      </c>
      <c r="T23" s="12" t="inlineStr">
        <is>
          <t>掲載</t>
        </is>
      </c>
    </row>
    <row r="24">
      <c r="A24" s="12" t="n">
        <v>21</v>
      </c>
      <c r="B24" s="12" t="inlineStr">
        <is>
          <t>常陸大宮市</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常陸大宮市地域公共交通計画</t>
        </is>
      </c>
      <c r="G24" s="12" t="inlineStr">
        <is>
          <t>R5〜R9</t>
        </is>
      </c>
      <c r="H24" s="14" t="n">
        <v>9</v>
      </c>
      <c r="I24" s="14" t="inlineStr">
        <is>
          <t>確認済</t>
        </is>
      </c>
      <c r="J24" s="14" t="inlineStr">
        <is>
          <t>未確認</t>
        </is>
      </c>
      <c r="K24" s="15" t="inlineStr">
        <is>
          <t>https://www.city.hitachiomiya.lg.jp/data/doc/1685520960_doc_100_0.pdf</t>
        </is>
      </c>
      <c r="L24" s="12" t="inlineStr">
        <is>
          <t>第2次常陸大宮市環境基本計画（後期計画）</t>
        </is>
      </c>
      <c r="M24" s="12" t="inlineStr">
        <is>
          <t>R5〜R9</t>
        </is>
      </c>
      <c r="N24" s="14" t="n">
        <v>9</v>
      </c>
      <c r="O24" s="14" t="inlineStr">
        <is>
          <t>確認済</t>
        </is>
      </c>
      <c r="P24" s="14" t="inlineStr">
        <is>
          <t>未確認</t>
        </is>
      </c>
      <c r="Q24" s="15" t="inlineStr">
        <is>
          <t>https://www.city.hitachiomiya.lg.jp/data/doc/1673312876_doc_1_0.pdf</t>
        </is>
      </c>
      <c r="R24" s="12"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6" t="inlineStr">
        <is>
          <t>調査済</t>
        </is>
      </c>
      <c r="T24" s="12" t="inlineStr">
        <is>
          <t>掲載</t>
        </is>
      </c>
      <c r="U24" s="20" t="inlineStr">
        <is>
          <t>→メモ</t>
        </is>
      </c>
    </row>
    <row r="25">
      <c r="A25" s="12" t="n">
        <v>22</v>
      </c>
      <c r="B25" s="12" t="inlineStr">
        <is>
          <t>那珂市</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那珂市地域公共交通計画</t>
        </is>
      </c>
      <c r="G25" s="12" t="inlineStr">
        <is>
          <t>R6〜R10</t>
        </is>
      </c>
      <c r="H25" s="14" t="n">
        <v>10</v>
      </c>
      <c r="I25" s="14" t="inlineStr">
        <is>
          <t>確認済</t>
        </is>
      </c>
      <c r="J25" s="14" t="inlineStr">
        <is>
          <t>未確認</t>
        </is>
      </c>
      <c r="K25" s="15" t="inlineStr">
        <is>
          <t>https://www.city.naka.lg.jp/gyousei/keikaku/page009950.html</t>
        </is>
      </c>
      <c r="L25" s="12" t="inlineStr">
        <is>
          <t>第3次那珂市環境基本計画</t>
        </is>
      </c>
      <c r="M25" s="12" t="inlineStr">
        <is>
          <t>R5〜R14</t>
        </is>
      </c>
      <c r="N25" s="14" t="n">
        <v>14</v>
      </c>
      <c r="O25" s="14" t="inlineStr">
        <is>
          <t>確認済</t>
        </is>
      </c>
      <c r="P25" s="14" t="inlineStr">
        <is>
          <t>未確認</t>
        </is>
      </c>
      <c r="Q25" s="15" t="inlineStr">
        <is>
          <t>https://www.city.naka.lg.jp/gyousei/keikaku/page009444.html</t>
        </is>
      </c>
      <c r="R25" s="12"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6" t="inlineStr">
        <is>
          <t>調査済</t>
        </is>
      </c>
      <c r="T25" s="12" t="inlineStr">
        <is>
          <t>掲載</t>
        </is>
      </c>
    </row>
    <row r="26">
      <c r="A26" s="12" t="n">
        <v>23</v>
      </c>
      <c r="B26" s="12" t="inlineStr">
        <is>
          <t>筑西市</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筑西市地域公共交通計画</t>
        </is>
      </c>
      <c r="G26" s="12" t="inlineStr">
        <is>
          <t>不明</t>
        </is>
      </c>
      <c r="H26" s="14" t="n"/>
      <c r="I26" s="14" t="inlineStr">
        <is>
          <t>不明</t>
        </is>
      </c>
      <c r="J26" s="14" t="inlineStr">
        <is>
          <t>着手済</t>
        </is>
      </c>
      <c r="K26" s="15" t="inlineStr">
        <is>
          <t>https://www.city.chikusei.lg.jp/machidukuri/traffic/page009177.html</t>
        </is>
      </c>
      <c r="L26" s="12" t="inlineStr">
        <is>
          <t>第2次筑西市環境基本計画</t>
        </is>
      </c>
      <c r="M26" s="12" t="inlineStr">
        <is>
          <t>不明</t>
        </is>
      </c>
      <c r="N26" s="14" t="n"/>
      <c r="O26" s="14" t="inlineStr">
        <is>
          <t>不明</t>
        </is>
      </c>
      <c r="P26" s="14" t="inlineStr">
        <is>
          <t>未確認</t>
        </is>
      </c>
      <c r="Q26" s="12" t="n"/>
      <c r="R26" s="12"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6" t="inlineStr">
        <is>
          <t>調査済</t>
        </is>
      </c>
      <c r="T26" s="12" t="inlineStr">
        <is>
          <t>掲載</t>
        </is>
      </c>
    </row>
    <row r="27">
      <c r="A27" s="12" t="n">
        <v>24</v>
      </c>
      <c r="B27" s="12" t="inlineStr">
        <is>
          <t>坂東市</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坂東市地域公共交通網形成計画</t>
        </is>
      </c>
      <c r="G27" s="12" t="inlineStr">
        <is>
          <t>R2〜R11</t>
        </is>
      </c>
      <c r="H27" s="14" t="n">
        <v>11</v>
      </c>
      <c r="I27" s="14" t="inlineStr">
        <is>
          <t>確認済</t>
        </is>
      </c>
      <c r="J27" s="14" t="inlineStr">
        <is>
          <t>未確認</t>
        </is>
      </c>
      <c r="K27" s="15" t="inlineStr">
        <is>
          <t>https://www.city.bando.lg.jp/page/page006076.html</t>
        </is>
      </c>
      <c r="L27" s="12" t="inlineStr">
        <is>
          <t>坂東市環境基本計画（第2期）</t>
        </is>
      </c>
      <c r="M27" s="12" t="inlineStr">
        <is>
          <t>R6〜R15</t>
        </is>
      </c>
      <c r="N27" s="17" t="n">
        <v>15</v>
      </c>
      <c r="O27" s="14" t="inlineStr">
        <is>
          <t>推定</t>
        </is>
      </c>
      <c r="P27" s="14" t="inlineStr">
        <is>
          <t>未確認</t>
        </is>
      </c>
      <c r="Q27" s="15" t="inlineStr">
        <is>
          <t>https://www.city.bando.lg.jp/page/page010074.html</t>
        </is>
      </c>
      <c r="R27" s="12" t="inlineStr">
        <is>
          <t>交通は網形成計画（R2.3策定、10年）のまま。旧環境基本計画はH25〜（10年）で期間終了に伴い新計画策定（パブコメ結果 https://www.city.bando.lg.jp/page/page009872.html ）。新計画の期間は推定。</t>
        </is>
      </c>
      <c r="S27" s="16" t="inlineStr">
        <is>
          <t>調査済</t>
        </is>
      </c>
      <c r="T27" s="12" t="inlineStr">
        <is>
          <t>掲載</t>
        </is>
      </c>
    </row>
    <row r="28">
      <c r="A28" s="12" t="n">
        <v>25</v>
      </c>
      <c r="B28" s="12" t="inlineStr">
        <is>
          <t>稲敷市</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稲敷市地域公共交通計画</t>
        </is>
      </c>
      <c r="G28" s="12" t="inlineStr">
        <is>
          <t>不明</t>
        </is>
      </c>
      <c r="H28" s="14" t="n"/>
      <c r="I28" s="14" t="inlineStr">
        <is>
          <t>不明</t>
        </is>
      </c>
      <c r="J28" s="14" t="inlineStr">
        <is>
          <t>未確認</t>
        </is>
      </c>
      <c r="K28" s="15" t="inlineStr">
        <is>
          <t>https://www.city.inashiki.lg.jp/page/page004756.html</t>
        </is>
      </c>
      <c r="L28" s="12" t="inlineStr">
        <is>
          <t>稲敷市環境基本計画</t>
        </is>
      </c>
      <c r="M28" s="12" t="inlineStr">
        <is>
          <t>R3〜R12</t>
        </is>
      </c>
      <c r="N28" s="17" t="n">
        <v>12</v>
      </c>
      <c r="O28" s="14" t="inlineStr">
        <is>
          <t>推定</t>
        </is>
      </c>
      <c r="P28" s="14" t="inlineStr">
        <is>
          <t>未確認</t>
        </is>
      </c>
      <c r="Q28" s="15" t="inlineStr">
        <is>
          <t>https://www.city.inashiki.lg.jp/page/page007577.html</t>
        </is>
      </c>
      <c r="R28" s="12"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6" t="inlineStr">
        <is>
          <t>調査済</t>
        </is>
      </c>
      <c r="T28" s="12" t="inlineStr">
        <is>
          <t>掲載</t>
        </is>
      </c>
    </row>
    <row r="29">
      <c r="A29" s="12" t="n">
        <v>26</v>
      </c>
      <c r="B29" s="12" t="inlineStr">
        <is>
          <t>かすみがうら市</t>
        </is>
      </c>
      <c r="C29" s="13">
        <f>IF(OR(D29="◎",E29="◎"),"◎ 営業",IF(OR(D29="△",E29="△"),"△ 着手済・要確認",IF(OR(D29="？",E29="？"),"？ 期間要確認","✕ 対象外")))</f>
        <v/>
      </c>
      <c r="D29" s="14">
        <f>IF(J29="計画なし","－",IF(J29="策定済","✕",IF(H29="","？",IF(AND(H29&gt;=TGT_MIN,H29&lt;=TGT_MAX),IF(J29="着手済","△","◎"),"✕"))))</f>
        <v/>
      </c>
      <c r="E29" s="14">
        <f>IF(P29="計画なし","－",IF(P29="策定済","✕",IF(N29="","？",IF(AND(N29&gt;=TGT_MIN,N29&lt;=TGT_MAX),IF(P29="着手済","△","◎"),"✕"))))</f>
        <v/>
      </c>
      <c r="F29" s="12" t="inlineStr">
        <is>
          <t>かすみがうら市地域公共交通計画</t>
        </is>
      </c>
      <c r="G29" s="12" t="inlineStr">
        <is>
          <t>R3〜R7（R8まで1年延長を検討）</t>
        </is>
      </c>
      <c r="H29" s="17" t="n">
        <v>8</v>
      </c>
      <c r="I29" s="14" t="inlineStr">
        <is>
          <t>推定</t>
        </is>
      </c>
      <c r="J29" s="14" t="inlineStr">
        <is>
          <t>着手済</t>
        </is>
      </c>
      <c r="K29" s="15" t="inlineStr">
        <is>
          <t>https://www.city.kasumigaura.lg.jp/data/doc/1605678793_doc_10_1.pdf</t>
        </is>
      </c>
      <c r="L29" s="12" t="inlineStr">
        <is>
          <t>かすみがうら市第Ⅱ期環境基本計画（気候変動適応計画・生物多様性地域戦略を包含）</t>
        </is>
      </c>
      <c r="M29" s="12" t="inlineStr">
        <is>
          <t>R7〜R16</t>
        </is>
      </c>
      <c r="N29" s="14" t="n">
        <v>16</v>
      </c>
      <c r="O29" s="14" t="inlineStr">
        <is>
          <t>確認済</t>
        </is>
      </c>
      <c r="P29" s="14" t="inlineStr">
        <is>
          <t>策定済</t>
        </is>
      </c>
      <c r="Q29" s="15" t="inlineStr">
        <is>
          <t>https://www.city.kasumigaura.lg.jp/data/doc/1736999768_doc_11_0.pdf</t>
        </is>
      </c>
      <c r="R29" s="12"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6" t="inlineStr">
        <is>
          <t>調査済</t>
        </is>
      </c>
      <c r="T29" s="12" t="inlineStr">
        <is>
          <t>掲載</t>
        </is>
      </c>
    </row>
    <row r="30">
      <c r="A30" s="12" t="n">
        <v>27</v>
      </c>
      <c r="B30" s="12" t="inlineStr">
        <is>
          <t>桜川市</t>
        </is>
      </c>
      <c r="C30" s="13">
        <f>IF(OR(D30="◎",E30="◎"),"◎ 営業",IF(OR(D30="△",E30="△"),"△ 着手済・要確認",IF(OR(D30="？",E30="？"),"？ 期間要確認","✕ 対象外")))</f>
        <v/>
      </c>
      <c r="D30" s="14">
        <f>IF(J30="計画なし","－",IF(J30="策定済","✕",IF(H30="","？",IF(AND(H30&gt;=TGT_MIN,H30&lt;=TGT_MAX),IF(J30="着手済","△","◎"),"✕"))))</f>
        <v/>
      </c>
      <c r="E30" s="14">
        <f>IF(P30="計画なし","－",IF(P30="策定済","✕",IF(N30="","？",IF(AND(N30&gt;=TGT_MIN,N30&lt;=TGT_MAX),IF(P30="着手済","△","◎"),"✕"))))</f>
        <v/>
      </c>
      <c r="F30" s="12" t="inlineStr">
        <is>
          <t>桜川市地域公共交通計画</t>
        </is>
      </c>
      <c r="G30" s="12" t="inlineStr">
        <is>
          <t>R4〜R8</t>
        </is>
      </c>
      <c r="H30" s="17" t="n">
        <v>8</v>
      </c>
      <c r="I30" s="14" t="inlineStr">
        <is>
          <t>推定</t>
        </is>
      </c>
      <c r="J30" s="14" t="inlineStr">
        <is>
          <t>未確認</t>
        </is>
      </c>
      <c r="K30" s="15" t="inlineStr">
        <is>
          <t>https://www.city.sakuragawa.lg.jp/sys/public/data/doc/1641257134_0.pdf</t>
        </is>
      </c>
      <c r="L30" s="12" t="inlineStr">
        <is>
          <t>第2次桜川市環境基本計画</t>
        </is>
      </c>
      <c r="M30" s="12" t="inlineStr">
        <is>
          <t>R2〜R11</t>
        </is>
      </c>
      <c r="N30" s="14" t="n">
        <v>11</v>
      </c>
      <c r="O30" s="14" t="inlineStr">
        <is>
          <t>確認済</t>
        </is>
      </c>
      <c r="P30" s="14" t="inlineStr">
        <is>
          <t>未確認</t>
        </is>
      </c>
      <c r="Q30" s="15" t="inlineStr">
        <is>
          <t>https://www.city.sakuragawa.lg.jp/sys/public/data/doc/1578273137_0.pdf</t>
        </is>
      </c>
      <c r="R30" s="12" t="inlineStr">
        <is>
          <t>交通: 令和4年1月策定（期間は5年と推定、終期R8なら次期計画策定がR8に進行中の可能性あるが根拠未確認）。前身は網形成計画(H28.3)。環境: 第2次R2〜R11（2020〜2029年度）。</t>
        </is>
      </c>
      <c r="S30" s="16" t="inlineStr">
        <is>
          <t>調査済</t>
        </is>
      </c>
      <c r="T30" s="12" t="inlineStr">
        <is>
          <t>掲載</t>
        </is>
      </c>
    </row>
    <row r="31">
      <c r="A31" s="12" t="n">
        <v>28</v>
      </c>
      <c r="B31" s="12" t="inlineStr">
        <is>
          <t>神栖市</t>
        </is>
      </c>
      <c r="C31" s="13">
        <f>IF(OR(D31="◎",E31="◎"),"◎ 営業",IF(OR(D31="△",E31="△"),"△ 着手済・要確認",IF(OR(D31="？",E31="？"),"？ 期間要確認","✕ 対象外")))</f>
        <v/>
      </c>
      <c r="D31" s="14">
        <f>IF(J31="計画なし","－",IF(J31="策定済","✕",IF(H31="","？",IF(AND(H31&gt;=TGT_MIN,H31&lt;=TGT_MAX),IF(J31="着手済","△","◎"),"✕"))))</f>
        <v/>
      </c>
      <c r="E31" s="14">
        <f>IF(P31="計画なし","－",IF(P31="策定済","✕",IF(N31="","？",IF(AND(N31&gt;=TGT_MIN,N31&lt;=TGT_MAX),IF(P31="着手済","△","◎"),"✕"))))</f>
        <v/>
      </c>
      <c r="F31" s="12" t="inlineStr">
        <is>
          <t>神栖市地域公共交通計画（第2期）</t>
        </is>
      </c>
      <c r="G31" s="12" t="inlineStr">
        <is>
          <t>R8〜R12</t>
        </is>
      </c>
      <c r="H31" s="17" t="n">
        <v>12</v>
      </c>
      <c r="I31" s="14" t="inlineStr">
        <is>
          <t>推定</t>
        </is>
      </c>
      <c r="J31" s="14" t="inlineStr">
        <is>
          <t>策定済</t>
        </is>
      </c>
      <c r="K31" s="15" t="inlineStr">
        <is>
          <t>https://www.city.kamisu.ibaraki.jp/_res/projects/default_project/_page_/001/003/540/kokeikaku2.pdf</t>
        </is>
      </c>
      <c r="L31" s="12" t="inlineStr">
        <is>
          <t>神栖市環境基本計画</t>
        </is>
      </c>
      <c r="M31" s="12" t="inlineStr">
        <is>
          <t>R1〜R10</t>
        </is>
      </c>
      <c r="N31" s="17" t="n">
        <v>10</v>
      </c>
      <c r="O31" s="14" t="inlineStr">
        <is>
          <t>推定</t>
        </is>
      </c>
      <c r="P31" s="14" t="inlineStr">
        <is>
          <t>未確認</t>
        </is>
      </c>
      <c r="Q31" s="15" t="inlineStr">
        <is>
          <t>https://www.city.kamisu.ibaraki.jp/_res/projects/default_project/_page_/001/004/216/kamisushikankyoukihonkeikaku.pdf</t>
        </is>
      </c>
      <c r="R31" s="12"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6" t="inlineStr">
        <is>
          <t>調査済</t>
        </is>
      </c>
      <c r="T31" s="12" t="inlineStr">
        <is>
          <t>掲載</t>
        </is>
      </c>
    </row>
    <row r="32">
      <c r="A32" s="12" t="n">
        <v>29</v>
      </c>
      <c r="B32" s="12" t="inlineStr">
        <is>
          <t>行方市</t>
        </is>
      </c>
      <c r="C32" s="13">
        <f>IF(OR(D32="◎",E32="◎"),"◎ 営業",IF(OR(D32="△",E32="△"),"△ 着手済・要確認",IF(OR(D32="？",E32="？"),"？ 期間要確認","✕ 対象外")))</f>
        <v/>
      </c>
      <c r="D32" s="14">
        <f>IF(J32="計画なし","－",IF(J32="策定済","✕",IF(H32="","？",IF(AND(H32&gt;=TGT_MIN,H32&lt;=TGT_MAX),IF(J32="着手済","△","◎"),"✕"))))</f>
        <v/>
      </c>
      <c r="E32" s="14">
        <f>IF(P32="計画なし","－",IF(P32="策定済","✕",IF(N32="","？",IF(AND(N32&gt;=TGT_MIN,N32&lt;=TGT_MAX),IF(P32="着手済","△","◎"),"✕"))))</f>
        <v/>
      </c>
      <c r="F32" s="12" t="inlineStr">
        <is>
          <t>行方市地域公共交通計画</t>
        </is>
      </c>
      <c r="G32" s="12" t="inlineStr">
        <is>
          <t>不明</t>
        </is>
      </c>
      <c r="H32" s="14" t="n"/>
      <c r="I32" s="14" t="inlineStr">
        <is>
          <t>不明</t>
        </is>
      </c>
      <c r="J32" s="14" t="inlineStr">
        <is>
          <t>未確認</t>
        </is>
      </c>
      <c r="K32" s="12" t="n"/>
      <c r="L32" s="12" t="inlineStr">
        <is>
          <t>行方市環境基本計画</t>
        </is>
      </c>
      <c r="M32" s="12" t="inlineStr">
        <is>
          <t>H28〜R7（推定）</t>
        </is>
      </c>
      <c r="N32" s="17" t="n">
        <v>7</v>
      </c>
      <c r="O32" s="14" t="inlineStr">
        <is>
          <t>推定</t>
        </is>
      </c>
      <c r="P32" s="14" t="inlineStr">
        <is>
          <t>未確認</t>
        </is>
      </c>
      <c r="Q32" s="15" t="inlineStr">
        <is>
          <t>https://www.city.namegata.ibaraki.jp/page/page010706.html</t>
        </is>
      </c>
      <c r="R32" s="12"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6" t="inlineStr">
        <is>
          <t>調査済</t>
        </is>
      </c>
      <c r="T32" s="12" t="inlineStr">
        <is>
          <t>掲載</t>
        </is>
      </c>
    </row>
    <row r="33">
      <c r="A33" s="12" t="n">
        <v>30</v>
      </c>
      <c r="B33" s="12" t="inlineStr">
        <is>
          <t>鉾田市</t>
        </is>
      </c>
      <c r="C33" s="13">
        <f>IF(OR(D33="◎",E33="◎"),"◎ 営業",IF(OR(D33="△",E33="△"),"△ 着手済・要確認",IF(OR(D33="？",E33="？"),"？ 期間要確認","✕ 対象外")))</f>
        <v/>
      </c>
      <c r="D33" s="14">
        <f>IF(J33="計画なし","－",IF(J33="策定済","✕",IF(H33="","？",IF(AND(H33&gt;=TGT_MIN,H33&lt;=TGT_MAX),IF(J33="着手済","△","◎"),"✕"))))</f>
        <v/>
      </c>
      <c r="E33" s="14">
        <f>IF(P33="計画なし","－",IF(P33="策定済","✕",IF(N33="","？",IF(AND(N33&gt;=TGT_MIN,N33&lt;=TGT_MAX),IF(P33="着手済","△","◎"),"✕"))))</f>
        <v/>
      </c>
      <c r="F33" s="12" t="inlineStr">
        <is>
          <t>鉾田市地域公共交通計画</t>
        </is>
      </c>
      <c r="G33" s="12" t="inlineStr">
        <is>
          <t>R7〜R11</t>
        </is>
      </c>
      <c r="H33" s="14" t="n">
        <v>11</v>
      </c>
      <c r="I33" s="14" t="inlineStr">
        <is>
          <t>確認済</t>
        </is>
      </c>
      <c r="J33" s="14" t="inlineStr">
        <is>
          <t>策定済</t>
        </is>
      </c>
      <c r="K33" s="15" t="inlineStr">
        <is>
          <t>https://www.city.hokota.lg.jp/page/page007091.html</t>
        </is>
      </c>
      <c r="L33" s="12" t="inlineStr">
        <is>
          <t>鉾田市環境基本計画（改定）</t>
        </is>
      </c>
      <c r="M33" s="12" t="inlineStr">
        <is>
          <t>H29〜R8</t>
        </is>
      </c>
      <c r="N33" s="14" t="n">
        <v>8</v>
      </c>
      <c r="O33" s="14" t="inlineStr">
        <is>
          <t>確認済</t>
        </is>
      </c>
      <c r="P33" s="14" t="inlineStr">
        <is>
          <t>未確認</t>
        </is>
      </c>
      <c r="Q33" s="15" t="inlineStr">
        <is>
          <t>https://www.city.hokota.lg.jp/data/doc/1654669803_doc_37_0.pdf</t>
        </is>
      </c>
      <c r="R33"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6" t="inlineStr">
        <is>
          <t>調査済</t>
        </is>
      </c>
      <c r="T33" s="12" t="inlineStr">
        <is>
          <t>掲載</t>
        </is>
      </c>
    </row>
    <row r="34">
      <c r="A34" s="12" t="n">
        <v>31</v>
      </c>
      <c r="B34" s="12" t="inlineStr">
        <is>
          <t>つくばみらい市</t>
        </is>
      </c>
      <c r="C34" s="13">
        <f>IF(OR(D34="◎",E34="◎"),"◎ 営業",IF(OR(D34="△",E34="△"),"△ 着手済・要確認",IF(OR(D34="？",E34="？"),"？ 期間要確認","✕ 対象外")))</f>
        <v/>
      </c>
      <c r="D34" s="14">
        <f>IF(J34="計画なし","－",IF(J34="策定済","✕",IF(H34="","？",IF(AND(H34&gt;=TGT_MIN,H34&lt;=TGT_MAX),IF(J34="着手済","△","◎"),"✕"))))</f>
        <v/>
      </c>
      <c r="E34" s="14">
        <f>IF(P34="計画なし","－",IF(P34="策定済","✕",IF(N34="","？",IF(AND(N34&gt;=TGT_MIN,N34&lt;=TGT_MAX),IF(P34="着手済","△","◎"),"✕"))))</f>
        <v/>
      </c>
      <c r="F34" s="12" t="inlineStr">
        <is>
          <t>つくばみらい市地域公共交通計画</t>
        </is>
      </c>
      <c r="G34" s="12" t="inlineStr">
        <is>
          <t>R5〜R9</t>
        </is>
      </c>
      <c r="H34" s="14" t="n">
        <v>9</v>
      </c>
      <c r="I34" s="14" t="inlineStr">
        <is>
          <t>確認済</t>
        </is>
      </c>
      <c r="J34" s="14" t="inlineStr">
        <is>
          <t>未確認</t>
        </is>
      </c>
      <c r="K34" s="15" t="inlineStr">
        <is>
          <t>https://www.city.tsukubamirai.lg.jp/jyumin/shisetu-koutsu/koukyoukoutsu/page004893.html</t>
        </is>
      </c>
      <c r="L34" s="12" t="inlineStr">
        <is>
          <t>つくばみらい市環境基本計画（改訂版）</t>
        </is>
      </c>
      <c r="M34" s="12" t="inlineStr">
        <is>
          <t>H29〜R8（推定）</t>
        </is>
      </c>
      <c r="N34" s="17" t="n">
        <v>8</v>
      </c>
      <c r="O34" s="14" t="inlineStr">
        <is>
          <t>推定</t>
        </is>
      </c>
      <c r="P34" s="14" t="inlineStr">
        <is>
          <t>未確認</t>
        </is>
      </c>
      <c r="Q34" s="15" t="inlineStr">
        <is>
          <t>https://www.city.tsukubamirai.lg.jp/jyumin/gomi-kankyou-doubutsu/kankyouhozen/page000080.html</t>
        </is>
      </c>
      <c r="R34"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6" t="inlineStr">
        <is>
          <t>調査済</t>
        </is>
      </c>
      <c r="T34" s="12" t="inlineStr">
        <is>
          <t>掲載</t>
        </is>
      </c>
    </row>
    <row r="35">
      <c r="A35" s="12" t="n">
        <v>32</v>
      </c>
      <c r="B35" s="12" t="inlineStr">
        <is>
          <t>小美玉市</t>
        </is>
      </c>
      <c r="C35" s="13">
        <f>IF(OR(D35="◎",E35="◎"),"◎ 営業",IF(OR(D35="△",E35="△"),"△ 着手済・要確認",IF(OR(D35="？",E35="？"),"？ 期間要確認","✕ 対象外")))</f>
        <v/>
      </c>
      <c r="D35" s="14">
        <f>IF(J35="計画なし","－",IF(J35="策定済","✕",IF(H35="","？",IF(AND(H35&gt;=TGT_MIN,H35&lt;=TGT_MAX),IF(J35="着手済","△","◎"),"✕"))))</f>
        <v/>
      </c>
      <c r="E35" s="14">
        <f>IF(P35="計画なし","－",IF(P35="策定済","✕",IF(N35="","？",IF(AND(N35&gt;=TGT_MIN,N35&lt;=TGT_MAX),IF(P35="着手済","△","◎"),"✕"))))</f>
        <v/>
      </c>
      <c r="F35" s="12" t="inlineStr">
        <is>
          <t>小美玉市地域公共交通計画</t>
        </is>
      </c>
      <c r="G35" s="12" t="inlineStr">
        <is>
          <t>R7〜R11</t>
        </is>
      </c>
      <c r="H35" s="14" t="n">
        <v>11</v>
      </c>
      <c r="I35" s="14" t="inlineStr">
        <is>
          <t>確認済</t>
        </is>
      </c>
      <c r="J35" s="14" t="inlineStr">
        <is>
          <t>策定済</t>
        </is>
      </c>
      <c r="K35" s="15" t="inlineStr">
        <is>
          <t>https://www.city.omitama.lg.jp/0102/info-0000010942-0.html</t>
        </is>
      </c>
      <c r="L35" s="12" t="inlineStr">
        <is>
          <t>小美玉市環境基本計画</t>
        </is>
      </c>
      <c r="M35" s="12" t="inlineStr">
        <is>
          <t>R3〜R12（推定）</t>
        </is>
      </c>
      <c r="N35" s="17" t="n">
        <v>12</v>
      </c>
      <c r="O35" s="14" t="inlineStr">
        <is>
          <t>推定</t>
        </is>
      </c>
      <c r="P35" s="14" t="inlineStr">
        <is>
          <t>未確認</t>
        </is>
      </c>
      <c r="Q35" s="15" t="inlineStr">
        <is>
          <t>https://www.city.omitama.lg.jp/manage/contents/upload/602de700e73ca.pdf</t>
        </is>
      </c>
      <c r="R35" s="12"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6" t="inlineStr">
        <is>
          <t>調査済</t>
        </is>
      </c>
      <c r="T35" s="12" t="inlineStr">
        <is>
          <t>掲載</t>
        </is>
      </c>
    </row>
    <row r="36">
      <c r="A36" s="12" t="n">
        <v>33</v>
      </c>
      <c r="B36" s="12" t="inlineStr">
        <is>
          <t>茨城町</t>
        </is>
      </c>
      <c r="C36" s="13">
        <f>IF(OR(D36="◎",E36="◎"),"◎ 営業",IF(OR(D36="△",E36="△"),"△ 着手済・要確認",IF(OR(D36="？",E36="？"),"？ 期間要確認","✕ 対象外")))</f>
        <v/>
      </c>
      <c r="D36" s="14">
        <f>IF(J36="計画なし","－",IF(J36="策定済","✕",IF(H36="","？",IF(AND(H36&gt;=TGT_MIN,H36&lt;=TGT_MAX),IF(J36="着手済","△","◎"),"✕"))))</f>
        <v/>
      </c>
      <c r="E36" s="14">
        <f>IF(P36="計画なし","－",IF(P36="策定済","✕",IF(N36="","？",IF(AND(N36&gt;=TGT_MIN,N36&lt;=TGT_MAX),IF(P36="着手済","△","◎"),"✕"))))</f>
        <v/>
      </c>
      <c r="F36" s="12" t="n"/>
      <c r="G36" s="12" t="inlineStr">
        <is>
          <t>不明</t>
        </is>
      </c>
      <c r="H36" s="14" t="n"/>
      <c r="I36" s="14" t="inlineStr">
        <is>
          <t>不明</t>
        </is>
      </c>
      <c r="J36" s="14" t="inlineStr">
        <is>
          <t>未確認</t>
        </is>
      </c>
      <c r="K36" s="12" t="n"/>
      <c r="L36" s="12" t="inlineStr">
        <is>
          <t>茨城町環境基本計画</t>
        </is>
      </c>
      <c r="M36" s="12" t="inlineStr">
        <is>
          <t>H25〜R4</t>
        </is>
      </c>
      <c r="N36" s="14" t="n">
        <v>4</v>
      </c>
      <c r="O36" s="14" t="inlineStr">
        <is>
          <t>確認済</t>
        </is>
      </c>
      <c r="P36" s="14" t="inlineStr">
        <is>
          <t>未確認</t>
        </is>
      </c>
      <c r="Q36" s="15" t="inlineStr">
        <is>
          <t>https://www.town.ibaraki.lg.jp/gyousei/kurashitetuduki/gomirisaikle/keikaku/index.html</t>
        </is>
      </c>
      <c r="R36" s="12"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9" t="inlineStr">
        <is>
          <t>環境のみ調査</t>
        </is>
      </c>
      <c r="T36" s="12" t="inlineStr">
        <is>
          <t>未掲載</t>
        </is>
      </c>
    </row>
    <row r="37">
      <c r="A37" s="12" t="n">
        <v>34</v>
      </c>
      <c r="B37" s="12" t="inlineStr">
        <is>
          <t>大洗町</t>
        </is>
      </c>
      <c r="C37" s="13">
        <f>IF(OR(D37="◎",E37="◎"),"◎ 営業",IF(OR(D37="△",E37="△"),"△ 着手済・要確認",IF(OR(D37="？",E37="？"),"？ 期間要確認","✕ 対象外")))</f>
        <v/>
      </c>
      <c r="D37" s="14">
        <f>IF(J37="計画なし","－",IF(J37="策定済","✕",IF(H37="","？",IF(AND(H37&gt;=TGT_MIN,H37&lt;=TGT_MAX),IF(J37="着手済","△","◎"),"✕"))))</f>
        <v/>
      </c>
      <c r="E37" s="14">
        <f>IF(P37="計画なし","－",IF(P37="策定済","✕",IF(N37="","？",IF(AND(N37&gt;=TGT_MIN,N37&lt;=TGT_MAX),IF(P37="着手済","△","◎"),"✕"))))</f>
        <v/>
      </c>
      <c r="F37" s="12" t="inlineStr">
        <is>
          <t>大洗町地域公共交通計画</t>
        </is>
      </c>
      <c r="G37" s="12" t="inlineStr">
        <is>
          <t>R6〜R10</t>
        </is>
      </c>
      <c r="H37" s="17" t="n">
        <v>10</v>
      </c>
      <c r="I37" s="14" t="inlineStr">
        <is>
          <t>推定</t>
        </is>
      </c>
      <c r="J37" s="14" t="inlineStr">
        <is>
          <t>着手済</t>
        </is>
      </c>
      <c r="K37" s="15" t="inlineStr">
        <is>
          <t>https://www.town.oarai.lg.jp/wp/wp-content/uploads/2023/07/%E5%A4%A7%E6%B4%97%E7%94%BA%E5%9C%B0%E5%9F%9F%E5%85%AC%E5%85%B1%E4%BA%A4%E9%80%9A%E8%A8%88%E7%94%BB.pdf</t>
        </is>
      </c>
      <c r="L37" s="12" t="inlineStr">
        <is>
          <t>第2次大洗町環境基本計画</t>
        </is>
      </c>
      <c r="M37" s="12" t="inlineStr">
        <is>
          <t>R1〜R10</t>
        </is>
      </c>
      <c r="N37" s="14" t="n">
        <v>10</v>
      </c>
      <c r="O37" s="14" t="inlineStr">
        <is>
          <t>確認済</t>
        </is>
      </c>
      <c r="P37" s="14" t="inlineStr">
        <is>
          <t>未確認</t>
        </is>
      </c>
      <c r="Q37" s="15" t="inlineStr">
        <is>
          <t>https://www.town.oarai.lg.jp/wp/wp-content/uploads/2021/03/%E7%AC%AC2%E6%AC%A1%E5%A4%A7%E6%B4%97%E7%94%BA%E7%92%B0%E5%A2%83%E5%9F%BA%E6%9C%AC%E8%A8%88%E7%94%BB%EF%BC%88PDF%EF%BC%89.pdf</t>
        </is>
      </c>
      <c r="R37" s="12"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6" t="inlineStr">
        <is>
          <t>調査済</t>
        </is>
      </c>
      <c r="T37" s="12" t="inlineStr">
        <is>
          <t>掲載</t>
        </is>
      </c>
    </row>
    <row r="38">
      <c r="A38" s="12" t="n">
        <v>35</v>
      </c>
      <c r="B38" s="12" t="inlineStr">
        <is>
          <t>城里町</t>
        </is>
      </c>
      <c r="C38" s="13">
        <f>IF(OR(D38="◎",E38="◎"),"◎ 営業",IF(OR(D38="△",E38="△"),"△ 着手済・要確認",IF(OR(D38="？",E38="？"),"？ 期間要確認","✕ 対象外")))</f>
        <v/>
      </c>
      <c r="D38" s="14">
        <f>IF(J38="計画なし","－",IF(J38="策定済","✕",IF(H38="","？",IF(AND(H38&gt;=TGT_MIN,H38&lt;=TGT_MAX),IF(J38="着手済","△","◎"),"✕"))))</f>
        <v/>
      </c>
      <c r="E38" s="14">
        <f>IF(P38="計画なし","－",IF(P38="策定済","✕",IF(N38="","？",IF(AND(N38&gt;=TGT_MIN,N38&lt;=TGT_MAX),IF(P38="着手済","△","◎"),"✕"))))</f>
        <v/>
      </c>
      <c r="F38" s="12" t="inlineStr">
        <is>
          <t>城里町地域公共交通計画</t>
        </is>
      </c>
      <c r="G38" s="12" t="inlineStr">
        <is>
          <t>R8〜R12</t>
        </is>
      </c>
      <c r="H38" s="17" t="n">
        <v>12</v>
      </c>
      <c r="I38" s="14" t="inlineStr">
        <is>
          <t>推定</t>
        </is>
      </c>
      <c r="J38" s="14" t="inlineStr">
        <is>
          <t>策定済</t>
        </is>
      </c>
      <c r="K38" s="15" t="inlineStr">
        <is>
          <t>https://www.town.shirosato.lg.jp/page/page006784.html</t>
        </is>
      </c>
      <c r="L38" s="12" t="inlineStr">
        <is>
          <t>城里町環境基本計画</t>
        </is>
      </c>
      <c r="M38" s="12" t="inlineStr">
        <is>
          <t>R3〜R12</t>
        </is>
      </c>
      <c r="N38" s="17" t="n">
        <v>12</v>
      </c>
      <c r="O38" s="14" t="inlineStr">
        <is>
          <t>推定</t>
        </is>
      </c>
      <c r="P38" s="14" t="inlineStr">
        <is>
          <t>未確認</t>
        </is>
      </c>
      <c r="Q38" s="15" t="inlineStr">
        <is>
          <t>https://www.town.shirosato.lg.jp/data/doc/1630301878_doc_711_0.pdf</t>
        </is>
      </c>
      <c r="R38" s="12"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6" t="inlineStr">
        <is>
          <t>調査済</t>
        </is>
      </c>
      <c r="T38" s="12" t="inlineStr">
        <is>
          <t>掲載</t>
        </is>
      </c>
    </row>
    <row r="39">
      <c r="A39" s="12" t="n">
        <v>36</v>
      </c>
      <c r="B39" s="12" t="inlineStr">
        <is>
          <t>東海村</t>
        </is>
      </c>
      <c r="C39" s="13">
        <f>IF(OR(D39="◎",E39="◎"),"◎ 営業",IF(OR(D39="△",E39="△"),"△ 着手済・要確認",IF(OR(D39="？",E39="？"),"？ 期間要確認","✕ 対象外")))</f>
        <v/>
      </c>
      <c r="D39" s="14">
        <f>IF(J39="計画なし","－",IF(J39="策定済","✕",IF(H39="","？",IF(AND(H39&gt;=TGT_MIN,H39&lt;=TGT_MAX),IF(J39="着手済","△","◎"),"✕"))))</f>
        <v/>
      </c>
      <c r="E39" s="14">
        <f>IF(P39="計画なし","－",IF(P39="策定済","✕",IF(N39="","？",IF(AND(N39&gt;=TGT_MIN,N39&lt;=TGT_MAX),IF(P39="着手済","△","◎"),"✕"))))</f>
        <v/>
      </c>
      <c r="F39" s="12" t="inlineStr">
        <is>
          <t>東海村地域公共交通計画</t>
        </is>
      </c>
      <c r="G39" s="12" t="inlineStr">
        <is>
          <t>不明</t>
        </is>
      </c>
      <c r="H39" s="14" t="n"/>
      <c r="I39" s="14" t="inlineStr">
        <is>
          <t>不明</t>
        </is>
      </c>
      <c r="J39" s="14" t="inlineStr">
        <is>
          <t>未確認</t>
        </is>
      </c>
      <c r="K39" s="15" t="inlineStr">
        <is>
          <t>https://www.vill.tokai.ibaraki.jp/soshikikarasagasu/sangyobu/sangyoseisakuka/1/1_2/2/5673.html</t>
        </is>
      </c>
      <c r="L39" s="12" t="inlineStr">
        <is>
          <t>第4次東海村環境基本計画</t>
        </is>
      </c>
      <c r="M39" s="12" t="inlineStr">
        <is>
          <t>R8〜R17</t>
        </is>
      </c>
      <c r="N39" s="14" t="n">
        <v>17</v>
      </c>
      <c r="O39" s="14" t="inlineStr">
        <is>
          <t>確認済</t>
        </is>
      </c>
      <c r="P39" s="14" t="inlineStr">
        <is>
          <t>策定済</t>
        </is>
      </c>
      <c r="Q39" s="15" t="inlineStr">
        <is>
          <t>https://www.vill.tokai.ibaraki.jp/soshikikarasagasu/somminseikatsubu/kankyoseisakuka/1/1/4/11386.html</t>
        </is>
      </c>
      <c r="R39" s="12"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6" t="inlineStr">
        <is>
          <t>調査済</t>
        </is>
      </c>
      <c r="T39" s="12" t="inlineStr">
        <is>
          <t>掲載</t>
        </is>
      </c>
    </row>
    <row r="40">
      <c r="A40" s="12" t="n">
        <v>37</v>
      </c>
      <c r="B40" s="12" t="inlineStr">
        <is>
          <t>大子町</t>
        </is>
      </c>
      <c r="C40" s="13">
        <f>IF(OR(D40="◎",E40="◎"),"◎ 営業",IF(OR(D40="△",E40="△"),"△ 着手済・要確認",IF(OR(D40="？",E40="？"),"？ 期間要確認","✕ 対象外")))</f>
        <v/>
      </c>
      <c r="D40" s="14">
        <f>IF(J40="計画なし","－",IF(J40="策定済","✕",IF(H40="","？",IF(AND(H40&gt;=TGT_MIN,H40&lt;=TGT_MAX),IF(J40="着手済","△","◎"),"✕"))))</f>
        <v/>
      </c>
      <c r="E40" s="14">
        <f>IF(P40="計画なし","－",IF(P40="策定済","✕",IF(N40="","？",IF(AND(N40&gt;=TGT_MIN,N40&lt;=TGT_MAX),IF(P40="着手済","△","◎"),"✕"))))</f>
        <v/>
      </c>
      <c r="F40" s="12" t="inlineStr">
        <is>
          <t>大子町地域公共交通計画（及び大子町地域公共交通再編計画）</t>
        </is>
      </c>
      <c r="G40" s="12" t="inlineStr">
        <is>
          <t>不明</t>
        </is>
      </c>
      <c r="H40" s="14" t="n"/>
      <c r="I40" s="14" t="inlineStr">
        <is>
          <t>不明</t>
        </is>
      </c>
      <c r="J40" s="14" t="inlineStr">
        <is>
          <t>未確認</t>
        </is>
      </c>
      <c r="K40" s="15" t="inlineStr">
        <is>
          <t>https://www.town.daigo.ibaraki.jp/page/page002515.html</t>
        </is>
      </c>
      <c r="L40" s="12" t="inlineStr">
        <is>
          <t>大子町環境基本計画</t>
        </is>
      </c>
      <c r="M40" s="12" t="inlineStr">
        <is>
          <t>H30〜R9</t>
        </is>
      </c>
      <c r="N40" s="17" t="n">
        <v>9</v>
      </c>
      <c r="O40" s="14" t="inlineStr">
        <is>
          <t>推定</t>
        </is>
      </c>
      <c r="P40" s="14" t="inlineStr">
        <is>
          <t>未確認</t>
        </is>
      </c>
      <c r="Q40" s="15" t="inlineStr">
        <is>
          <t>https://www.town.daigo.ibaraki.jp/page/page003178.html</t>
        </is>
      </c>
      <c r="R40" s="12"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6" t="inlineStr">
        <is>
          <t>調査済</t>
        </is>
      </c>
      <c r="T40" s="12" t="inlineStr">
        <is>
          <t>掲載</t>
        </is>
      </c>
    </row>
    <row r="41">
      <c r="A41" s="12" t="n">
        <v>38</v>
      </c>
      <c r="B41" s="12" t="inlineStr">
        <is>
          <t>美浦村</t>
        </is>
      </c>
      <c r="C41" s="13">
        <f>IF(OR(D41="◎",E41="◎"),"◎ 営業",IF(OR(D41="△",E41="△"),"△ 着手済・要確認",IF(OR(D41="？",E41="？"),"？ 期間要確認","✕ 対象外")))</f>
        <v/>
      </c>
      <c r="D41" s="14">
        <f>IF(J41="計画なし","－",IF(J41="策定済","✕",IF(H41="","？",IF(AND(H41&gt;=TGT_MIN,H41&lt;=TGT_MAX),IF(J41="着手済","△","◎"),"✕"))))</f>
        <v/>
      </c>
      <c r="E41" s="14">
        <f>IF(P41="計画なし","－",IF(P41="策定済","✕",IF(N41="","？",IF(AND(N41&gt;=TGT_MIN,N41&lt;=TGT_MAX),IF(P41="着手済","△","◎"),"✕"))))</f>
        <v/>
      </c>
      <c r="F41" s="12" t="n"/>
      <c r="G41" s="12" t="inlineStr">
        <is>
          <t>不明</t>
        </is>
      </c>
      <c r="H41" s="14" t="n"/>
      <c r="I41" s="14" t="inlineStr">
        <is>
          <t>不明</t>
        </is>
      </c>
      <c r="J41" s="14" t="inlineStr">
        <is>
          <t>未確認</t>
        </is>
      </c>
      <c r="K41" s="12" t="n"/>
      <c r="L41" s="12" t="n"/>
      <c r="M41" s="12" t="inlineStr">
        <is>
          <t>不明</t>
        </is>
      </c>
      <c r="N41" s="17" t="n"/>
      <c r="O41" s="14" t="inlineStr">
        <is>
          <t>推定</t>
        </is>
      </c>
      <c r="P41" s="14" t="inlineStr">
        <is>
          <t>計画なし</t>
        </is>
      </c>
      <c r="Q41" s="12" t="n"/>
      <c r="R41" s="12"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19" t="inlineStr">
        <is>
          <t>環境のみ調査</t>
        </is>
      </c>
      <c r="T41" s="12" t="inlineStr">
        <is>
          <t>未掲載</t>
        </is>
      </c>
    </row>
    <row r="42">
      <c r="A42" s="12" t="n">
        <v>39</v>
      </c>
      <c r="B42" s="12" t="inlineStr">
        <is>
          <t>阿見町</t>
        </is>
      </c>
      <c r="C42" s="13">
        <f>IF(OR(D42="◎",E42="◎"),"◎ 営業",IF(OR(D42="△",E42="△"),"△ 着手済・要確認",IF(OR(D42="？",E42="？"),"？ 期間要確認","✕ 対象外")))</f>
        <v/>
      </c>
      <c r="D42" s="14">
        <f>IF(J42="計画なし","－",IF(J42="策定済","✕",IF(H42="","？",IF(AND(H42&gt;=TGT_MIN,H42&lt;=TGT_MAX),IF(J42="着手済","△","◎"),"✕"))))</f>
        <v/>
      </c>
      <c r="E42" s="14">
        <f>IF(P42="計画なし","－",IF(P42="策定済","✕",IF(N42="","？",IF(AND(N42&gt;=TGT_MIN,N42&lt;=TGT_MAX),IF(P42="着手済","△","◎"),"✕"))))</f>
        <v/>
      </c>
      <c r="F42" s="12" t="inlineStr">
        <is>
          <t>阿見町地域公共交通計画</t>
        </is>
      </c>
      <c r="G42" s="12" t="inlineStr">
        <is>
          <t>R5〜R9</t>
        </is>
      </c>
      <c r="H42" s="17" t="n">
        <v>9</v>
      </c>
      <c r="I42" s="14" t="inlineStr">
        <is>
          <t>推定</t>
        </is>
      </c>
      <c r="J42" s="14" t="inlineStr">
        <is>
          <t>未確認</t>
        </is>
      </c>
      <c r="K42" s="15" t="inlineStr">
        <is>
          <t>https://www.town.ami.lg.jp/cmsfiles/contents/0000009/9640/keikaku.pdf</t>
        </is>
      </c>
      <c r="L42" s="12" t="inlineStr">
        <is>
          <t>第2次阿見町環境基本計画</t>
        </is>
      </c>
      <c r="M42" s="12" t="inlineStr">
        <is>
          <t>R3〜R12</t>
        </is>
      </c>
      <c r="N42" s="14" t="n">
        <v>12</v>
      </c>
      <c r="O42" s="14" t="inlineStr">
        <is>
          <t>確認済</t>
        </is>
      </c>
      <c r="P42" s="14" t="inlineStr">
        <is>
          <t>未確認</t>
        </is>
      </c>
      <c r="Q42" s="15" t="inlineStr">
        <is>
          <t>https://www.town.ami.lg.jp/cmsfiles/contents/0000012/12659/1syou.pdf</t>
        </is>
      </c>
      <c r="R42" s="12"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6" t="inlineStr">
        <is>
          <t>調査済</t>
        </is>
      </c>
      <c r="T42" s="12" t="inlineStr">
        <is>
          <t>掲載</t>
        </is>
      </c>
      <c r="U42" s="20" t="inlineStr">
        <is>
          <t>→メモ</t>
        </is>
      </c>
    </row>
    <row r="43">
      <c r="A43" s="12" t="n">
        <v>40</v>
      </c>
      <c r="B43" s="12" t="inlineStr">
        <is>
          <t>河内町</t>
        </is>
      </c>
      <c r="C43" s="13">
        <f>IF(OR(D43="◎",E43="◎"),"◎ 営業",IF(OR(D43="△",E43="△"),"△ 着手済・要確認",IF(OR(D43="？",E43="？"),"？ 期間要確認","✕ 対象外")))</f>
        <v/>
      </c>
      <c r="D43" s="14">
        <f>IF(J43="計画なし","－",IF(J43="策定済","✕",IF(H43="","？",IF(AND(H43&gt;=TGT_MIN,H43&lt;=TGT_MAX),IF(J43="着手済","△","◎"),"✕"))))</f>
        <v/>
      </c>
      <c r="E43" s="14">
        <f>IF(P43="計画なし","－",IF(P43="策定済","✕",IF(N43="","？",IF(AND(N43&gt;=TGT_MIN,N43&lt;=TGT_MAX),IF(P43="着手済","△","◎"),"✕"))))</f>
        <v/>
      </c>
      <c r="F43" s="12" t="n"/>
      <c r="G43" s="12" t="inlineStr">
        <is>
          <t>不明</t>
        </is>
      </c>
      <c r="H43" s="14" t="n"/>
      <c r="I43" s="14" t="inlineStr">
        <is>
          <t>不明</t>
        </is>
      </c>
      <c r="J43" s="14" t="inlineStr">
        <is>
          <t>未確認</t>
        </is>
      </c>
      <c r="K43" s="12" t="n"/>
      <c r="L43" s="12" t="n"/>
      <c r="M43" s="12" t="inlineStr">
        <is>
          <t>不明</t>
        </is>
      </c>
      <c r="N43" s="17" t="n"/>
      <c r="O43" s="14" t="inlineStr">
        <is>
          <t>推定</t>
        </is>
      </c>
      <c r="P43" s="14" t="inlineStr">
        <is>
          <t>計画なし</t>
        </is>
      </c>
      <c r="Q43" s="12" t="n"/>
      <c r="R43" s="12"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19" t="inlineStr">
        <is>
          <t>環境のみ調査</t>
        </is>
      </c>
      <c r="T43" s="12" t="inlineStr">
        <is>
          <t>未掲載</t>
        </is>
      </c>
    </row>
    <row r="44">
      <c r="A44" s="12" t="n">
        <v>41</v>
      </c>
      <c r="B44" s="12" t="inlineStr">
        <is>
          <t>八千代町</t>
        </is>
      </c>
      <c r="C44" s="13">
        <f>IF(OR(D44="◎",E44="◎"),"◎ 営業",IF(OR(D44="△",E44="△"),"△ 着手済・要確認",IF(OR(D44="？",E44="？"),"？ 期間要確認","✕ 対象外")))</f>
        <v/>
      </c>
      <c r="D44" s="14">
        <f>IF(J44="計画なし","－",IF(J44="策定済","✕",IF(H44="","？",IF(AND(H44&gt;=TGT_MIN,H44&lt;=TGT_MAX),IF(J44="着手済","△","◎"),"✕"))))</f>
        <v/>
      </c>
      <c r="E44" s="14">
        <f>IF(P44="計画なし","－",IF(P44="策定済","✕",IF(N44="","？",IF(AND(N44&gt;=TGT_MIN,N44&lt;=TGT_MAX),IF(P44="着手済","△","◎"),"✕"))))</f>
        <v/>
      </c>
      <c r="F44" s="12" t="inlineStr">
        <is>
          <t>八千代町地域公共交通計画（策定事業・名称未確認）</t>
        </is>
      </c>
      <c r="G44" s="12" t="inlineStr">
        <is>
          <t>不明</t>
        </is>
      </c>
      <c r="H44" s="14" t="n"/>
      <c r="I44" s="14" t="inlineStr">
        <is>
          <t>不明</t>
        </is>
      </c>
      <c r="J44" s="14" t="inlineStr">
        <is>
          <t>着手済</t>
        </is>
      </c>
      <c r="K44" s="12" t="n"/>
      <c r="L44" s="12" t="n"/>
      <c r="M44" s="12" t="inlineStr">
        <is>
          <t>不明</t>
        </is>
      </c>
      <c r="N44" s="14" t="n"/>
      <c r="O44" s="14" t="inlineStr">
        <is>
          <t>不明</t>
        </is>
      </c>
      <c r="P44" s="14" t="inlineStr">
        <is>
          <t>未確認</t>
        </is>
      </c>
      <c r="Q44" s="12" t="n"/>
      <c r="R44" s="12"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19" t="inlineStr">
        <is>
          <t>交通のみ調査</t>
        </is>
      </c>
      <c r="T44" s="12" t="inlineStr">
        <is>
          <t>掲載</t>
        </is>
      </c>
    </row>
    <row r="45">
      <c r="A45" s="12" t="n">
        <v>42</v>
      </c>
      <c r="B45" s="12" t="inlineStr">
        <is>
          <t>五霞町</t>
        </is>
      </c>
      <c r="C45" s="13">
        <f>IF(OR(D45="◎",E45="◎"),"◎ 営業",IF(OR(D45="△",E45="△"),"△ 着手済・要確認",IF(OR(D45="？",E45="？"),"？ 期間要確認","✕ 対象外")))</f>
        <v/>
      </c>
      <c r="D45" s="14">
        <f>IF(J45="計画なし","－",IF(J45="策定済","✕",IF(H45="","？",IF(AND(H45&gt;=TGT_MIN,H45&lt;=TGT_MAX),IF(J45="着手済","△","◎"),"✕"))))</f>
        <v/>
      </c>
      <c r="E45" s="14">
        <f>IF(P45="計画なし","－",IF(P45="策定済","✕",IF(N45="","？",IF(AND(N45&gt;=TGT_MIN,N45&lt;=TGT_MAX),IF(P45="着手済","△","◎"),"✕"))))</f>
        <v/>
      </c>
      <c r="F45" s="12" t="inlineStr">
        <is>
          <t>五霞町地域公共交通計画</t>
        </is>
      </c>
      <c r="G45" s="12" t="inlineStr">
        <is>
          <t>R5〜R9</t>
        </is>
      </c>
      <c r="H45" s="17" t="n">
        <v>9</v>
      </c>
      <c r="I45" s="14" t="inlineStr">
        <is>
          <t>推定</t>
        </is>
      </c>
      <c r="J45" s="14" t="inlineStr">
        <is>
          <t>未確認</t>
        </is>
      </c>
      <c r="K45" s="15" t="inlineStr">
        <is>
          <t>https://www.town.goka.lg.jp/data/doc/1690350530_doc_20_0.pdf</t>
        </is>
      </c>
      <c r="L45" s="12" t="inlineStr">
        <is>
          <t>五霞町環境基本計画（改定版）</t>
        </is>
      </c>
      <c r="M45" s="12" t="inlineStr">
        <is>
          <t>R5〜R14</t>
        </is>
      </c>
      <c r="N45" s="14" t="n">
        <v>14</v>
      </c>
      <c r="O45" s="14" t="inlineStr">
        <is>
          <t>確認済</t>
        </is>
      </c>
      <c r="P45" s="14" t="inlineStr">
        <is>
          <t>未確認</t>
        </is>
      </c>
      <c r="Q45" s="15" t="inlineStr">
        <is>
          <t>https://www.town.goka.lg.jp/data/doc/1684388643_doc_20_0.pdf</t>
        </is>
      </c>
      <c r="R45" s="12"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6" t="inlineStr">
        <is>
          <t>調査済</t>
        </is>
      </c>
      <c r="T45" s="12" t="inlineStr">
        <is>
          <t>掲載</t>
        </is>
      </c>
      <c r="U45" s="20" t="inlineStr">
        <is>
          <t>→メモ</t>
        </is>
      </c>
    </row>
    <row r="46">
      <c r="A46" s="12" t="n">
        <v>43</v>
      </c>
      <c r="B46" s="12" t="inlineStr">
        <is>
          <t>境町</t>
        </is>
      </c>
      <c r="C46" s="13">
        <f>IF(OR(D46="◎",E46="◎"),"◎ 営業",IF(OR(D46="△",E46="△"),"△ 着手済・要確認",IF(OR(D46="？",E46="？"),"？ 期間要確認","✕ 対象外")))</f>
        <v/>
      </c>
      <c r="D46" s="14">
        <f>IF(J46="計画なし","－",IF(J46="策定済","✕",IF(H46="","？",IF(AND(H46&gt;=TGT_MIN,H46&lt;=TGT_MAX),IF(J46="着手済","△","◎"),"✕"))))</f>
        <v/>
      </c>
      <c r="E46" s="14">
        <f>IF(P46="計画なし","－",IF(P46="策定済","✕",IF(N46="","？",IF(AND(N46&gt;=TGT_MIN,N46&lt;=TGT_MAX),IF(P46="着手済","△","◎"),"✕"))))</f>
        <v/>
      </c>
      <c r="F46" s="12" t="n"/>
      <c r="G46" s="12" t="inlineStr">
        <is>
          <t>不明</t>
        </is>
      </c>
      <c r="H46" s="14" t="n"/>
      <c r="I46" s="14" t="inlineStr">
        <is>
          <t>不明</t>
        </is>
      </c>
      <c r="J46" s="14" t="inlineStr">
        <is>
          <t>未確認</t>
        </is>
      </c>
      <c r="K46" s="12" t="n"/>
      <c r="L46" s="12" t="n"/>
      <c r="M46" s="12" t="inlineStr">
        <is>
          <t>不明</t>
        </is>
      </c>
      <c r="N46" s="14" t="n"/>
      <c r="O46" s="14" t="inlineStr">
        <is>
          <t>不明</t>
        </is>
      </c>
      <c r="P46" s="14" t="inlineStr">
        <is>
          <t>未確認</t>
        </is>
      </c>
      <c r="Q46" s="12" t="n"/>
      <c r="R46" s="12"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19" t="inlineStr">
        <is>
          <t>未調査</t>
        </is>
      </c>
      <c r="T46" s="12" t="inlineStr">
        <is>
          <t>未掲載</t>
        </is>
      </c>
    </row>
    <row r="47">
      <c r="A47" s="12" t="n">
        <v>44</v>
      </c>
      <c r="B47" s="12" t="inlineStr">
        <is>
          <t>利根町</t>
        </is>
      </c>
      <c r="C47" s="13">
        <f>IF(OR(D47="◎",E47="◎"),"◎ 営業",IF(OR(D47="△",E47="△"),"△ 着手済・要確認",IF(OR(D47="？",E47="？"),"？ 期間要確認","✕ 対象外")))</f>
        <v/>
      </c>
      <c r="D47" s="14">
        <f>IF(J47="計画なし","－",IF(J47="策定済","✕",IF(H47="","？",IF(AND(H47&gt;=TGT_MIN,H47&lt;=TGT_MAX),IF(J47="着手済","△","◎"),"✕"))))</f>
        <v/>
      </c>
      <c r="E47" s="14">
        <f>IF(P47="計画なし","－",IF(P47="策定済","✕",IF(N47="","？",IF(AND(N47&gt;=TGT_MIN,N47&lt;=TGT_MAX),IF(P47="着手済","△","◎"),"✕"))))</f>
        <v/>
      </c>
      <c r="F47" s="12" t="inlineStr">
        <is>
          <t>利根町地域公共交通計画（策定事業・名称未確認）</t>
        </is>
      </c>
      <c r="G47" s="12" t="inlineStr">
        <is>
          <t>不明</t>
        </is>
      </c>
      <c r="H47" s="14" t="n"/>
      <c r="I47" s="14" t="inlineStr">
        <is>
          <t>不明</t>
        </is>
      </c>
      <c r="J47" s="14" t="inlineStr">
        <is>
          <t>着手済</t>
        </is>
      </c>
      <c r="K47" s="12" t="n"/>
      <c r="L47" s="12" t="inlineStr">
        <is>
          <t>利根町環境基本計画（R7案公表・初の計画）</t>
        </is>
      </c>
      <c r="M47" s="12" t="inlineStr">
        <is>
          <t>R8〜R17</t>
        </is>
      </c>
      <c r="N47" s="17" t="n">
        <v>17</v>
      </c>
      <c r="O47" s="14" t="inlineStr">
        <is>
          <t>推定</t>
        </is>
      </c>
      <c r="P47" s="14" t="inlineStr">
        <is>
          <t>着手済</t>
        </is>
      </c>
      <c r="Q47" s="15" t="inlineStr">
        <is>
          <t>https://www.town.tone.ibaraki.jp/data/doc/1766025418_doc_182_0.pdf</t>
        </is>
      </c>
      <c r="R47" s="12"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6" t="inlineStr">
        <is>
          <t>調査済</t>
        </is>
      </c>
      <c r="T47" s="12"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xmlns:r="http://schemas.openxmlformats.org/officeDocument/2006/relationships" ref="K24" r:id="rId35"/>
    <hyperlink xmlns:r="http://schemas.openxmlformats.org/officeDocument/2006/relationships" ref="Q24" r:id="rId36"/>
    <hyperlink ref="U24" location="'営業メモ'!C23" display="→メモ"/>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xmlns:r="http://schemas.openxmlformats.org/officeDocument/2006/relationships" ref="K42" r:id="rId66"/>
    <hyperlink xmlns:r="http://schemas.openxmlformats.org/officeDocument/2006/relationships" ref="Q42" r:id="rId67"/>
    <hyperlink ref="U42" location="'営業メモ'!C24" display="→メモ"/>
    <hyperlink xmlns:r="http://schemas.openxmlformats.org/officeDocument/2006/relationships" ref="K45" r:id="rId68"/>
    <hyperlink xmlns:r="http://schemas.openxmlformats.org/officeDocument/2006/relationships" ref="Q45" r:id="rId69"/>
    <hyperlink ref="U45" location="'営業メモ'!C25" display="→メモ"/>
    <hyperlink xmlns:r="http://schemas.openxmlformats.org/officeDocument/2006/relationships" ref="Q47" r:id="rId7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s>
  <sheetData>
    <row r="1">
      <c r="A1" s="1" t="inlineStr">
        <is>
          <t>栃木県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row>
    <row r="4">
      <c r="A4" s="12" t="n">
        <v>1</v>
      </c>
      <c r="B4" s="12" t="inlineStr">
        <is>
          <t>宇都宮市</t>
        </is>
      </c>
      <c r="C4" s="13">
        <f>IF(OR(D4="◎",E4="◎"),"◎ 営業",IF(OR(D4="△",E4="△"),"△ 着手済・要確認",IF(OR(D4="？",E4="？"),"？ 期間要確認","✕ 対象外")))</f>
        <v/>
      </c>
      <c r="D4" s="14">
        <f>IF(J4="計画なし","－",IF(J4="策定済","✕",IF(H4="","？",IF(AND(H4&gt;=TGT_MIN,H4&lt;=TGT_MAX),IF(J4="着手済","△","◎"),"✕"))))</f>
        <v/>
      </c>
      <c r="E4" s="14">
        <f>IF(P4="計画なし","－",IF(P4="策定済","✕",IF(N4="","？",IF(AND(N4&gt;=TGT_MIN,N4&lt;=TGT_MAX),IF(P4="着手済","△","◎"),"✕"))))</f>
        <v/>
      </c>
      <c r="F4" s="12" t="inlineStr">
        <is>
          <t>芳賀・宇都宮地域公共交通計画（芳賀町と共同）</t>
        </is>
      </c>
      <c r="G4" s="12" t="inlineStr">
        <is>
          <t>R6〜R15</t>
        </is>
      </c>
      <c r="H4" s="14" t="n">
        <v>15</v>
      </c>
      <c r="I4" s="14" t="inlineStr">
        <is>
          <t>確認済</t>
        </is>
      </c>
      <c r="J4" s="14" t="inlineStr">
        <is>
          <t>未確認</t>
        </is>
      </c>
      <c r="K4" s="15" t="inlineStr">
        <is>
          <t>https://www.city.utsunomiya.lg.jp/_res/projects/default_project/_page_/001/035/885/chiikikeikaku.pdf</t>
        </is>
      </c>
      <c r="L4" s="12" t="inlineStr">
        <is>
          <t>第4次宇都宮市環境基本計画</t>
        </is>
      </c>
      <c r="M4" s="12" t="inlineStr">
        <is>
          <t>R8〜R12</t>
        </is>
      </c>
      <c r="N4" s="14" t="n">
        <v>12</v>
      </c>
      <c r="O4" s="14" t="inlineStr">
        <is>
          <t>確認済</t>
        </is>
      </c>
      <c r="P4" s="14" t="inlineStr">
        <is>
          <t>策定済</t>
        </is>
      </c>
      <c r="Q4" s="15" t="inlineStr">
        <is>
          <t>https://www.city.utsunomiya.lg.jp/_res/projects/default_project/_page_/001/045/465/4ji_sasshi.pdf</t>
        </is>
      </c>
      <c r="R4" s="12" t="inlineStr">
        <is>
          <t>環境：第4次をR8.3策定済（R7.6諮問）。交通：R15まで、改定の動きなし。</t>
        </is>
      </c>
      <c r="S4" s="16" t="inlineStr">
        <is>
          <t>調査済</t>
        </is>
      </c>
      <c r="T4" s="12" t="inlineStr">
        <is>
          <t>掲載（広域：芳賀・宇都宮）</t>
        </is>
      </c>
    </row>
    <row r="5">
      <c r="A5" s="12" t="n">
        <v>2</v>
      </c>
      <c r="B5" s="12" t="inlineStr">
        <is>
          <t>足利市</t>
        </is>
      </c>
      <c r="C5" s="13">
        <f>IF(OR(D5="◎",E5="◎"),"◎ 営業",IF(OR(D5="△",E5="△"),"△ 着手済・要確認",IF(OR(D5="？",E5="？"),"？ 期間要確認","✕ 対象外")))</f>
        <v/>
      </c>
      <c r="D5" s="14">
        <f>IF(J5="計画なし","－",IF(J5="策定済","✕",IF(H5="","？",IF(AND(H5&gt;=TGT_MIN,H5&lt;=TGT_MAX),IF(J5="着手済","△","◎"),"✕"))))</f>
        <v/>
      </c>
      <c r="E5" s="14">
        <f>IF(P5="計画なし","－",IF(P5="策定済","✕",IF(N5="","？",IF(AND(N5&gt;=TGT_MIN,N5&lt;=TGT_MAX),IF(P5="着手済","△","◎"),"✕"))))</f>
        <v/>
      </c>
      <c r="F5" s="12" t="inlineStr">
        <is>
          <t>足利市地域公共交通計画</t>
        </is>
      </c>
      <c r="G5" s="12" t="inlineStr">
        <is>
          <t>R5〜R11</t>
        </is>
      </c>
      <c r="H5" s="14" t="n">
        <v>11</v>
      </c>
      <c r="I5" s="14" t="inlineStr">
        <is>
          <t>確認済</t>
        </is>
      </c>
      <c r="J5" s="14" t="inlineStr">
        <is>
          <t>未確認</t>
        </is>
      </c>
      <c r="K5" s="15" t="inlineStr">
        <is>
          <t>https://www.city.ashikaga.tochigi.jp/manage/contents/upload/64dc71a539bc0.pdf</t>
        </is>
      </c>
      <c r="L5" s="12" t="inlineStr">
        <is>
          <t>第3次足利市環境基本計画</t>
        </is>
      </c>
      <c r="M5" s="12" t="inlineStr">
        <is>
          <t>R4〜R11</t>
        </is>
      </c>
      <c r="N5" s="14" t="n">
        <v>11</v>
      </c>
      <c r="O5" s="14" t="inlineStr">
        <is>
          <t>確認済</t>
        </is>
      </c>
      <c r="P5" s="14" t="inlineStr">
        <is>
          <t>未確認</t>
        </is>
      </c>
      <c r="Q5" s="15" t="inlineStr">
        <is>
          <t>https://www.city.ashikaga.tochigi.jp/manage/contents/upload/633fd39cd506a.pdf</t>
        </is>
      </c>
      <c r="R5" s="12" t="inlineStr">
        <is>
          <t>どちらもR11まで。改定の動きは見つからず。</t>
        </is>
      </c>
      <c r="S5" s="16" t="inlineStr">
        <is>
          <t>調査済</t>
        </is>
      </c>
      <c r="T5" s="12" t="inlineStr">
        <is>
          <t>掲載</t>
        </is>
      </c>
    </row>
    <row r="6">
      <c r="A6" s="12" t="n">
        <v>3</v>
      </c>
      <c r="B6" s="12" t="inlineStr">
        <is>
          <t>栃木市</t>
        </is>
      </c>
      <c r="C6" s="13">
        <f>IF(OR(D6="◎",E6="◎"),"◎ 営業",IF(OR(D6="△",E6="△"),"△ 着手済・要確認",IF(OR(D6="？",E6="？"),"？ 期間要確認","✕ 対象外")))</f>
        <v/>
      </c>
      <c r="D6" s="14">
        <f>IF(J6="計画なし","－",IF(J6="策定済","✕",IF(H6="","？",IF(AND(H6&gt;=TGT_MIN,H6&lt;=TGT_MAX),IF(J6="着手済","△","◎"),"✕"))))</f>
        <v/>
      </c>
      <c r="E6" s="14">
        <f>IF(P6="計画なし","－",IF(P6="策定済","✕",IF(N6="","？",IF(AND(N6&gt;=TGT_MIN,N6&lt;=TGT_MAX),IF(P6="着手済","△","◎"),"✕"))))</f>
        <v/>
      </c>
      <c r="F6" s="12" t="inlineStr">
        <is>
          <t>栃木市地域公共交通計画（R6.6改定）</t>
        </is>
      </c>
      <c r="G6" s="12" t="inlineStr">
        <is>
          <t>R6.6〜R9</t>
        </is>
      </c>
      <c r="H6" s="14" t="n">
        <v>9</v>
      </c>
      <c r="I6" s="14" t="inlineStr">
        <is>
          <t>確認済</t>
        </is>
      </c>
      <c r="J6" s="14" t="inlineStr">
        <is>
          <t>着手済</t>
        </is>
      </c>
      <c r="K6" s="15" t="inlineStr">
        <is>
          <t>https://www.city.tochigi.lg.jp/uploaded/attachment/56361.pdf</t>
        </is>
      </c>
      <c r="L6" s="12" t="inlineStr">
        <is>
          <t>第2次栃木市環境基本計画</t>
        </is>
      </c>
      <c r="M6" s="12" t="inlineStr">
        <is>
          <t>R5〜R14</t>
        </is>
      </c>
      <c r="N6" s="14" t="n">
        <v>14</v>
      </c>
      <c r="O6" s="14" t="inlineStr">
        <is>
          <t>確認済</t>
        </is>
      </c>
      <c r="P6" s="14" t="inlineStr">
        <is>
          <t>未確認</t>
        </is>
      </c>
      <c r="Q6" s="15" t="inlineStr">
        <is>
          <t>https://www.city.tochigi.lg.jp/uploaded/attachment/60576.pdf</t>
        </is>
      </c>
      <c r="R6" s="12"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6" t="inlineStr">
        <is>
          <t>調査済</t>
        </is>
      </c>
      <c r="T6" s="12" t="inlineStr">
        <is>
          <t>掲載</t>
        </is>
      </c>
      <c r="U6" s="20" t="inlineStr">
        <is>
          <t>→メモ</t>
        </is>
      </c>
    </row>
    <row r="7">
      <c r="A7" s="12" t="n">
        <v>4</v>
      </c>
      <c r="B7" s="12" t="inlineStr">
        <is>
          <t>佐野市</t>
        </is>
      </c>
      <c r="C7" s="13">
        <f>IF(OR(D7="◎",E7="◎"),"◎ 営業",IF(OR(D7="△",E7="△"),"△ 着手済・要確認",IF(OR(D7="？",E7="？"),"？ 期間要確認","✕ 対象外")))</f>
        <v/>
      </c>
      <c r="D7" s="14">
        <f>IF(J7="計画なし","－",IF(J7="策定済","✕",IF(H7="","？",IF(AND(H7&gt;=TGT_MIN,H7&lt;=TGT_MAX),IF(J7="着手済","△","◎"),"✕"))))</f>
        <v/>
      </c>
      <c r="E7" s="14">
        <f>IF(P7="計画なし","－",IF(P7="策定済","✕",IF(N7="","？",IF(AND(N7&gt;=TGT_MIN,N7&lt;=TGT_MAX),IF(P7="着手済","△","◎"),"✕"))))</f>
        <v/>
      </c>
      <c r="F7" s="12" t="inlineStr">
        <is>
          <t>第2次佐野市地域公共交通計画</t>
        </is>
      </c>
      <c r="G7" s="12" t="inlineStr">
        <is>
          <t>R8〜R12</t>
        </is>
      </c>
      <c r="H7" s="14" t="n">
        <v>12</v>
      </c>
      <c r="I7" s="14" t="inlineStr">
        <is>
          <t>確認済</t>
        </is>
      </c>
      <c r="J7" s="14" t="inlineStr">
        <is>
          <t>策定済</t>
        </is>
      </c>
      <c r="K7" s="15" t="inlineStr">
        <is>
          <t>https://www.city.sano.lg.jp/material/files/group/1/koutuukeikaku2.pdf</t>
        </is>
      </c>
      <c r="L7" s="12" t="inlineStr">
        <is>
          <t>第2次佐野市環境基本計画（後期計画）</t>
        </is>
      </c>
      <c r="M7" s="12" t="inlineStr">
        <is>
          <t>R8〜R11</t>
        </is>
      </c>
      <c r="N7" s="14" t="n">
        <v>11</v>
      </c>
      <c r="O7" s="14" t="inlineStr">
        <is>
          <t>確認済</t>
        </is>
      </c>
      <c r="P7" s="14" t="inlineStr">
        <is>
          <t>策定済</t>
        </is>
      </c>
      <c r="Q7" s="15" t="inlineStr">
        <is>
          <t>https://www.city.sano.lg.jp/material/files/group/1/kankyoukouki2.pdf</t>
        </is>
      </c>
      <c r="R7" s="12" t="inlineStr">
        <is>
          <t>交通・環境とも新計画をR8.3策定済。</t>
        </is>
      </c>
      <c r="S7" s="16" t="inlineStr">
        <is>
          <t>調査済</t>
        </is>
      </c>
      <c r="T7" s="12" t="inlineStr">
        <is>
          <t>掲載</t>
        </is>
      </c>
    </row>
    <row r="8">
      <c r="A8" s="12" t="n">
        <v>5</v>
      </c>
      <c r="B8" s="12" t="inlineStr">
        <is>
          <t>鹿沼市</t>
        </is>
      </c>
      <c r="C8" s="13">
        <f>IF(OR(D8="◎",E8="◎"),"◎ 営業",IF(OR(D8="△",E8="△"),"△ 着手済・要確認",IF(OR(D8="？",E8="？"),"？ 期間要確認","✕ 対象外")))</f>
        <v/>
      </c>
      <c r="D8" s="14">
        <f>IF(J8="計画なし","－",IF(J8="策定済","✕",IF(H8="","？",IF(AND(H8&gt;=TGT_MIN,H8&lt;=TGT_MAX),IF(J8="着手済","△","◎"),"✕"))))</f>
        <v/>
      </c>
      <c r="E8" s="14">
        <f>IF(P8="計画なし","－",IF(P8="策定済","✕",IF(N8="","？",IF(AND(N8&gt;=TGT_MIN,N8&lt;=TGT_MAX),IF(P8="着手済","△","◎"),"✕"))))</f>
        <v/>
      </c>
      <c r="F8" s="12" t="inlineStr">
        <is>
          <t>鹿沼市地域公共交通計画</t>
        </is>
      </c>
      <c r="G8" s="12" t="inlineStr">
        <is>
          <t>R4〜R9</t>
        </is>
      </c>
      <c r="H8" s="14" t="n">
        <v>9</v>
      </c>
      <c r="I8" s="14" t="inlineStr">
        <is>
          <t>確認済</t>
        </is>
      </c>
      <c r="J8" s="14" t="inlineStr">
        <is>
          <t>未確認</t>
        </is>
      </c>
      <c r="K8" s="15" t="inlineStr">
        <is>
          <t>https://www.city.kanuma.tochigi.jp/manage/contents/upload/623824c0af645.pdf</t>
        </is>
      </c>
      <c r="L8" s="12" t="inlineStr">
        <is>
          <t>第5次鹿沼市環境基本計画</t>
        </is>
      </c>
      <c r="M8" s="12" t="inlineStr">
        <is>
          <t>R4〜R8</t>
        </is>
      </c>
      <c r="N8" s="14" t="n">
        <v>8</v>
      </c>
      <c r="O8" s="14" t="inlineStr">
        <is>
          <t>確認済</t>
        </is>
      </c>
      <c r="P8" s="14" t="inlineStr">
        <is>
          <t>未確認</t>
        </is>
      </c>
      <c r="Q8" s="15" t="inlineStr">
        <is>
          <t>https://www.city.kanuma.tochigi.jp/0097/info-0000007871-1.html</t>
        </is>
      </c>
      <c r="R8" s="12"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6" t="inlineStr">
        <is>
          <t>調査済</t>
        </is>
      </c>
      <c r="T8" s="12" t="inlineStr">
        <is>
          <t>掲載</t>
        </is>
      </c>
      <c r="U8" s="20" t="inlineStr">
        <is>
          <t>→メモ</t>
        </is>
      </c>
    </row>
    <row r="9">
      <c r="A9" s="12" t="n">
        <v>6</v>
      </c>
      <c r="B9" s="12" t="inlineStr">
        <is>
          <t>日光市</t>
        </is>
      </c>
      <c r="C9" s="13">
        <f>IF(OR(D9="◎",E9="◎"),"◎ 営業",IF(OR(D9="△",E9="△"),"△ 着手済・要確認",IF(OR(D9="？",E9="？"),"？ 期間要確認","✕ 対象外")))</f>
        <v/>
      </c>
      <c r="D9" s="14">
        <f>IF(J9="計画なし","－",IF(J9="策定済","✕",IF(H9="","？",IF(AND(H9&gt;=TGT_MIN,H9&lt;=TGT_MAX),IF(J9="着手済","△","◎"),"✕"))))</f>
        <v/>
      </c>
      <c r="E9" s="14">
        <f>IF(P9="計画なし","－",IF(P9="策定済","✕",IF(N9="","？",IF(AND(N9&gt;=TGT_MIN,N9&lt;=TGT_MAX),IF(P9="着手済","△","◎"),"✕"))))</f>
        <v/>
      </c>
      <c r="F9" s="12" t="inlineStr">
        <is>
          <t>日光市地域公共交通計画</t>
        </is>
      </c>
      <c r="G9" s="12" t="inlineStr">
        <is>
          <t>R5.4〜R10.3</t>
        </is>
      </c>
      <c r="H9" s="14" t="n">
        <v>9</v>
      </c>
      <c r="I9" s="14" t="inlineStr">
        <is>
          <t>確認済</t>
        </is>
      </c>
      <c r="J9" s="14" t="inlineStr">
        <is>
          <t>未確認</t>
        </is>
      </c>
      <c r="K9" s="15" t="inlineStr">
        <is>
          <t>https://www.city.nikko.lg.jp/material/files/group/33/tiikikoukyoukoutuukeikaku.pdf</t>
        </is>
      </c>
      <c r="L9" s="12" t="inlineStr">
        <is>
          <t>第2次日光市環境基本計画（R1.12策定）</t>
        </is>
      </c>
      <c r="M9" s="12" t="inlineStr">
        <is>
          <t>R2〜R11（推定）</t>
        </is>
      </c>
      <c r="N9" s="17" t="n">
        <v>11</v>
      </c>
      <c r="O9" s="14" t="inlineStr">
        <is>
          <t>推定</t>
        </is>
      </c>
      <c r="P9" s="14" t="inlineStr">
        <is>
          <t>未確認</t>
        </is>
      </c>
      <c r="Q9" s="15" t="inlineStr">
        <is>
          <t>https://www.city.nikko.lg.jp/soshiki/6/1031/5/1/1/125.html</t>
        </is>
      </c>
      <c r="R9" s="12"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6" t="inlineStr">
        <is>
          <t>調査済</t>
        </is>
      </c>
      <c r="T9" s="12" t="inlineStr">
        <is>
          <t>掲載</t>
        </is>
      </c>
      <c r="U9" s="20" t="inlineStr">
        <is>
          <t>→メモ</t>
        </is>
      </c>
    </row>
    <row r="10">
      <c r="A10" s="12" t="n">
        <v>7</v>
      </c>
      <c r="B10" s="12" t="inlineStr">
        <is>
          <t>小山市</t>
        </is>
      </c>
      <c r="C10" s="13">
        <f>IF(OR(D10="◎",E10="◎"),"◎ 営業",IF(OR(D10="△",E10="△"),"△ 着手済・要確認",IF(OR(D10="？",E10="？"),"？ 期間要確認","✕ 対象外")))</f>
        <v/>
      </c>
      <c r="D10" s="14">
        <f>IF(J10="計画なし","－",IF(J10="策定済","✕",IF(H10="","？",IF(AND(H10&gt;=TGT_MIN,H10&lt;=TGT_MAX),IF(J10="着手済","△","◎"),"✕"))))</f>
        <v/>
      </c>
      <c r="E10" s="14">
        <f>IF(P10="計画なし","－",IF(P10="策定済","✕",IF(N10="","？",IF(AND(N10&gt;=TGT_MIN,N10&lt;=TGT_MAX),IF(P10="着手済","△","◎"),"✕"))))</f>
        <v/>
      </c>
      <c r="F10" s="12" t="inlineStr">
        <is>
          <t>小山市地域公共交通計画</t>
        </is>
      </c>
      <c r="G10" s="12" t="inlineStr">
        <is>
          <t>R5.10〜R8.9</t>
        </is>
      </c>
      <c r="H10" s="14" t="n">
        <v>8</v>
      </c>
      <c r="I10" s="14" t="inlineStr">
        <is>
          <t>確認済</t>
        </is>
      </c>
      <c r="J10" s="14" t="inlineStr">
        <is>
          <t>着手済</t>
        </is>
      </c>
      <c r="K10" s="15" t="inlineStr">
        <is>
          <t>https://www.city.oyama.tochigi.jp/o-bus/news/page011195.html</t>
        </is>
      </c>
      <c r="L10" s="12" t="inlineStr">
        <is>
          <t>第4次小山市環境基本計画</t>
        </is>
      </c>
      <c r="M10" s="12" t="inlineStr">
        <is>
          <t>R5〜R14</t>
        </is>
      </c>
      <c r="N10" s="14" t="n">
        <v>14</v>
      </c>
      <c r="O10" s="14" t="inlineStr">
        <is>
          <t>確認済</t>
        </is>
      </c>
      <c r="P10" s="14" t="inlineStr">
        <is>
          <t>未確認</t>
        </is>
      </c>
      <c r="Q10" s="15" t="inlineStr">
        <is>
          <t>https://www.city.oyama.tochigi.jp/data/doc/1700382745_doc_21_0.pdf</t>
        </is>
      </c>
      <c r="R10" s="12" t="inlineStr">
        <is>
          <t>【改定作業中】交通：改訂支援業務をR7.6に公告、R8.5〜6に案のパブコメ。次期計画はR8.10〜R14.3。委託先は決定済。</t>
        </is>
      </c>
      <c r="S10" s="16" t="inlineStr">
        <is>
          <t>調査済</t>
        </is>
      </c>
      <c r="T10" s="12" t="inlineStr">
        <is>
          <t>掲載</t>
        </is>
      </c>
    </row>
    <row r="11">
      <c r="A11" s="12" t="n">
        <v>8</v>
      </c>
      <c r="B11" s="12" t="inlineStr">
        <is>
          <t>真岡市</t>
        </is>
      </c>
      <c r="C11" s="13">
        <f>IF(OR(D11="◎",E11="◎"),"◎ 営業",IF(OR(D11="△",E11="△"),"△ 着手済・要確認",IF(OR(D11="？",E11="？"),"？ 期間要確認","✕ 対象外")))</f>
        <v/>
      </c>
      <c r="D11" s="14">
        <f>IF(J11="計画なし","－",IF(J11="策定済","✕",IF(H11="","？",IF(AND(H11&gt;=TGT_MIN,H11&lt;=TGT_MAX),IF(J11="着手済","△","◎"),"✕"))))</f>
        <v/>
      </c>
      <c r="E11" s="14">
        <f>IF(P11="計画なし","－",IF(P11="策定済","✕",IF(N11="","？",IF(AND(N11&gt;=TGT_MIN,N11&lt;=TGT_MAX),IF(P11="着手済","△","◎"),"✕"))))</f>
        <v/>
      </c>
      <c r="F11" s="12" t="inlineStr">
        <is>
          <t>真岡市地域公共交通計画（R8.3策定）</t>
        </is>
      </c>
      <c r="G11" s="12" t="inlineStr">
        <is>
          <t>R8〜R12</t>
        </is>
      </c>
      <c r="H11" s="14" t="n">
        <v>12</v>
      </c>
      <c r="I11" s="14" t="inlineStr">
        <is>
          <t>確認済</t>
        </is>
      </c>
      <c r="J11" s="14" t="inlineStr">
        <is>
          <t>策定済</t>
        </is>
      </c>
      <c r="K11" s="15" t="inlineStr">
        <is>
          <t>https://www.city.moka.lg.jp/material/files/group/47/kotsu_plan_r8.pdf</t>
        </is>
      </c>
      <c r="L11" s="12" t="inlineStr">
        <is>
          <t>第3次真岡市環境基本計画</t>
        </is>
      </c>
      <c r="M11" s="12" t="inlineStr">
        <is>
          <t>R8〜R17</t>
        </is>
      </c>
      <c r="N11" s="14" t="n">
        <v>17</v>
      </c>
      <c r="O11" s="14" t="inlineStr">
        <is>
          <t>確認済</t>
        </is>
      </c>
      <c r="P11" s="14" t="inlineStr">
        <is>
          <t>策定済</t>
        </is>
      </c>
      <c r="Q11" s="15" t="inlineStr">
        <is>
          <t>https://www.city.moka.lg.jp/material/files/group/22/20260416kankyougaiyouban.pdf</t>
        </is>
      </c>
      <c r="R11" s="12" t="inlineStr">
        <is>
          <t>交通・環境とも新計画をR8策定済。</t>
        </is>
      </c>
      <c r="S11" s="16" t="inlineStr">
        <is>
          <t>調査済</t>
        </is>
      </c>
      <c r="T11" s="12" t="inlineStr">
        <is>
          <t>掲載</t>
        </is>
      </c>
    </row>
    <row r="12">
      <c r="A12" s="12" t="n">
        <v>9</v>
      </c>
      <c r="B12" s="12" t="inlineStr">
        <is>
          <t>大田原市</t>
        </is>
      </c>
      <c r="C12" s="13">
        <f>IF(OR(D12="◎",E12="◎"),"◎ 営業",IF(OR(D12="△",E12="△"),"△ 着手済・要確認",IF(OR(D12="？",E12="？"),"？ 期間要確認","✕ 対象外")))</f>
        <v/>
      </c>
      <c r="D12" s="14">
        <f>IF(J12="計画なし","－",IF(J12="策定済","✕",IF(H12="","？",IF(AND(H12&gt;=TGT_MIN,H12&lt;=TGT_MAX),IF(J12="着手済","△","◎"),"✕"))))</f>
        <v/>
      </c>
      <c r="E12" s="14">
        <f>IF(P12="計画なし","－",IF(P12="策定済","✕",IF(N12="","？",IF(AND(N12&gt;=TGT_MIN,N12&lt;=TGT_MAX),IF(P12="着手済","△","◎"),"✕"))))</f>
        <v/>
      </c>
      <c r="F12" s="12" t="inlineStr">
        <is>
          <t>大田原市地域公共交通計画</t>
        </is>
      </c>
      <c r="G12" s="12" t="inlineStr">
        <is>
          <t>R4〜R9</t>
        </is>
      </c>
      <c r="H12" s="14" t="n">
        <v>9</v>
      </c>
      <c r="I12" s="14" t="inlineStr">
        <is>
          <t>確認済</t>
        </is>
      </c>
      <c r="J12" s="14" t="inlineStr">
        <is>
          <t>着手済</t>
        </is>
      </c>
      <c r="K12" s="15" t="inlineStr">
        <is>
          <t>https://www.city.ohtawara.tochigi.jp/docs/2026073100056</t>
        </is>
      </c>
      <c r="L12" s="12" t="inlineStr">
        <is>
          <t>大田原市環境基本計画（第三次計画）</t>
        </is>
      </c>
      <c r="M12" s="12" t="inlineStr">
        <is>
          <t>R8〜（終期はR17と推定）</t>
        </is>
      </c>
      <c r="N12" s="17" t="n">
        <v>17</v>
      </c>
      <c r="O12" s="14" t="inlineStr">
        <is>
          <t>推定</t>
        </is>
      </c>
      <c r="P12" s="14" t="inlineStr">
        <is>
          <t>策定済</t>
        </is>
      </c>
      <c r="Q12" s="15" t="inlineStr">
        <is>
          <t>https://www.city.ohtawara.tochigi.jp/docs/2026013000019</t>
        </is>
      </c>
      <c r="R12" s="12"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6" t="inlineStr">
        <is>
          <t>調査済</t>
        </is>
      </c>
      <c r="T12" s="12" t="inlineStr">
        <is>
          <t>掲載（広域：第2次那須地域定住自立圏）</t>
        </is>
      </c>
      <c r="U12" s="20" t="inlineStr">
        <is>
          <t>→メモ</t>
        </is>
      </c>
    </row>
    <row r="13">
      <c r="A13" s="12" t="n">
        <v>10</v>
      </c>
      <c r="B13" s="12" t="inlineStr">
        <is>
          <t>矢板市</t>
        </is>
      </c>
      <c r="C13" s="13">
        <f>IF(OR(D13="◎",E13="◎"),"◎ 営業",IF(OR(D13="△",E13="△"),"△ 着手済・要確認",IF(OR(D13="？",E13="？"),"？ 期間要確認","✕ 対象外")))</f>
        <v/>
      </c>
      <c r="D13" s="14">
        <f>IF(J13="計画なし","－",IF(J13="策定済","✕",IF(H13="","？",IF(AND(H13&gt;=TGT_MIN,H13&lt;=TGT_MAX),IF(J13="着手済","△","◎"),"✕"))))</f>
        <v/>
      </c>
      <c r="E13" s="14">
        <f>IF(P13="計画なし","－",IF(P13="策定済","✕",IF(N13="","？",IF(AND(N13&gt;=TGT_MIN,N13&lt;=TGT_MAX),IF(P13="着手済","△","◎"),"✕"))))</f>
        <v/>
      </c>
      <c r="F13" s="12" t="inlineStr">
        <is>
          <t>矢板市地域公共交通計画（R8.4策定）</t>
        </is>
      </c>
      <c r="G13" s="12" t="inlineStr">
        <is>
          <t>R8〜（終期不明）</t>
        </is>
      </c>
      <c r="H13" s="14" t="n"/>
      <c r="I13" s="14" t="inlineStr">
        <is>
          <t>不明</t>
        </is>
      </c>
      <c r="J13" s="14" t="inlineStr">
        <is>
          <t>策定済</t>
        </is>
      </c>
      <c r="K13" s="15" t="inlineStr">
        <is>
          <t>https://www.city.yaita.tochigi.jp/soshiki/toshiseibi/koukyoukoutsu-plan.html</t>
        </is>
      </c>
      <c r="L13" s="12" t="inlineStr">
        <is>
          <t>矢板市環境基本計画（R4.3策定）</t>
        </is>
      </c>
      <c r="M13" s="12" t="inlineStr">
        <is>
          <t>R4〜R13</t>
        </is>
      </c>
      <c r="N13" s="17" t="n">
        <v>13</v>
      </c>
      <c r="O13" s="14" t="inlineStr">
        <is>
          <t>推定</t>
        </is>
      </c>
      <c r="P13" s="14" t="inlineStr">
        <is>
          <t>未確認</t>
        </is>
      </c>
      <c r="Q13" s="15" t="inlineStr">
        <is>
          <t>https://www.city.yaita.tochigi.jp/soshiki/seikatsukankyou/kankyo-kihon.html</t>
        </is>
      </c>
      <c r="R13" s="12"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6" t="inlineStr">
        <is>
          <t>調査済</t>
        </is>
      </c>
      <c r="T13" s="12" t="inlineStr">
        <is>
          <t>掲載</t>
        </is>
      </c>
    </row>
    <row r="14">
      <c r="A14" s="12" t="n">
        <v>11</v>
      </c>
      <c r="B14" s="12" t="inlineStr">
        <is>
          <t>那須塩原市</t>
        </is>
      </c>
      <c r="C14" s="13">
        <f>IF(OR(D14="◎",E14="◎"),"◎ 営業",IF(OR(D14="△",E14="△"),"△ 着手済・要確認",IF(OR(D14="？",E14="？"),"？ 期間要確認","✕ 対象外")))</f>
        <v/>
      </c>
      <c r="D14" s="14">
        <f>IF(J14="計画なし","－",IF(J14="策定済","✕",IF(H14="","？",IF(AND(H14&gt;=TGT_MIN,H14&lt;=TGT_MAX),IF(J14="着手済","△","◎"),"✕"))))</f>
        <v/>
      </c>
      <c r="E14" s="14">
        <f>IF(P14="計画なし","－",IF(P14="策定済","✕",IF(N14="","？",IF(AND(N14&gt;=TGT_MIN,N14&lt;=TGT_MAX),IF(P14="着手済","△","◎"),"✕"))))</f>
        <v/>
      </c>
      <c r="F14" s="12" t="inlineStr">
        <is>
          <t>第2次那須塩原市地域公共交通計画／那須地域定住自立圏計画</t>
        </is>
      </c>
      <c r="G14" s="12" t="inlineStr">
        <is>
          <t>R5〜R9</t>
        </is>
      </c>
      <c r="H14" s="14" t="n">
        <v>9</v>
      </c>
      <c r="I14" s="14" t="inlineStr">
        <is>
          <t>確認済</t>
        </is>
      </c>
      <c r="J14" s="14" t="inlineStr">
        <is>
          <t>未確認</t>
        </is>
      </c>
      <c r="K14" s="15" t="inlineStr">
        <is>
          <t>https://www.city.nasushiobara.tochigi.jp/material/files/group/15/nasushiobaracity_2nd_publictransportation.pdf</t>
        </is>
      </c>
      <c r="L14" s="12" t="inlineStr">
        <is>
          <t>第2期那須塩原市環境基本計画【改定版】</t>
        </is>
      </c>
      <c r="M14" s="12" t="inlineStr">
        <is>
          <t>H29〜R12（延長）</t>
        </is>
      </c>
      <c r="N14" s="14" t="n">
        <v>12</v>
      </c>
      <c r="O14" s="14" t="inlineStr">
        <is>
          <t>確認済</t>
        </is>
      </c>
      <c r="P14" s="14" t="inlineStr">
        <is>
          <t>策定済</t>
        </is>
      </c>
      <c r="Q14" s="15" t="inlineStr">
        <is>
          <t>https://www.city.nasushiobara.tochigi.jp/material/files/group/13/dai2ki_kankyokihonkeikaku_an.pdf</t>
        </is>
      </c>
      <c r="R14" s="12"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6" t="inlineStr">
        <is>
          <t>調査済</t>
        </is>
      </c>
      <c r="T14" s="12" t="inlineStr">
        <is>
          <t>掲載（広域：第2次那須地域定住自立圏）</t>
        </is>
      </c>
      <c r="U14" s="20" t="inlineStr">
        <is>
          <t>→メモ</t>
        </is>
      </c>
    </row>
    <row r="15">
      <c r="A15" s="12" t="n">
        <v>12</v>
      </c>
      <c r="B15" s="12" t="inlineStr">
        <is>
          <t>さくら市</t>
        </is>
      </c>
      <c r="C15" s="13">
        <f>IF(OR(D15="◎",E15="◎"),"◎ 営業",IF(OR(D15="△",E15="△"),"△ 着手済・要確認",IF(OR(D15="？",E15="？"),"？ 期間要確認","✕ 対象外")))</f>
        <v/>
      </c>
      <c r="D15" s="14">
        <f>IF(J15="計画なし","－",IF(J15="策定済","✕",IF(H15="","？",IF(AND(H15&gt;=TGT_MIN,H15&lt;=TGT_MAX),IF(J15="着手済","△","◎"),"✕"))))</f>
        <v/>
      </c>
      <c r="E15" s="14">
        <f>IF(P15="計画なし","－",IF(P15="策定済","✕",IF(N15="","？",IF(AND(N15&gt;=TGT_MIN,N15&lt;=TGT_MAX),IF(P15="着手済","△","◎"),"✕"))))</f>
        <v/>
      </c>
      <c r="F15" s="12" t="inlineStr">
        <is>
          <t>さくら市地域公共交通計画（R6.3策定）</t>
        </is>
      </c>
      <c r="G15" s="12" t="inlineStr">
        <is>
          <t>R6〜R10（推定）</t>
        </is>
      </c>
      <c r="H15" s="17" t="n">
        <v>10</v>
      </c>
      <c r="I15" s="14" t="inlineStr">
        <is>
          <t>推定</t>
        </is>
      </c>
      <c r="J15" s="14" t="inlineStr">
        <is>
          <t>未確認</t>
        </is>
      </c>
      <c r="K15" s="15" t="inlineStr">
        <is>
          <t>https://www.city.tochigi-sakura.lg.jp/life/000017/p003140.html</t>
        </is>
      </c>
      <c r="L15" s="12" t="inlineStr">
        <is>
          <t>第2次さくら市環境基本計画</t>
        </is>
      </c>
      <c r="M15" s="12" t="inlineStr">
        <is>
          <t>H30〜R9</t>
        </is>
      </c>
      <c r="N15" s="14" t="n">
        <v>9</v>
      </c>
      <c r="O15" s="14" t="inlineStr">
        <is>
          <t>確認済</t>
        </is>
      </c>
      <c r="P15" s="14" t="inlineStr">
        <is>
          <t>未確認</t>
        </is>
      </c>
      <c r="Q15" s="15" t="inlineStr">
        <is>
          <t>https://www.city.tochigi-sakura.lg.jp/life/000014/000121/000403/p001957.html</t>
        </is>
      </c>
      <c r="R15" s="12"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6" t="inlineStr">
        <is>
          <t>調査済</t>
        </is>
      </c>
      <c r="T15" s="12" t="inlineStr">
        <is>
          <t>掲載</t>
        </is>
      </c>
      <c r="U15" s="20" t="inlineStr">
        <is>
          <t>→メモ</t>
        </is>
      </c>
    </row>
    <row r="16">
      <c r="A16" s="12" t="n">
        <v>13</v>
      </c>
      <c r="B16" s="12" t="inlineStr">
        <is>
          <t>那須烏山市</t>
        </is>
      </c>
      <c r="C16" s="13">
        <f>IF(OR(D16="◎",E16="◎"),"◎ 営業",IF(OR(D16="△",E16="△"),"△ 着手済・要確認",IF(OR(D16="？",E16="？"),"？ 期間要確認","✕ 対象外")))</f>
        <v/>
      </c>
      <c r="D16" s="14">
        <f>IF(J16="計画なし","－",IF(J16="策定済","✕",IF(H16="","？",IF(AND(H16&gt;=TGT_MIN,H16&lt;=TGT_MAX),IF(J16="着手済","△","◎"),"✕"))))</f>
        <v/>
      </c>
      <c r="E16" s="14">
        <f>IF(P16="計画なし","－",IF(P16="策定済","✕",IF(N16="","？",IF(AND(N16&gt;=TGT_MIN,N16&lt;=TGT_MAX),IF(P16="着手済","△","◎"),"✕"))))</f>
        <v/>
      </c>
      <c r="F16" s="12" t="inlineStr">
        <is>
          <t>那須烏山市地域公共交通計画</t>
        </is>
      </c>
      <c r="G16" s="12" t="inlineStr">
        <is>
          <t>R3〜R7（推定）</t>
        </is>
      </c>
      <c r="H16" s="17" t="n">
        <v>7</v>
      </c>
      <c r="I16" s="14" t="inlineStr">
        <is>
          <t>推定</t>
        </is>
      </c>
      <c r="J16" s="14" t="inlineStr">
        <is>
          <t>未確認</t>
        </is>
      </c>
      <c r="K16" s="15" t="inlineStr">
        <is>
          <t>https://www.city.nasukarasuyama.lg.jp/page/page000722.html</t>
        </is>
      </c>
      <c r="L16" s="12" t="inlineStr">
        <is>
          <t>第3次那須烏山市環境基本計画</t>
        </is>
      </c>
      <c r="M16" s="12" t="inlineStr">
        <is>
          <t>R6〜R10（推定）</t>
        </is>
      </c>
      <c r="N16" s="17" t="n">
        <v>10</v>
      </c>
      <c r="O16" s="14" t="inlineStr">
        <is>
          <t>推定</t>
        </is>
      </c>
      <c r="P16" s="14" t="inlineStr">
        <is>
          <t>未確認</t>
        </is>
      </c>
      <c r="Q16" s="15" t="inlineStr">
        <is>
          <t>https://www.city.nasukarasuyama.lg.jp/page/page000773.html</t>
        </is>
      </c>
      <c r="R16" s="12"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6" t="inlineStr">
        <is>
          <t>調査済</t>
        </is>
      </c>
      <c r="T16" s="12" t="inlineStr">
        <is>
          <t>掲載</t>
        </is>
      </c>
    </row>
    <row r="17">
      <c r="A17" s="12" t="n">
        <v>14</v>
      </c>
      <c r="B17" s="12" t="inlineStr">
        <is>
          <t>下野市</t>
        </is>
      </c>
      <c r="C17" s="13">
        <f>IF(OR(D17="◎",E17="◎"),"◎ 営業",IF(OR(D17="△",E17="△"),"△ 着手済・要確認",IF(OR(D17="？",E17="？"),"？ 期間要確認","✕ 対象外")))</f>
        <v/>
      </c>
      <c r="D17" s="14">
        <f>IF(J17="計画なし","－",IF(J17="策定済","✕",IF(H17="","？",IF(AND(H17&gt;=TGT_MIN,H17&lt;=TGT_MAX),IF(J17="着手済","△","◎"),"✕"))))</f>
        <v/>
      </c>
      <c r="E17" s="14">
        <f>IF(P17="計画なし","－",IF(P17="策定済","✕",IF(N17="","？",IF(AND(N17&gt;=TGT_MIN,N17&lt;=TGT_MAX),IF(P17="着手済","△","◎"),"✕"))))</f>
        <v/>
      </c>
      <c r="F17" s="12" t="inlineStr">
        <is>
          <t>下野市地域公共交通計画（R8.3策定）</t>
        </is>
      </c>
      <c r="G17" s="12" t="inlineStr">
        <is>
          <t>R8〜R12（推定）</t>
        </is>
      </c>
      <c r="H17" s="17" t="n">
        <v>12</v>
      </c>
      <c r="I17" s="14" t="inlineStr">
        <is>
          <t>推定</t>
        </is>
      </c>
      <c r="J17" s="14" t="inlineStr">
        <is>
          <t>策定済</t>
        </is>
      </c>
      <c r="K17" s="15" t="inlineStr">
        <is>
          <t>https://www.city.shimotsuke.lg.jp/0170/info-0000005122-3.html</t>
        </is>
      </c>
      <c r="L17" s="12" t="inlineStr">
        <is>
          <t>第二次下野市環境基本計画</t>
        </is>
      </c>
      <c r="M17" s="12" t="inlineStr">
        <is>
          <t>R5〜R14</t>
        </is>
      </c>
      <c r="N17" s="14" t="n">
        <v>14</v>
      </c>
      <c r="O17" s="14" t="inlineStr">
        <is>
          <t>確認済</t>
        </is>
      </c>
      <c r="P17" s="14" t="inlineStr">
        <is>
          <t>未確認</t>
        </is>
      </c>
      <c r="Q17" s="15" t="inlineStr">
        <is>
          <t>https://www.city.shimotsuke.lg.jp/office0109/section-3.html</t>
        </is>
      </c>
      <c r="R17" s="12"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6" t="inlineStr">
        <is>
          <t>調査済</t>
        </is>
      </c>
      <c r="T17" s="12" t="inlineStr">
        <is>
          <t>掲載</t>
        </is>
      </c>
    </row>
    <row r="18">
      <c r="A18" s="12" t="n">
        <v>15</v>
      </c>
      <c r="B18" s="12" t="inlineStr">
        <is>
          <t>上三川町</t>
        </is>
      </c>
      <c r="C18" s="13">
        <f>IF(OR(D18="◎",E18="◎"),"◎ 営業",IF(OR(D18="△",E18="△"),"△ 着手済・要確認",IF(OR(D18="？",E18="？"),"？ 期間要確認","✕ 対象外")))</f>
        <v/>
      </c>
      <c r="D18" s="14">
        <f>IF(J18="計画なし","－",IF(J18="策定済","✕",IF(H18="","？",IF(AND(H18&gt;=TGT_MIN,H18&lt;=TGT_MAX),IF(J18="着手済","△","◎"),"✕"))))</f>
        <v/>
      </c>
      <c r="E18" s="14">
        <f>IF(P18="計画なし","－",IF(P18="策定済","✕",IF(N18="","？",IF(AND(N18&gt;=TGT_MIN,N18&lt;=TGT_MAX),IF(P18="着手済","△","◎"),"✕"))))</f>
        <v/>
      </c>
      <c r="F18" s="12" t="inlineStr">
        <is>
          <t>上三川町地域公共交通計画（R4.6改定）</t>
        </is>
      </c>
      <c r="G18" s="12" t="inlineStr">
        <is>
          <t>H30〜（終期不明）</t>
        </is>
      </c>
      <c r="H18" s="14" t="n"/>
      <c r="I18" s="14" t="inlineStr">
        <is>
          <t>不明</t>
        </is>
      </c>
      <c r="J18" s="14" t="inlineStr">
        <is>
          <t>未確認</t>
        </is>
      </c>
      <c r="K18" s="15" t="inlineStr">
        <is>
          <t>https://www.town.kaminokawa.lg.jp/0166/info-0000001338-0.html</t>
        </is>
      </c>
      <c r="L18" s="12" t="inlineStr">
        <is>
          <t>（環境基本計画なし）区域施策編・適応計画</t>
        </is>
      </c>
      <c r="M18" s="12" t="inlineStr">
        <is>
          <t>R6〜R12</t>
        </is>
      </c>
      <c r="N18" s="14" t="n">
        <v>12</v>
      </c>
      <c r="O18" s="14" t="inlineStr">
        <is>
          <t>確認済</t>
        </is>
      </c>
      <c r="P18" s="14" t="inlineStr">
        <is>
          <t>計画なし</t>
        </is>
      </c>
      <c r="Q18" s="15" t="inlineStr">
        <is>
          <t>https://www.town.kaminokawa.lg.jp/0003/info-0000003247-0.html</t>
        </is>
      </c>
      <c r="R18" s="12" t="inlineStr">
        <is>
          <t>交通：R7の協議会資料に計画改定の報告あり（中程度の確度・要確認）。</t>
        </is>
      </c>
      <c r="S18" s="16" t="inlineStr">
        <is>
          <t>調査済</t>
        </is>
      </c>
      <c r="T18" s="12" t="inlineStr">
        <is>
          <t>掲載</t>
        </is>
      </c>
    </row>
    <row r="19">
      <c r="A19" s="12" t="n">
        <v>16</v>
      </c>
      <c r="B19" s="12" t="inlineStr">
        <is>
          <t>益子町</t>
        </is>
      </c>
      <c r="C19" s="13">
        <f>IF(OR(D19="◎",E19="◎"),"◎ 営業",IF(OR(D19="△",E19="△"),"△ 着手済・要確認",IF(OR(D19="？",E19="？"),"？ 期間要確認","✕ 対象外")))</f>
        <v/>
      </c>
      <c r="D19" s="14">
        <f>IF(J19="計画なし","－",IF(J19="策定済","✕",IF(H19="","？",IF(AND(H19&gt;=TGT_MIN,H19&lt;=TGT_MAX),IF(J19="着手済","△","◎"),"✕"))))</f>
        <v/>
      </c>
      <c r="E19" s="14">
        <f>IF(P19="計画なし","－",IF(P19="策定済","✕",IF(N19="","？",IF(AND(N19&gt;=TGT_MIN,N19&lt;=TGT_MAX),IF(P19="着手済","△","◎"),"✕"))))</f>
        <v/>
      </c>
      <c r="F19" s="12" t="inlineStr">
        <is>
          <t>益子町地域公共交通計画（R4.3策定）</t>
        </is>
      </c>
      <c r="G19" s="12" t="inlineStr">
        <is>
          <t>R4〜R8（推定）</t>
        </is>
      </c>
      <c r="H19" s="17" t="n">
        <v>8</v>
      </c>
      <c r="I19" s="14" t="inlineStr">
        <is>
          <t>推定</t>
        </is>
      </c>
      <c r="J19" s="14" t="inlineStr">
        <is>
          <t>未確認</t>
        </is>
      </c>
      <c r="K19" s="15" t="inlineStr">
        <is>
          <t>https://www.town.mashiko.lg.jp/page/page003396.html</t>
        </is>
      </c>
      <c r="L19" s="12" t="inlineStr">
        <is>
          <t>益子町第3次環境基本計画</t>
        </is>
      </c>
      <c r="M19" s="12" t="inlineStr">
        <is>
          <t>R5〜R14</t>
        </is>
      </c>
      <c r="N19" s="14" t="n">
        <v>14</v>
      </c>
      <c r="O19" s="14" t="inlineStr">
        <is>
          <t>確認済</t>
        </is>
      </c>
      <c r="P19" s="14" t="inlineStr">
        <is>
          <t>未確認</t>
        </is>
      </c>
      <c r="Q19" s="15" t="inlineStr">
        <is>
          <t>https://www.town.mashiko.lg.jp/page/page000467.html</t>
        </is>
      </c>
      <c r="R19" s="12" t="inlineStr">
        <is>
          <t>交通：R8で終了とみられるが、次の計画の業務委託は見つからず。</t>
        </is>
      </c>
      <c r="S19" s="16" t="inlineStr">
        <is>
          <t>調査済</t>
        </is>
      </c>
      <c r="T19" s="12" t="inlineStr">
        <is>
          <t>掲載</t>
        </is>
      </c>
    </row>
    <row r="20">
      <c r="A20" s="12" t="n">
        <v>17</v>
      </c>
      <c r="B20" s="12" t="inlineStr">
        <is>
          <t>茂木町</t>
        </is>
      </c>
      <c r="C20" s="13">
        <f>IF(OR(D20="◎",E20="◎"),"◎ 営業",IF(OR(D20="△",E20="△"),"△ 着手済・要確認",IF(OR(D20="？",E20="？"),"？ 期間要確認","✕ 対象外")))</f>
        <v/>
      </c>
      <c r="D20" s="14">
        <f>IF(J20="計画なし","－",IF(J20="策定済","✕",IF(H20="","？",IF(AND(H20&gt;=TGT_MIN,H20&lt;=TGT_MAX),IF(J20="着手済","△","◎"),"✕"))))</f>
        <v/>
      </c>
      <c r="E20" s="14">
        <f>IF(P20="計画なし","－",IF(P20="策定済","✕",IF(N20="","？",IF(AND(N20&gt;=TGT_MIN,N20&lt;=TGT_MAX),IF(P20="着手済","△","◎"),"✕"))))</f>
        <v/>
      </c>
      <c r="F20" s="12" t="inlineStr">
        <is>
          <t>茂木町地域公共交通計画</t>
        </is>
      </c>
      <c r="G20" s="12" t="inlineStr">
        <is>
          <t>不明</t>
        </is>
      </c>
      <c r="H20" s="14" t="n"/>
      <c r="I20" s="14" t="inlineStr">
        <is>
          <t>不明</t>
        </is>
      </c>
      <c r="J20" s="14" t="inlineStr">
        <is>
          <t>未確認</t>
        </is>
      </c>
      <c r="K20" s="15" t="inlineStr">
        <is>
          <t>https://www.town.motegi.tochigi.jp/motegi/nextpage.php?cd=6374&amp;syurui=2</t>
        </is>
      </c>
      <c r="L20" s="12" t="inlineStr">
        <is>
          <t>（環境基本計画なし）区域施策編</t>
        </is>
      </c>
      <c r="M20" s="12" t="inlineStr">
        <is>
          <t>R6〜R12</t>
        </is>
      </c>
      <c r="N20" s="14" t="n">
        <v>12</v>
      </c>
      <c r="O20" s="14" t="inlineStr">
        <is>
          <t>確認済</t>
        </is>
      </c>
      <c r="P20" s="14" t="inlineStr">
        <is>
          <t>計画なし</t>
        </is>
      </c>
      <c r="Q20" s="15" t="inlineStr">
        <is>
          <t>https://www.town.motegi.tochigi.jp/motegi/nextpage.php?cd=7672&amp;syurui=2</t>
        </is>
      </c>
      <c r="R20" s="12" t="inlineStr">
        <is>
          <t>交通：期間を確認できず。</t>
        </is>
      </c>
      <c r="S20" s="16" t="inlineStr">
        <is>
          <t>調査済</t>
        </is>
      </c>
      <c r="T20" s="12" t="inlineStr">
        <is>
          <t>掲載</t>
        </is>
      </c>
    </row>
    <row r="21">
      <c r="A21" s="12" t="n">
        <v>18</v>
      </c>
      <c r="B21" s="12" t="inlineStr">
        <is>
          <t>市貝町</t>
        </is>
      </c>
      <c r="C21" s="13">
        <f>IF(OR(D21="◎",E21="◎"),"◎ 営業",IF(OR(D21="△",E21="△"),"△ 着手済・要確認",IF(OR(D21="？",E21="？"),"？ 期間要確認","✕ 対象外")))</f>
        <v/>
      </c>
      <c r="D21" s="14">
        <f>IF(J21="計画なし","－",IF(J21="策定済","✕",IF(H21="","？",IF(AND(H21&gt;=TGT_MIN,H21&lt;=TGT_MAX),IF(J21="着手済","△","◎"),"✕"))))</f>
        <v/>
      </c>
      <c r="E21" s="14">
        <f>IF(P21="計画なし","－",IF(P21="策定済","✕",IF(N21="","？",IF(AND(N21&gt;=TGT_MIN,N21&lt;=TGT_MAX),IF(P21="着手済","△","◎"),"✕"))))</f>
        <v/>
      </c>
      <c r="F21" s="12" t="inlineStr">
        <is>
          <t>市貝町地域公共交通計画（R6.3頃策定）</t>
        </is>
      </c>
      <c r="G21" s="12" t="inlineStr">
        <is>
          <t>不明</t>
        </is>
      </c>
      <c r="H21" s="14" t="n"/>
      <c r="I21" s="14" t="inlineStr">
        <is>
          <t>不明</t>
        </is>
      </c>
      <c r="J21" s="14" t="inlineStr">
        <is>
          <t>未確認</t>
        </is>
      </c>
      <c r="K21" s="15" t="inlineStr">
        <is>
          <t>https://www.town.ichikai.tochigi.jp/info/785</t>
        </is>
      </c>
      <c r="L21" s="12" t="inlineStr">
        <is>
          <t>市貝町環境基本計画及び地球温暖化対策実行計画（区域施策編）</t>
        </is>
      </c>
      <c r="M21" s="12" t="inlineStr">
        <is>
          <t>不明</t>
        </is>
      </c>
      <c r="N21" s="14" t="n"/>
      <c r="O21" s="14" t="inlineStr">
        <is>
          <t>不明</t>
        </is>
      </c>
      <c r="P21" s="14" t="inlineStr">
        <is>
          <t>未確認</t>
        </is>
      </c>
      <c r="Q21" s="15" t="inlineStr">
        <is>
          <t>https://www.town.ichikai.tochigi.jp/info/1814</t>
        </is>
      </c>
      <c r="R21" s="12"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6" t="inlineStr">
        <is>
          <t>調査済</t>
        </is>
      </c>
      <c r="T21" s="12" t="inlineStr">
        <is>
          <t>掲載</t>
        </is>
      </c>
    </row>
    <row r="22">
      <c r="A22" s="12" t="n">
        <v>19</v>
      </c>
      <c r="B22" s="12" t="inlineStr">
        <is>
          <t>芳賀町</t>
        </is>
      </c>
      <c r="C22" s="13">
        <f>IF(OR(D22="◎",E22="◎"),"◎ 営業",IF(OR(D22="△",E22="△"),"△ 着手済・要確認",IF(OR(D22="？",E22="？"),"？ 期間要確認","✕ 対象外")))</f>
        <v/>
      </c>
      <c r="D22" s="14">
        <f>IF(J22="計画なし","－",IF(J22="策定済","✕",IF(H22="","？",IF(AND(H22&gt;=TGT_MIN,H22&lt;=TGT_MAX),IF(J22="着手済","△","◎"),"✕"))))</f>
        <v/>
      </c>
      <c r="E22" s="14">
        <f>IF(P22="計画なし","－",IF(P22="策定済","✕",IF(N22="","？",IF(AND(N22&gt;=TGT_MIN,N22&lt;=TGT_MAX),IF(P22="着手済","△","◎"),"✕"))))</f>
        <v/>
      </c>
      <c r="F22" s="12" t="inlineStr">
        <is>
          <t>芳賀・宇都宮地域公共交通計画（宇都宮市と共同）</t>
        </is>
      </c>
      <c r="G22" s="12" t="inlineStr">
        <is>
          <t>R6〜R15</t>
        </is>
      </c>
      <c r="H22" s="14" t="n">
        <v>15</v>
      </c>
      <c r="I22" s="14" t="inlineStr">
        <is>
          <t>確認済</t>
        </is>
      </c>
      <c r="J22" s="14" t="inlineStr">
        <is>
          <t>未確認</t>
        </is>
      </c>
      <c r="K22" s="15" t="inlineStr">
        <is>
          <t>https://www.town.tochigi-haga.lg.jp/kurashi/sekatsu/kokyokotsu/koukyoukoutsuu/koukyoukoutsuu6.html</t>
        </is>
      </c>
      <c r="L22" s="12" t="inlineStr">
        <is>
          <t>（環境基本計画なし）2050カーボンニュートラル実現計画（R6.4）</t>
        </is>
      </c>
      <c r="M22" s="12" t="inlineStr">
        <is>
          <t>〜R12（2030目標）</t>
        </is>
      </c>
      <c r="N22" s="14" t="n"/>
      <c r="O22" s="14" t="inlineStr">
        <is>
          <t>不明</t>
        </is>
      </c>
      <c r="P22" s="14" t="inlineStr">
        <is>
          <t>計画なし</t>
        </is>
      </c>
      <c r="Q22" s="15" t="inlineStr">
        <is>
          <t>https://www.town.tochigi-haga.lg.jp/kurashi/kurashi/ka-bonnyu-toraru/documents/jitugennkeikaku1.pdf</t>
        </is>
      </c>
      <c r="R22" s="12" t="inlineStr">
        <is>
          <t>交通はR15まで。環境基本計画はなし。</t>
        </is>
      </c>
      <c r="S22" s="16" t="inlineStr">
        <is>
          <t>調査済</t>
        </is>
      </c>
      <c r="T22" s="12" t="inlineStr">
        <is>
          <t>掲載（広域：芳賀・宇都宮）</t>
        </is>
      </c>
    </row>
    <row r="23">
      <c r="A23" s="12" t="n">
        <v>20</v>
      </c>
      <c r="B23" s="12" t="inlineStr">
        <is>
          <t>壬生町</t>
        </is>
      </c>
      <c r="C23" s="13">
        <f>IF(OR(D23="◎",E23="◎"),"◎ 営業",IF(OR(D23="△",E23="△"),"△ 着手済・要確認",IF(OR(D23="？",E23="？"),"？ 期間要確認","✕ 対象外")))</f>
        <v/>
      </c>
      <c r="D23" s="14">
        <f>IF(J23="計画なし","－",IF(J23="策定済","✕",IF(H23="","？",IF(AND(H23&gt;=TGT_MIN,H23&lt;=TGT_MAX),IF(J23="着手済","△","◎"),"✕"))))</f>
        <v/>
      </c>
      <c r="E23" s="14">
        <f>IF(P23="計画なし","－",IF(P23="策定済","✕",IF(N23="","？",IF(AND(N23&gt;=TGT_MIN,N23&lt;=TGT_MAX),IF(P23="着手済","△","◎"),"✕"))))</f>
        <v/>
      </c>
      <c r="F23" s="12" t="inlineStr">
        <is>
          <t>壬生町地域公共交通計画</t>
        </is>
      </c>
      <c r="G23" s="12" t="inlineStr">
        <is>
          <t>R4〜R8</t>
        </is>
      </c>
      <c r="H23" s="14" t="n">
        <v>8</v>
      </c>
      <c r="I23" s="14" t="inlineStr">
        <is>
          <t>確認済</t>
        </is>
      </c>
      <c r="J23" s="14" t="inlineStr">
        <is>
          <t>着手済</t>
        </is>
      </c>
      <c r="K23" s="15" t="inlineStr">
        <is>
          <t>https://www.town.mibu.tochigi.jp/docs/2026042000042</t>
        </is>
      </c>
      <c r="L23" s="12" t="inlineStr">
        <is>
          <t>壬生町環境基本計画（温対・適応計画を兼ねる）</t>
        </is>
      </c>
      <c r="M23" s="12" t="inlineStr">
        <is>
          <t>R7〜R12</t>
        </is>
      </c>
      <c r="N23" s="14" t="n">
        <v>12</v>
      </c>
      <c r="O23" s="14" t="inlineStr">
        <is>
          <t>確認済</t>
        </is>
      </c>
      <c r="P23" s="14" t="inlineStr">
        <is>
          <t>策定済</t>
        </is>
      </c>
      <c r="Q23" s="15" t="inlineStr">
        <is>
          <t>https://www.town.mibu.tochigi.jp/docs/2025032700030/file_contents/mibumachikankyokihonkeikaku.pdf</t>
        </is>
      </c>
      <c r="R23" s="12" t="inlineStr">
        <is>
          <t>【改定作業中】交通：次期計画の策定業務委託の公募型プロポをR8.4.23に公告（事業者はR8.6に選定済）。</t>
        </is>
      </c>
      <c r="S23" s="16" t="inlineStr">
        <is>
          <t>調査済</t>
        </is>
      </c>
      <c r="T23" s="12" t="inlineStr">
        <is>
          <t>掲載</t>
        </is>
      </c>
    </row>
    <row r="24">
      <c r="A24" s="12" t="n">
        <v>21</v>
      </c>
      <c r="B24" s="12" t="inlineStr">
        <is>
          <t>野木町</t>
        </is>
      </c>
      <c r="C24" s="13">
        <f>IF(OR(D24="◎",E24="◎"),"◎ 営業",IF(OR(D24="△",E24="△"),"△ 着手済・要確認",IF(OR(D24="？",E24="？"),"？ 期間要確認","✕ 対象外")))</f>
        <v/>
      </c>
      <c r="D24" s="14">
        <f>IF(J24="計画なし","－",IF(J24="策定済","✕",IF(H24="","？",IF(AND(H24&gt;=TGT_MIN,H24&lt;=TGT_MAX),IF(J24="着手済","△","◎"),"✕"))))</f>
        <v/>
      </c>
      <c r="E24" s="14">
        <f>IF(P24="計画なし","－",IF(P24="策定済","✕",IF(N24="","？",IF(AND(N24&gt;=TGT_MIN,N24&lt;=TGT_MAX),IF(P24="着手済","△","◎"),"✕"))))</f>
        <v/>
      </c>
      <c r="F24" s="12" t="inlineStr">
        <is>
          <t>野木町地域公共交通計画</t>
        </is>
      </c>
      <c r="G24" s="12" t="inlineStr">
        <is>
          <t>R6〜R10</t>
        </is>
      </c>
      <c r="H24" s="17" t="n">
        <v>10</v>
      </c>
      <c r="I24" s="14" t="inlineStr">
        <is>
          <t>推定</t>
        </is>
      </c>
      <c r="J24" s="14" t="inlineStr">
        <is>
          <t>未確認</t>
        </is>
      </c>
      <c r="K24" s="15" t="inlineStr">
        <is>
          <t>https://www.town.nogi.lg.jp/cyousei/cyousei_jyouhou/keikaku/keikaku_toshiseibi/page005745.html</t>
        </is>
      </c>
      <c r="L24" s="12" t="inlineStr">
        <is>
          <t>（環境基本計画なし）区域施策編</t>
        </is>
      </c>
      <c r="M24" s="12" t="inlineStr">
        <is>
          <t>不明</t>
        </is>
      </c>
      <c r="N24" s="14" t="n"/>
      <c r="O24" s="14" t="inlineStr">
        <is>
          <t>不明</t>
        </is>
      </c>
      <c r="P24" s="14" t="inlineStr">
        <is>
          <t>計画なし</t>
        </is>
      </c>
      <c r="Q24" s="15" t="inlineStr">
        <is>
          <t>https://www.town.nogi.lg.jp/kurashi/kankyou/ondanka/hojo/</t>
        </is>
      </c>
      <c r="R24" s="12" t="inlineStr">
        <is>
          <t>交通はR10まで（検索結果1件のみで確度は中程度）。</t>
        </is>
      </c>
      <c r="S24" s="16" t="inlineStr">
        <is>
          <t>調査済</t>
        </is>
      </c>
      <c r="T24" s="12" t="inlineStr">
        <is>
          <t>掲載</t>
        </is>
      </c>
    </row>
    <row r="25">
      <c r="A25" s="12" t="n">
        <v>22</v>
      </c>
      <c r="B25" s="12" t="inlineStr">
        <is>
          <t>塩谷町</t>
        </is>
      </c>
      <c r="C25" s="13">
        <f>IF(OR(D25="◎",E25="◎"),"◎ 営業",IF(OR(D25="△",E25="△"),"△ 着手済・要確認",IF(OR(D25="？",E25="？"),"？ 期間要確認","✕ 対象外")))</f>
        <v/>
      </c>
      <c r="D25" s="14">
        <f>IF(J25="計画なし","－",IF(J25="策定済","✕",IF(H25="","？",IF(AND(H25&gt;=TGT_MIN,H25&lt;=TGT_MAX),IF(J25="着手済","△","◎"),"✕"))))</f>
        <v/>
      </c>
      <c r="E25" s="14">
        <f>IF(P25="計画なし","－",IF(P25="策定済","✕",IF(N25="","？",IF(AND(N25&gt;=TGT_MIN,N25&lt;=TGT_MAX),IF(P25="着手済","△","◎"),"✕"))))</f>
        <v/>
      </c>
      <c r="F25" s="12" t="inlineStr">
        <is>
          <t>塩谷町地域公共交通計画</t>
        </is>
      </c>
      <c r="G25" s="12" t="inlineStr">
        <is>
          <t>不明</t>
        </is>
      </c>
      <c r="H25" s="14" t="n"/>
      <c r="I25" s="14" t="inlineStr">
        <is>
          <t>不明</t>
        </is>
      </c>
      <c r="J25" s="14" t="inlineStr">
        <is>
          <t>未確認</t>
        </is>
      </c>
      <c r="K25" s="15" t="inlineStr">
        <is>
          <t>https://www.town.shioya.tochigi.jp/info/2531</t>
        </is>
      </c>
      <c r="L25" s="12" t="inlineStr">
        <is>
          <t>（環境基本計画なし）区域施策編（R7.3改定）</t>
        </is>
      </c>
      <c r="M25" s="12" t="inlineStr">
        <is>
          <t>不明</t>
        </is>
      </c>
      <c r="N25" s="14" t="n"/>
      <c r="O25" s="14" t="inlineStr">
        <is>
          <t>不明</t>
        </is>
      </c>
      <c r="P25" s="14" t="inlineStr">
        <is>
          <t>計画なし</t>
        </is>
      </c>
      <c r="Q25" s="15" t="inlineStr">
        <is>
          <t>https://www.town.shioya.tochigi.jp/info/2490</t>
        </is>
      </c>
      <c r="R25" s="12" t="inlineStr">
        <is>
          <t>交通：R7に「地域公共交通事業支援業務」のプロポあり（約1,240万円）。計画改定を含むかは要確認。</t>
        </is>
      </c>
      <c r="S25" s="16" t="inlineStr">
        <is>
          <t>調査済</t>
        </is>
      </c>
      <c r="T25" s="12" t="inlineStr">
        <is>
          <t>掲載</t>
        </is>
      </c>
    </row>
    <row r="26">
      <c r="A26" s="12" t="n">
        <v>23</v>
      </c>
      <c r="B26" s="12" t="inlineStr">
        <is>
          <t>高根沢町</t>
        </is>
      </c>
      <c r="C26" s="13">
        <f>IF(OR(D26="◎",E26="◎"),"◎ 営業",IF(OR(D26="△",E26="△"),"△ 着手済・要確認",IF(OR(D26="？",E26="？"),"？ 期間要確認","✕ 対象外")))</f>
        <v/>
      </c>
      <c r="D26" s="14">
        <f>IF(J26="計画なし","－",IF(J26="策定済","✕",IF(H26="","？",IF(AND(H26&gt;=TGT_MIN,H26&lt;=TGT_MAX),IF(J26="着手済","△","◎"),"✕"))))</f>
        <v/>
      </c>
      <c r="E26" s="14">
        <f>IF(P26="計画なし","－",IF(P26="策定済","✕",IF(N26="","？",IF(AND(N26&gt;=TGT_MIN,N26&lt;=TGT_MAX),IF(P26="着手済","△","◎"),"✕"))))</f>
        <v/>
      </c>
      <c r="F26" s="12" t="inlineStr">
        <is>
          <t>高根沢町地域公共交通計画</t>
        </is>
      </c>
      <c r="G26" s="12" t="inlineStr">
        <is>
          <t>R8〜R12</t>
        </is>
      </c>
      <c r="H26" s="14" t="n">
        <v>12</v>
      </c>
      <c r="I26" s="14" t="inlineStr">
        <is>
          <t>確認済</t>
        </is>
      </c>
      <c r="J26" s="14" t="inlineStr">
        <is>
          <t>策定済</t>
        </is>
      </c>
      <c r="K26" s="15" t="inlineStr">
        <is>
          <t>https://www.town.takanezawa.tochigi.jp/gyosei/plan/bunya/documents/202604koutsukeikaku.pdf</t>
        </is>
      </c>
      <c r="L26" s="12" t="inlineStr">
        <is>
          <t>高根沢町環境基本計画2026</t>
        </is>
      </c>
      <c r="M26" s="12" t="inlineStr">
        <is>
          <t>R8〜R17</t>
        </is>
      </c>
      <c r="N26" s="14" t="n">
        <v>17</v>
      </c>
      <c r="O26" s="14" t="inlineStr">
        <is>
          <t>確認済</t>
        </is>
      </c>
      <c r="P26" s="14" t="inlineStr">
        <is>
          <t>策定済</t>
        </is>
      </c>
      <c r="Q26" s="15" t="inlineStr">
        <is>
          <t>https://www.town.takanezawa.tochigi.jp/life/kankyo/keikaku/documents/kankyoukihon2026gaiyou.pdf</t>
        </is>
      </c>
      <c r="R26" s="12" t="inlineStr">
        <is>
          <t>交通・環境とも新計画をR8策定済。</t>
        </is>
      </c>
      <c r="S26" s="16" t="inlineStr">
        <is>
          <t>調査済</t>
        </is>
      </c>
      <c r="T26" s="12" t="inlineStr">
        <is>
          <t>掲載</t>
        </is>
      </c>
    </row>
    <row r="27">
      <c r="A27" s="12" t="n">
        <v>24</v>
      </c>
      <c r="B27" s="12" t="inlineStr">
        <is>
          <t>那須町</t>
        </is>
      </c>
      <c r="C27" s="13">
        <f>IF(OR(D27="◎",E27="◎"),"◎ 営業",IF(OR(D27="△",E27="△"),"△ 着手済・要確認",IF(OR(D27="？",E27="？"),"？ 期間要確認","✕ 対象外")))</f>
        <v/>
      </c>
      <c r="D27" s="14">
        <f>IF(J27="計画なし","－",IF(J27="策定済","✕",IF(H27="","？",IF(AND(H27&gt;=TGT_MIN,H27&lt;=TGT_MAX),IF(J27="着手済","△","◎"),"✕"))))</f>
        <v/>
      </c>
      <c r="E27" s="14">
        <f>IF(P27="計画なし","－",IF(P27="策定済","✕",IF(N27="","？",IF(AND(N27&gt;=TGT_MIN,N27&lt;=TGT_MAX),IF(P27="着手済","△","◎"),"✕"))))</f>
        <v/>
      </c>
      <c r="F27" s="12" t="inlineStr">
        <is>
          <t>那須町地域公共交通計画／那須地域定住自立圏計画</t>
        </is>
      </c>
      <c r="G27" s="12" t="inlineStr">
        <is>
          <t>R4〜R9</t>
        </is>
      </c>
      <c r="H27" s="14" t="n">
        <v>9</v>
      </c>
      <c r="I27" s="14" t="inlineStr">
        <is>
          <t>確認済</t>
        </is>
      </c>
      <c r="J27" s="14" t="inlineStr">
        <is>
          <t>未確認</t>
        </is>
      </c>
      <c r="K27" s="15" t="inlineStr">
        <is>
          <t>https://www.town.nasu.lg.jp/manage/contents/upload/6243b2b07f368.pdf</t>
        </is>
      </c>
      <c r="L27" s="12" t="inlineStr">
        <is>
          <t>第3次那須町環境基本計画</t>
        </is>
      </c>
      <c r="M27" s="12" t="inlineStr">
        <is>
          <t>R8〜R17</t>
        </is>
      </c>
      <c r="N27" s="14" t="n">
        <v>17</v>
      </c>
      <c r="O27" s="14" t="inlineStr">
        <is>
          <t>確認済</t>
        </is>
      </c>
      <c r="P27" s="14" t="inlineStr">
        <is>
          <t>策定済</t>
        </is>
      </c>
      <c r="Q27" s="15" t="inlineStr">
        <is>
          <t>http://www.town.nasu.lg.jp/0076/info-0000004347-1.html</t>
        </is>
      </c>
      <c r="R27" s="12"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6" t="inlineStr">
        <is>
          <t>調査済</t>
        </is>
      </c>
      <c r="T27" s="12" t="inlineStr">
        <is>
          <t>掲載（広域：第2次那須地域定住自立圏）</t>
        </is>
      </c>
      <c r="U27" s="20" t="inlineStr">
        <is>
          <t>→メモ</t>
        </is>
      </c>
    </row>
    <row r="28">
      <c r="A28" s="12" t="n">
        <v>25</v>
      </c>
      <c r="B28" s="12" t="inlineStr">
        <is>
          <t>那珂川町</t>
        </is>
      </c>
      <c r="C28" s="13">
        <f>IF(OR(D28="◎",E28="◎"),"◎ 営業",IF(OR(D28="△",E28="△"),"△ 着手済・要確認",IF(OR(D28="？",E28="？"),"？ 期間要確認","✕ 対象外")))</f>
        <v/>
      </c>
      <c r="D28" s="14">
        <f>IF(J28="計画なし","－",IF(J28="策定済","✕",IF(H28="","？",IF(AND(H28&gt;=TGT_MIN,H28&lt;=TGT_MAX),IF(J28="着手済","△","◎"),"✕"))))</f>
        <v/>
      </c>
      <c r="E28" s="14">
        <f>IF(P28="計画なし","－",IF(P28="策定済","✕",IF(N28="","？",IF(AND(N28&gt;=TGT_MIN,N28&lt;=TGT_MAX),IF(P28="着手済","△","◎"),"✕"))))</f>
        <v/>
      </c>
      <c r="F28" s="12" t="inlineStr">
        <is>
          <t>那須地域定住自立圏地域公共交通計画＋町計画（R5.3策定）</t>
        </is>
      </c>
      <c r="G28" s="12" t="inlineStr">
        <is>
          <t>R5〜R9（定住自立圏）</t>
        </is>
      </c>
      <c r="H28" s="14" t="n">
        <v>9</v>
      </c>
      <c r="I28" s="14" t="inlineStr">
        <is>
          <t>確認済</t>
        </is>
      </c>
      <c r="J28" s="14" t="inlineStr">
        <is>
          <t>未確認</t>
        </is>
      </c>
      <c r="K28" s="15" t="inlineStr">
        <is>
          <t>https://www.city.nasushiobara.tochigi.jp/soshikikarasagasu/kb/shinoseisakutokeikaku/1/5504.html</t>
        </is>
      </c>
      <c r="L28" s="12" t="inlineStr">
        <is>
          <t>第2次那珂川町環境基本計画（後期計画）</t>
        </is>
      </c>
      <c r="M28" s="12" t="inlineStr">
        <is>
          <t>R6〜R10（推定）</t>
        </is>
      </c>
      <c r="N28" s="17" t="n">
        <v>10</v>
      </c>
      <c r="O28" s="14" t="inlineStr">
        <is>
          <t>推定</t>
        </is>
      </c>
      <c r="P28" s="14" t="inlineStr">
        <is>
          <t>未確認</t>
        </is>
      </c>
      <c r="Q28" s="15" t="inlineStr">
        <is>
          <t>https://www.town.tochigi-nakagawa.lg.jp/35kankyo/01keikaku/index.html</t>
        </is>
      </c>
      <c r="R28" s="12"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6" t="inlineStr">
        <is>
          <t>調査済</t>
        </is>
      </c>
      <c r="T28" s="12" t="inlineStr">
        <is>
          <t>掲載（広域：第2次那須地域定住自立圏）</t>
        </is>
      </c>
      <c r="U28" s="20" t="inlineStr">
        <is>
          <t>→メモ</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ref="U6" location="'営業メモ'!C26" display="→メモ"/>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ref="U8" location="'営業メモ'!C27" display="→メモ"/>
    <hyperlink xmlns:r="http://schemas.openxmlformats.org/officeDocument/2006/relationships" ref="K9" r:id="rId11"/>
    <hyperlink xmlns:r="http://schemas.openxmlformats.org/officeDocument/2006/relationships" ref="Q9" r:id="rId12"/>
    <hyperlink ref="U9" location="'営業メモ'!C28"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ref="U12" location="'営業メモ'!C29" display="→メモ"/>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ref="U14" location="'営業メモ'!C30" display="→メモ"/>
    <hyperlink xmlns:r="http://schemas.openxmlformats.org/officeDocument/2006/relationships" ref="K15" r:id="rId23"/>
    <hyperlink xmlns:r="http://schemas.openxmlformats.org/officeDocument/2006/relationships" ref="Q15" r:id="rId24"/>
    <hyperlink ref="U15" location="'営業メモ'!C31" display="→メモ"/>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ref="U27" location="'営業メモ'!C32" display="→メモ"/>
    <hyperlink xmlns:r="http://schemas.openxmlformats.org/officeDocument/2006/relationships" ref="K28" r:id="rId49"/>
    <hyperlink xmlns:r="http://schemas.openxmlformats.org/officeDocument/2006/relationships" ref="Q28" r:id="rId50"/>
    <hyperlink ref="U28" location="'営業メモ'!C33" display="→メモ"/>
  </hyperlinks>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M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7" customWidth="1" min="2" max="2"/>
    <col width="12" customWidth="1" min="3" max="3"/>
    <col width="5" customWidth="1" min="4" max="4"/>
    <col width="24" customWidth="1" min="5" max="5"/>
    <col width="46" customWidth="1" min="6" max="6"/>
    <col width="28" customWidth="1" min="7" max="7"/>
    <col width="46" customWidth="1" min="8" max="8"/>
    <col width="38" customWidth="1" min="9" max="9"/>
    <col width="40" customWidth="1" min="10" max="10"/>
    <col width="42" customWidth="1" min="11" max="11"/>
    <col width="40" customWidth="1" min="12" max="12"/>
    <col width="30" customWidth="1" min="13" max="13"/>
  </cols>
  <sheetData>
    <row r="1">
      <c r="A1" s="1" t="inlineStr">
        <is>
          <t>営業メモ：終期R9年度の計画を持つ自治体（2026年10月作成）</t>
        </is>
      </c>
    </row>
    <row r="2">
      <c r="A2" s="10" t="inlineStr">
        <is>
          <t>Web検索で確認できた範囲の情報です。「推定」「要確認」は訪問前に電話・HPで確認してください。次期計画に着手済みの自治体は「着手」列に●。</t>
        </is>
      </c>
    </row>
    <row r="4">
      <c r="A4" s="21" t="inlineStr">
        <is>
          <t>No</t>
        </is>
      </c>
      <c r="B4" s="21" t="inlineStr">
        <is>
          <t>県</t>
        </is>
      </c>
      <c r="C4" s="21" t="inlineStr">
        <is>
          <t>自治体</t>
        </is>
      </c>
      <c r="D4" s="21" t="inlineStr">
        <is>
          <t>着手</t>
        </is>
      </c>
      <c r="E4" s="21" t="inlineStr">
        <is>
          <t>対象計画</t>
        </is>
      </c>
      <c r="F4" s="21" t="inlineStr">
        <is>
          <t>計画の概要</t>
        </is>
      </c>
      <c r="G4" s="21" t="inlineStr">
        <is>
          <t>担当課・連絡先</t>
        </is>
      </c>
      <c r="H4" s="21" t="inlineStr">
        <is>
          <t>次期計画の見込みスケジュール</t>
        </is>
      </c>
      <c r="I4" s="21" t="inlineStr">
        <is>
          <t>前回の策定業務（方式・受託者・金額）</t>
        </is>
      </c>
      <c r="J4" s="21" t="inlineStr">
        <is>
          <t>関連する動き</t>
        </is>
      </c>
      <c r="K4" s="21" t="inlineStr">
        <is>
          <t>訪問時の切り口</t>
        </is>
      </c>
      <c r="L4" s="21" t="inlineStr">
        <is>
          <t>根拠URL</t>
        </is>
      </c>
      <c r="M4" s="21" t="inlineStr">
        <is>
          <t>備考</t>
        </is>
      </c>
    </row>
    <row r="5">
      <c r="A5" s="22" t="n">
        <v>1</v>
      </c>
      <c r="B5" s="22" t="inlineStr">
        <is>
          <t>青森県</t>
        </is>
      </c>
      <c r="C5" s="23" t="inlineStr">
        <is>
          <t>十和田市</t>
        </is>
      </c>
      <c r="D5" s="24" t="inlineStr"/>
      <c r="E5" s="22" t="inlineStr">
        <is>
          <t>十和田市地域公共交通計画（R5〜R9）</t>
        </is>
      </c>
      <c r="F5" s="22" t="inlineStr">
        <is>
          <t>十和田市地域公共交通計画（令和5年3月策定、計画期間 令和5（2023）〜令和9（2027）年度の5か年、確認済）。平成30年策定の十和田市地域公共交通網形成計画（H30〜R4）の後継。主な施策は中心市街地の循環路線導入・交通拠点（まちなか交通広場）設定、路線バス運休地域でのデマンド交通実験運行、予約制乗合タクシー・公共交通空白地有償運送の活用など。</t>
        </is>
      </c>
      <c r="G5" s="22" t="inlineStr">
        <is>
          <t>政策財政課 政策企画係（2021年公表の行政評価発表資料で公共交通の維持・確保を担当と確認。現在の所管課・係・電話は未確認（推定で同課））。計画策定支援業務の発注者は十和田市地域公共交通会議（仕様書で確認）。</t>
        </is>
      </c>
      <c r="H5" s="22" t="inlineStr">
        <is>
          <t>次期計画（R10〜）の策定業務・協議会審議は検索で確認できず。R9終期のため、R8〜R9年度に策定支援業務を発注する見込み（推定）。前回は計画開始前年度（R4年度）に策定業務を実施しており、同パターンならR9年度予算で発注（R9春〜夏にプロポーザル）（推定）。R8年度当初予算記者会見資料では『公共交通対策事業』（まちなか交通広場を拠点とした公共交通確保）が重点項目に含まれるが、計画改定予算の有無は未確認。</t>
        </is>
      </c>
      <c r="I5" s="25" t="inlineStr">
        <is>
          <t>現行計画：十和田市地域公共交通会議が『十和田市地域公共交通計画策定支援業務』を発注（仕様書確認、R4年度とみられる）。発注方式は既存注釈ではR4年度プロポーザルとされるが本調査では結果ページ未確認。受託者・金額：不明（検索結果に記載なし）。</t>
        </is>
      </c>
      <c r="J5" s="22" t="inlineStr">
        <is>
          <t>R6年度に市街地循環バス等運賃無料化制度（駒らんパス）導入で利用増。路線バス運休地域でデマンド交通実験運行、デマンド交通市民力支援事業補助。R7.3に十和田市地球温暖化対策実行計画（区域施策編）策定（既存注釈）。</t>
        </is>
      </c>
      <c r="K5" s="22" t="inlineStr">
        <is>
          <t>・現行計画はR9度末で終期。前回はR4年度に地域公共交通会議発注で策定支援業務を実施しており、次期計画のR9年度発注に向けたスケジュール・調査設計（R8年度中の利用実態調査等）を提案。
・駒らんパス（循環バス無料化）導入後の利用増や、デマンド交通実験運行の効果検証を次期計画の評価指標・データ分析として整理する支援。
・区域施策編（R7.3策定）と連携した交通分野の脱炭素施策（公共交通利用転換）を次期計画に盛り込む切り口。</t>
        </is>
      </c>
      <c r="L5" s="26" t="inlineStr">
        <is>
          <t>https://www.city.towada.lg.jp/kurashi/koutsuu/files/keikaku.pdf
https://www.city.towada.lg.jp:443/kurashi/koutsuu/files/gaiyouban.pdf
https://www.city.towada.lg.jp/kurashi/koutsuu/files/shiyousyo.pdf
https://www.city.towada.lg.jp/shisei/gyousei/kaikaku/files/koukyoukoutuuhappyou.pdf
https://www.city.towada.lg.jp/shisei/gyousei/kaikaku/files/presen6.pdf
https://www.city.towada.lg.jp/shisei/about/shichou/sichoukaiken/files/R8kisyakaiken.pdf</t>
        </is>
      </c>
      <c r="M5" s="22" t="inlineStr">
        <is>
          <t>調査日 2026-10-02。市サイトはWebFetchがブロックされ、PDF本文は検索結果要約のみで確認。受託者・契約金額・プロポーザル結果ページは見つからず（要：市契約担当または地域公共交通会議事務局への確認）。現所管課・電話番号未確認。</t>
        </is>
      </c>
    </row>
    <row r="6">
      <c r="A6" s="22" t="n">
        <v>2</v>
      </c>
      <c r="B6" s="22" t="inlineStr">
        <is>
          <t>青森県</t>
        </is>
      </c>
      <c r="C6" s="23" t="inlineStr">
        <is>
          <t>今別町</t>
        </is>
      </c>
      <c r="D6" s="24" t="inlineStr"/>
      <c r="E6" s="22" t="inlineStr">
        <is>
          <t>今別町地域公共交通計画（R5〜R9）</t>
        </is>
      </c>
      <c r="F6" s="22" t="inlineStr">
        <is>
          <t>今別町地域公共交通計画（計画公表ページ2023-08-28、期間R5〜R9の5年間＝既存ファクトチェックで確認済）。本調査では計画本文・施策内容は検索結果で確認できず。町内は今別町巡回バス、デマンド型乗合タクシー『わんタク』（JR津軽線代行）等が運行（確認済）。施策は生活交通の確保と津軽線不通区間の代替交通確保が中心（推定）。</t>
        </is>
      </c>
      <c r="G6" s="22" t="inlineStr">
        <is>
          <t>不明（企画系の課と推定。計画所管課・係・電話番号は検索で確認できず。町公式サイトはWebFetchがブロック）</t>
        </is>
      </c>
      <c r="H6" s="22" t="inlineStr">
        <is>
          <t>次期計画（R10〜）の策定業務は確認できず。JR東日本・青森県・沿線2町が2025年6月10日に津軽線蟹田〜三厩間（28.8km）の2027年4月自動車交通転換に基本合意（確認済）。転換後の交通は沿線自治体と設立するNPO法人が代替バス・コミュニティバスを含め担う予定で2026年度中に発足（確認済）。広報今別733号では代行バス・わんタク・町営バス等を統合した自動車交通をR9.4.1から運行予定（既存注釈）。このためR8〜R9年度に現行計画の変更、またはR9年度に次期計画策定業務（R10〜）を発注する可能性が高い（推定）。</t>
        </is>
      </c>
      <c r="I6" s="25" t="inlineStr">
        <is>
          <t>現行計画：2022年10月に策定支援業務の公募型プロポーザルを実施（既存注釈、町ニュースページ）。R4年度発注（推定）。受託者・金額：不明（検索結果に記載なし）。</t>
        </is>
      </c>
      <c r="J6" s="22" t="inlineStr">
        <is>
          <t>JR津軽線蟹田〜三厩間は2022年8月豪雨で被災・運休、2027年4月廃止・バス/タクシー転換で基本合意（2025-06-10）。代替運営NPO法人を外ヶ浜町と共同で2026年度中に設立予定。わんタク（フリー便・定時便）は増便・乗降箇所追加で継続運行。今別町は当初鉄道復旧にこだわっていた経緯あり。</t>
        </is>
      </c>
      <c r="K6" s="22" t="inlineStr">
        <is>
          <t>・R9.4の津軽線廃止・自動車交通への全面転換で、現行計画（R5策定）の前提が大きく変わる。計画変更または前倒し改定（R10〜次期計画）の支援を提案。
・NPO法人による代替バス・コミュニティバス・わんタク統合運行の評価（利用実態調査・ダイヤ/乗降箇所の検証）を、次期計画のデータ基盤として整理する切り口。
・外ヶ浜町と一体の運行となるため、2町連携（共同計画・協議会運営）の事務支援ニーズを確認。</t>
        </is>
      </c>
      <c r="L6" s="26" t="inlineStr">
        <is>
          <t>https://www.town.imabetsu.lg.jp/gyousei/koukai/2023-0828-1639-1.html
https://www.town.imabetsu.lg.jp/news/gyousei/2022-1017-1745-1.html
https://tabi-mag.jp/kanita-minmaya/
https://tabiris.com/archives/tsugarusen202411/
https://trafficnews.jp/post/648254
https://trafficnews.jp/post/124656
https://www.jreast.co.jp/aas/2025/morioka/20250226_mr51.pdf</t>
        </is>
      </c>
      <c r="M6" s="22" t="inlineStr">
        <is>
          <t>調査日 2026-10-02。町サイトはWebFetchブロックで、今別町名の検索は当別町・愛別町など北海道の町と混同した結果が多く、町独自資料はほぼヒットせず。計画本文の施策、所管課・電話、プロポーザル結果（受託者・金額）は未確認。NPO法人名（既存注釈では『NPO今別外ヶ浜交通』）は本調査の検索結果では確認できず。</t>
        </is>
      </c>
    </row>
    <row r="7">
      <c r="A7" s="22" t="n">
        <v>3</v>
      </c>
      <c r="B7" s="22" t="inlineStr">
        <is>
          <t>青森県</t>
        </is>
      </c>
      <c r="C7" s="23" t="inlineStr">
        <is>
          <t>大鰐町</t>
        </is>
      </c>
      <c r="D7" s="24" t="inlineStr"/>
      <c r="E7" s="22" t="inlineStr">
        <is>
          <t>大鰐町地域公共交通計画（R5〜R9、期間は推定）</t>
        </is>
      </c>
      <c r="F7" s="22" t="inlineStr">
        <is>
          <t>大鰐町地域公共交通計画（町HP『大鰐町地域公共交通計画策定について』に計画PDF（ファイル名R5.5）掲載、R5.5策定とみられる。期間R5〜R9は推定で本文未確認）。主な施策は検索で確認できず。前身として大鰐町地域公共交通会議（2009年3月設置）が2010年3月に地域公共交通総合連携計画を策定し、JR大鰐温泉駅周辺整備やデマンドタクシー・乗合タクシー・町内循環バス等を検討した経緯あり（確認済）。</t>
        </is>
      </c>
      <c r="G7" s="22" t="inlineStr">
        <is>
          <t>不明（計画所管課・電話は検索で確認できず。企画系の課と推定。町公式サイトはWebFetchブロック）。協議の場は大鰐町地域公共交通会議（推定で現存）。</t>
        </is>
      </c>
      <c r="H7" s="22" t="inlineStr">
        <is>
          <t>次期計画の着手は確認できず。弘南鉄道大鰐線（中央弘前〜大鰐）は2028年3月31日まで運行し4月1日から運行休止（確認済）。青森県が『弘南鉄道大鰐線代替交通検討会議』を設置し、R7.3.25に第1回開催（事務局：県地域交通・連携課、弘前市・大鰐町・平川市・弘南鉄道・弘南バス・タクシー協会弘前支部・青森運輸支局が出席、R10.4からの代替交通運行の合意が目的）（確認済）。現行計画終期R9と代替交通開始R10.4が重なるため、R8〜R9年度に代替交通を織り込んだ次期計画策定業務の発注が見込まれる（推定）。</t>
        </is>
      </c>
      <c r="I7" s="25" t="inlineStr">
        <is>
          <t>現行計画：計画案策定支援業務の公募型プロポーザルを実施（既存注釈の町ニュースページ、日付未確認。R4年度と推定）。受託者・金額：不明（検索結果に記載なし）。</t>
        </is>
      </c>
      <c r="J7" s="22" t="inlineStr">
        <is>
          <t>弘南鉄道大鰐線は利用者がピーク時約390万人から2023年度約27万人に減少、2019・2023年に脱線事故。2028年4月から運行休止（事実上の廃止）で沿線自治体合意。県主導の代替交通検討会議で運行方法を調整中。大鰐町にはJR奥羽本線大鰐温泉駅あり。</t>
        </is>
      </c>
      <c r="K7" s="22" t="inlineStr">
        <is>
          <t>・大鰐線休止（R10.4）と現行計画終期（R9）が重なる。代替バス等の運行計画を盛り込んだ次期計画の策定スケジュール（R9年度発注想定）を早期に打診。
・県の代替交通検討会議（弘前市・平川市と共同）との整合を取った町計画づくり、利用実態調査・需要推計の支援を提案。
・町内移動（デマンド・乗合タクシー等）と大鰐温泉駅結節点の再設計を、鉄道休止後の交通網再編として一体的に検討する切り口。</t>
        </is>
      </c>
      <c r="L7" s="26" t="inlineStr">
        <is>
          <t>http://www.town.owani.lg.jp/aboutowani/plan/kokyo-kotsu.html
http://www.town.owani.lg.jp/news/index.cfm/detail.1.12187.html
https://www.mlit.go.jp/common/000118291.pdf
https://www.pref.aomori.lg.jp/release/2024/77906.html
https://trafficnews.jp/post/592513
https://tetsudo-ch.com/13012749.html</t>
        </is>
      </c>
      <c r="M7" s="22" t="inlineStr">
        <is>
          <t>調査日 2026-10-02。町サイトはWebFetchブロック、町独自資料は検索でほぼヒットせず。計画期間（R5〜R9）は推定のまま（本文未確認）。施策内容・所管課・電話・プロポーザル結果（受託者・金額）は未確認。</t>
        </is>
      </c>
    </row>
    <row r="8">
      <c r="A8" s="22" t="n">
        <v>4</v>
      </c>
      <c r="B8" s="22" t="inlineStr">
        <is>
          <t>青森県</t>
        </is>
      </c>
      <c r="C8" s="23" t="inlineStr">
        <is>
          <t>中泊町</t>
        </is>
      </c>
      <c r="D8" s="24" t="inlineStr"/>
      <c r="E8" s="22" t="inlineStr">
        <is>
          <t>中泊町地域公共交通計画（R5〜R9）</t>
        </is>
      </c>
      <c r="F8" s="22" t="inlineStr">
        <is>
          <t>中泊町地域公共交通計画（計画書表紙『令和5年4月』、期間R5〜R9＝既存ファクトチェックで確認済）。掲載PDFのファイル名に『r6』があり令和6年に改訂・変更の可能性（未確認）。主な施策は本調査の検索結果では確認できず。町内には津軽鉄道（津軽五所川原〜津軽中里、20.7km）の終点・津軽中里駅があり、奥津軽いまべつ駅〜津軽中里駅間は2020年11月から乗合タクシーで運行（確認済）。</t>
        </is>
      </c>
      <c r="G8" s="22" t="inlineStr">
        <is>
          <t>総合戦略課（計画掲載ページが町サイトの総合戦略課業務案内配下にあることから。係名・電話番号は未確認）</t>
        </is>
      </c>
      <c r="H8" s="22" t="inlineStr">
        <is>
          <t>次期計画の策定業務は確認できず（既存ファクトチェックで町のプロポーザル一覧に交通計画関連なし）。R9終期のため、R8〜R9年度に策定支援業務を発注する見込み（推定）。小規模町のため随意契約・指名見積の可能性もある（推定）。</t>
        </is>
      </c>
      <c r="I8" s="22" t="inlineStr">
        <is>
          <t>不明（現行計画の策定支援業務の発注方式・受託者・金額は検索で確認できず）。</t>
        </is>
      </c>
      <c r="J8" s="22" t="inlineStr">
        <is>
          <t>津軽鉄道は利用者減少で厳しい経営が続き、沿線（五所川原市・中泊町）で利用促進活動を実施。奥津軽いまべつ駅（北海道新幹線）〜津軽中里駅の乗合タクシー運行。隣接の今別町・外ヶ浜町ではJR津軽線蟹田〜三厩間が2027年4月に廃止・自動車転換予定で、奥津軽地域の広域交通網に影響（推定）。</t>
        </is>
      </c>
      <c r="K8" s="22" t="inlineStr">
        <is>
          <t>・現行計画（R5.4策定）はR9度末で終期。R6改訂の有無と、次期計画の策定方式・予算化時期（R8秋の予算要求）を確認。
・津軽鉄道の維持支援と、奥津軽いまべつ駅〜津軽中里駅乗合タクシーなど2次交通の評価を次期計画で整理する支援。
・津軽線廃止に伴う今別町・外ヶ浜町の交通再編や五所川原市との広域連携を踏まえた圏域的な交通ネットワーク検討の切り口。</t>
        </is>
      </c>
      <c r="L8" s="26" t="inlineStr">
        <is>
          <t>https://www.town.nakadomari.lg.jp/soshikikarasagasu/sogosenryakuka/gyomuannai/5/1/1/4311.html
https://www.town.nakadomari.lg.jp/material/files/group/3/koutuukeikakur6.pdf
https://trafficnews.jp/post/101346
https://tabi-mag.jp/ao0242/</t>
        </is>
      </c>
      <c r="M8" s="22" t="inlineStr">
        <is>
          <t>調査日 2026-10-02。町サイトはWebFetchブロック、検索で町独自資料はほぼヒットせず（中標津町・中種子町など他自治体と混同した結果が多い）。施策内容、R6改訂の有無、係名・電話、過去の策定支援業務（受託者・金額）は未確認。</t>
        </is>
      </c>
    </row>
    <row r="9">
      <c r="A9" s="22" t="n">
        <v>5</v>
      </c>
      <c r="B9" s="22" t="inlineStr">
        <is>
          <t>岩手県</t>
        </is>
      </c>
      <c r="C9" s="23" t="inlineStr">
        <is>
          <t>久慈市</t>
        </is>
      </c>
      <c r="D9" s="24" t="inlineStr"/>
      <c r="E9" s="22" t="inlineStr">
        <is>
          <t>久慈市地域公共交通計画（H30〜R9）</t>
        </is>
      </c>
      <c r="F9" s="22" t="inlineStr">
        <is>
          <t>H30策定の地域公共交通網形成計画をR6.3に「久慈市地域公共交通計画」として策定（既存注釈より計画期間2018〜2027年度、2028年度以降に見直し予定）。地域公共交通の基本方針・目標・施策の方向性を示す、持続可能な交通体系構築のためのマスタープラン（市HPの記載）。市民バス・路線バス・高速バス等が対象。個別施策の詳細は計画PDF未取得のため未確認。</t>
        </is>
      </c>
      <c r="G9" s="22" t="inlineStr">
        <is>
          <t>地域づくり振興課（市HPの計画掲載ページが同課配下 soshiki/chiikizukurishinko。係名・電話番号は未確認）</t>
        </is>
      </c>
      <c r="H9" s="22" t="inlineStr">
        <is>
          <t>計画終期R9（2027年度）のため、次期計画はR8〜R9に策定作業が必要（推定）。2028年度以降に見直し予定との記載あり（既存注釈）。次期計画の策定業務委託・プロポーザル・地域公共交通会議での審議は検索で確認できず。R9当初予算で策定業務を計上し、R9上半期に発注される見込み（推定）。</t>
        </is>
      </c>
      <c r="I9" s="22" t="inlineStr">
        <is>
          <t>不明。H29頃の網形成計画策定業務、R5年度の地域公共交通計画策定（R6.3）業務とも、発注方式・受託者・金額は検索で確認できず。市HPの「建設関連業務入札結果等一覧」（R6・R7年度）は存在するが、該当業務の記載は未確認。</t>
        </is>
      </c>
      <c r="J9" s="22" t="inlineStr">
        <is>
          <t>岩手県・沿線12市町村の広域計画「三陸鉄道沿線地域等公共交通計画」（2024策定）の対象地域でもある（既存注釈）。R6年度市民満足度アンケートで地域公共交通計画に関する設問あり。環境分野では第2次久慈市環境基本計画（10年計画、R10以降見直しの記載）、温対計画区域施策編の改訂支援プロポーザル実績あり（既存注釈）。</t>
        </is>
      </c>
      <c r="K9" s="22" t="inlineStr">
        <is>
          <t>・現行計画はH30網形成計画を引き継いでR9（2027年度）で終期を迎えるため、R9予算での次期計画策定（調査・協議会運営・計画書作成）の準備状況を確認する。
・三陸鉄道沿線地域等公共交通計画（県・沿線12市町村の広域計画）との整合を取った市計画づくりを提案の軸にする。
・R6年度市民満足度アンケートの交通関連結果を踏まえた、利用実態調査・評価指標見直しの支援を切り口にする。</t>
        </is>
      </c>
      <c r="L9" s="26" t="inlineStr">
        <is>
          <t>https://www.city.kuji.lg.jp/soshiki/chiikizukurishinko/1/6/1/1835.html
https://www.city.kuji.lg.jp/material/files/group/19/keikaku.pdf
https://www.city.kuji.lg.jp/soshiki/chiikizukurishinko/1/8/1/1485.html
https://www.city.kuji.lg.jp/material/files/group/7/03133439.pdf
https://www.city.kuji.lg.jp/soshiki/zaisei/1/2/1/3/2867.html
https://www.city.miyako.iwate.jp/gyosei/soshiki/kokyokotsuusuishin/2/1/605.html</t>
        </is>
      </c>
      <c r="M9" s="22" t="inlineStr">
        <is>
          <t>調査日 2026-10-02。市サイトはWebFetchがブロックされ、計画PDF本文（期間・施策・委託先記載）は直接確認できていない。計画期間H30〜R9は既存注釈ベース（今回の検索本文では未再確認）。過去策定支援業務の受託者・金額は検索8回で見つからず。担当課の係・電話は要確認。岩手県久慈市（茨城県久慈郡等と混同なし）。</t>
        </is>
      </c>
    </row>
    <row r="10">
      <c r="A10" s="22" t="n">
        <v>6</v>
      </c>
      <c r="B10" s="22" t="inlineStr">
        <is>
          <t>宮城県</t>
        </is>
      </c>
      <c r="C10" s="23" t="inlineStr">
        <is>
          <t>白石市</t>
        </is>
      </c>
      <c r="D10" s="27" t="inlineStr">
        <is>
          <t>●</t>
        </is>
      </c>
      <c r="E10" s="22" t="inlineStr">
        <is>
          <t>白石市地域公共交通計画（R5〜R9）</t>
        </is>
      </c>
      <c r="F10" s="22" t="inlineStr">
        <is>
          <t>白石市地域公共交通計画（令和5年3月策定、R5〜R9の5年間）。前身は白石市地域公共交通網形成計画（H29.6策定）。将来像「若者からお年寄りまで地域で豊かな暮らしを支えるために、市民一人ひとりが移動しやすく、利便性の高いきめ細やかな公共交通」。基本目標は(1)利便性向上による誰もが利用しやすい公共交通の実現、(2)持続可能な地域を支え安心して生活できる環境のための公共交通、(3)多様な交通手段や多様な主体により市民の移動を支える仕組みの構築。市民バス「きゃっするくん」・乗合タクシーが軸。参考：第3次白石市環境基本計画（H31.4公表、期間は検索で確認できず）。</t>
        </is>
      </c>
      <c r="G10" s="22" t="inlineStr">
        <is>
          <t>まちづくり推進課 交通政策係（令和8年4月1日新設、R8施政方針で確認）。電話番号は検索で確認できず（要確認）。環境基本計画は環境課（soshiki/18）。</t>
        </is>
      </c>
      <c r="H10" s="28" t="inlineStr">
        <is>
          <t>【次期計画は着手済】「白石市地域公共交通計画策定調査に係る公募型プロポーザル」を実施（市サイト2026-07-14更新、募集終了。検索要約では2026年8月27日時点で公募終了）。R8年度に策定調査を発注し、R9年度に計画策定（R10開始）と推定。審査結果・優先交渉権者・契約額は検索で確認できず（入札・契約情報ページ／入札結果(令和8年度分)ページに掲載の可能性、要確認）。法定協議会は白石市地域公共交通会議（設置条例あり）。</t>
        </is>
      </c>
      <c r="I10" s="22" t="inlineStr">
        <is>
          <t>不明。現行計画（R4年度策定業務）・網形成計画（H28年度）の策定支援業者・発注方式・金額とも検索で確認できず。試行：「白石市 地域公共交通計画 策定業務 委託 受託」「令和4年度 策定業務 委託 契約」「落札/受注/随意契約」「網形成計画 策定支援 株式会社」等（いずれも白河市・白井市等の他市ばかりヒット）。市サイトWebFetchはブロック。計画書PDF（uploaded/attachment/22013.pdf）巻末の確認、または今回R8プロポの審査結果公表を要確認。なお市民バス運行はミヤコーバス（白石営業所）が関与（策定業務とは別）。</t>
        </is>
      </c>
      <c r="J10" s="22" t="inlineStr">
        <is>
          <t>・R8.4.1にまちづくり推進課内に「交通政策係」を新設（体制強化）。・R8施政方針：市民バス・乗合タクシー継続と効率的運行、運転免許自主返納者の市民バス運賃無料化継続、山間地域での住民主体の地域内交通を「人と地域が輝く未来共創交付金」で支援。・ゼロカーボンシティ宣言済（2050年CO2実質ゼロ）。・（仮称）道の駅しろいし整備（PFI、白石中央SIC連結）進行中で交通結節の論点あり。・宮城県地域公共交通計画R8〜R14（県計画、推定）。</t>
        </is>
      </c>
      <c r="K10" s="22" t="inlineStr">
        <is>
          <t>・次期計画策定調査のプロポが既に募集終了→受託者決定済の可能性大。受託できていない場合は、再委託・協力（アンケート/データ分析）や、R9の計画本編・協議会運営支援の別発注有無を交通政策係に確認する（要確認）
・新設の交通政策係向けに、住民主体の地域内交通（未来共創交付金）の制度設計・立ち上げ支援、市民バス・乗合タクシーの効率化（デマンド化等）の他市事例を提案
・ゼロカーボンシティ宣言済で第3次環境基本計画（H31公表）が改定時期に近い可能性→環境課に期間・次期改定予定をヒアリング（要確認）</t>
        </is>
      </c>
      <c r="L10" s="26" t="inlineStr">
        <is>
          <t>https://www.city.shiroishi.miyagi.jp/soshiki/17/27078.html
https://www.city.shiroishi.miyagi.jp/soshiki/17/9137.html
https://www.city.shiroishi.miyagi.jp/life/2/13/74/
https://www.city.shiroishi.miyagi.jp/soshiki/7/39670.html
https://www.city.shiroishi.miyagi.jp/site/mayor/38462.html
https://www.city.shiroishi.miyagi.jp/soshiki/1/38743.html
https://www.city.shiroishi.miyagi.jp/soshiki/17/883.html
https://www.city.shiroishi.miyagi.jp/soshiki/18/24072.html
https://www.city.shiroishi.miyagi.jp/reiki/reiki_honbun/c207RG00001079.html</t>
        </is>
      </c>
      <c r="M10" s="22" t="inlineStr">
        <is>
          <t>次期交通計画は策定調査プロポ実施済（受託者未確認）で営業タイミングとしては一歩遅い可能性。過去受託者は不明。佐賀県白石町・千葉県白井市・札幌市白石区とは別。</t>
        </is>
      </c>
    </row>
    <row r="11">
      <c r="A11" s="22" t="n">
        <v>7</v>
      </c>
      <c r="B11" s="22" t="inlineStr">
        <is>
          <t>宮城県</t>
        </is>
      </c>
      <c r="C11" s="23" t="inlineStr">
        <is>
          <t>名取市</t>
        </is>
      </c>
      <c r="D11" s="24" t="inlineStr"/>
      <c r="E11" s="22" t="inlineStr">
        <is>
          <t>名取市地域公共交通計画（R5〜R9）</t>
        </is>
      </c>
      <c r="F11" s="22" t="inlineStr">
        <is>
          <t>名取市地域公共交通計画（法定計画、令和5年3月28日策定、R5〜R9の5ヶ年）。市運行の乗合バス「なとりん号」のほか鉄道・民間路線バス・タクシーを含む市全体の地域公共交通の望ましい姿を示すマスタープラン。計画に基づきR5.10.1になとりん号のルート・バス停・ダイヤ見直しとAI予約型デマンド交通「なとりんくる」導入を実施。参考：第二次名取市環境基本計画はR2〜R12（11年間）でR9終期ではない。</t>
        </is>
      </c>
      <c r="G11" s="22" t="inlineStr">
        <is>
          <t>企画部 政策企画課（政策係が交通施策担当（検索要約））、電話022-724-7144（政策係、検索要約より・要確認）、FAX022-384-9030。本庁舎3階。法定協議会：名取市地域公共交通活性化推進協議会（事務局：政策企画課）。環境は環境共創課。</t>
        </is>
      </c>
      <c r="H11" s="22" t="inlineStr">
        <is>
          <t>次期計画の策定業務・プロポーザル情報は検索で未確認。R8.8.25開催のR8年度協議会の議題は「計画の取組状況について」のみ（in_0のファクトチェック）。R9終期のため、R9年度に策定業務発注（R8秋〜冬の予算要求で計上）またはR8年度補正・R9当初予算で2か年策定の可能性（推定）。現行計画はR4年度に協議会を計4回開催し1年で策定しており、同様にR9単年度策定となる可能性（推定）。</t>
        </is>
      </c>
      <c r="I11" s="25" t="inlineStr">
        <is>
          <t>一部判明・受託者は不明。市の令和4年度（2月）補正予算事項別明細書（uploaded/attachment/11557.pdf）に「地域公共交通計画策定委託料」の記載あり（検索要約より。金額・補正内容は未確認）→R4年度に市が委託発注したことは確実（推定）。発注方式・受託者・契約額は検索で確認できず。試行：「策定 業務 プロポーザル 結果」「委託 受託」「入札結果 公共交通 令和4年」「策定支援 コンサルタント 株式会社」「補正予算 地域公共交通計画策定委託料」（他市ばかりヒット）、市サイトWebFetchはブロック。市の令和4年度入札・契約情報ページ（page/1081.html）・計画書巻末で要確認。なお、なとりん号・なとりんくる運行は大新東株式会社が受託（R5.10〜、車両20台）、ITはユニ・トランドのCommunity MaaS導入（策定業務とは別）。</t>
        </is>
      </c>
      <c r="J11" s="22" t="inlineStr">
        <is>
          <t>・R5.10.1に市民バス再編：なとりん号（コミュニティバス14台）見直し＋デマンド交通「なとりんくる」（6台、AI予約）新設、運行は大新東が受託。・仙台市の公共交通関係資料に名取市説明資料あり（仙台都市圏での広域連携論点）。・ゼロカーボンシティ宣言済、名取市地球温暖化対策実行計画策定済。・第二次環境基本計画R2〜R12。・宮城県が次期地域公共交通計画を策定（R7年度、R8〜R14、推定）。・名取市第六次長期総合計画あり。</t>
        </is>
      </c>
      <c r="K11" s="22" t="inlineStr">
        <is>
          <t>・R9終期の現行計画に対し、次期策定の発注時期（R9当初予算か、R8補正で2か年か）と協議会スケジュールを政策企画課に確認。予算要求時期（R8秋）前の情報提供が鍵
・R5.10のなとりん号再編・なとりんくる導入から3年→利用実績データ（AI予約データ）を活用した効果検証・評価を次期計画の核に据える提案
・仙台都市圏・宮城県計画（R8〜R14）との整合、空港アクセス・鉄道（JR東北本線・仙台空港アクセス線）との結節を論点に（推定）</t>
        </is>
      </c>
      <c r="L11" s="26" t="inlineStr">
        <is>
          <t>https://www.city.natori.miyagi.jp/page/4327.html
https://www.city.natori.miyagi.jp/page/4325.html
https://www.city.natori.miyagi.jp/soshiki/7/
https://www.city.natori.miyagi.jp/uploaded/attachment/14229.pdf
https://www.city.natori.miyagi.jp/page/45747.html
https://www.city.natori.miyagi.jp/page/45742.html
https://www.city.natori.miyagi.jp/uploaded/attachment/11557.pdf
https://www.city.natori.miyagi.jp/page/1081.html
https://www.city.natori.miyagi.jp/page/4721.html
https://www.city.natori.miyagi.jp/page/4768.html
https://www.city.natori.miyagi.jp/page/19506.html
https://zaikei.co.jp/releases/2201262/
https://voix.jp/biz/?p=123949
https://www.city.sendai.jp/kokyo/kurashi/machi/kotsu/torikumi/documents/2natorisisetsumei.pdf</t>
        </is>
      </c>
      <c r="M11" s="22" t="inlineStr">
        <is>
          <t>交通計画のみR9終期（環境はR12終期）。次期発注は未公表で営業余地大。R4策定委託料は補正予算書に記載あり、受託者は未確認。</t>
        </is>
      </c>
    </row>
    <row r="12">
      <c r="A12" s="22" t="n">
        <v>8</v>
      </c>
      <c r="B12" s="22" t="inlineStr">
        <is>
          <t>秋田県</t>
        </is>
      </c>
      <c r="C12" s="23" t="inlineStr">
        <is>
          <t>秋田市</t>
        </is>
      </c>
      <c r="D12" s="27" t="inlineStr">
        <is>
          <t>●</t>
        </is>
      </c>
      <c r="E12" s="22" t="inlineStr">
        <is>
          <t>秋田市環境基本計画（H30〜R9）</t>
        </is>
      </c>
      <c r="F12" s="22" t="inlineStr">
        <is>
          <t>秋田市環境基本条例（H11.3制定）に基づく計画。現行計画はH30年度〜R9年度（2018〜2027年度）の10年計画で、策定後5年経過を受けR4年度に中間見直し（パブコメR4.12.16〜R5.1.16、R5.3中間見直し版公表）。主な施策（基本目標）は計画PDF本文未確認のため要確認。</t>
        </is>
      </c>
      <c r="G12" s="22" t="inlineStr">
        <is>
          <t>環境部 環境総務課（秋田市山王一丁目1-1 本庁舎3階、電話018-888-5702）。同課の所掌に環境政策の企画、地球温暖化対策、環境教育、自然環境保全、新エネルギーが含まれる（検索結果本文で確認）。係名は未確認。</t>
        </is>
      </c>
      <c r="H12" s="28" t="inlineStr">
        <is>
          <t>着手済：第45回秋田市環境審議会（令和8年3月24日）の議題に「秋田市環境基本計画の改定について」（資料1あり）があり、R8年度から改定作業が始まっていると見られる。具体的な改定スケジュール（諮問・答申時期、パブコメ時期）は検索で確認できず。現行計画がR9末で終わるため、R8〜R9の2か年で改定しR10.4に新計画を開始する見込み（推定）。改定支援業務の委託（プロポーザル・入札）の有無は環境部入札結果ページの検索要約で確認できず（R8年度当初に発注済の可能性、または市直営の可能性。いずれも未確認）。</t>
        </is>
      </c>
      <c r="I12" s="22" t="inlineStr">
        <is>
          <t>不明。現行計画（H29年度策定）、R4年度の中間見直しとも、策定支援業務の発注方式・受託者・金額は検索で確認できず。市HPには「環境部入札結果」ページ（R7年12月まで分・R8分）が存在するが、該当業務の記載は検索要約上見当たらなかった（ページ本文は未確認）。</t>
        </is>
      </c>
      <c r="J12" s="22" t="inlineStr">
        <is>
          <t>ゼロカーボンシティ宣言済（市HPに宣言ページあり、宣言日は未確認）。地球温暖化対策実行計画（区域施策編）はR4年度に見直し。秋田市新エネルギービジョン、第14次秋田市総合計画「県都『あきた』創生プラン」あり。審議会では市内地下水のPFOS・PFOA指針値超過も報告（第45回）。交通分野では第4次秋田市公共交通政策ビジョン（地域公共交通計画、R8〜R12）をR8.3策定済。</t>
        </is>
      </c>
      <c r="K12" s="22" t="inlineStr">
        <is>
          <t>・第45回環境審議会（R8.3.24）で改定議題が出ており改定作業は進行中。審議会運営支援・市民/事業者アンケート・計画書作成の外部委託の有無と、R9年度の追加業務（パブコメ対応、概要版作成等）の余地を確認する。
・ゼロカーボンシティ宣言と区域施策編（R4見直し）の目標を新環境基本計画にどう統合するか（温対計画・新エネビジョンとの一体化）を提案軸にする。
・PFOS・PFOA等の新たな環境課題を新計画の生活環境分野にどう位置付けるかを話題にする。</t>
        </is>
      </c>
      <c r="L12" s="26" t="inlineStr">
        <is>
          <t>https://www.city.akita.lg.jp/kurashi/recycle/1016631/1006116.html
https://www.city.akita.lg.jp/shisei/hoshin-keikaku/1009930/1006108.html
https://www.city.akita.lg.jp/_res/projects/default_project/_page_/001/006/108/keikaku23.pdf
https://www.city.akita.lg.jp/_res/projects/default_project/_page_/001/006/108/r2-1nenhoukoku.pdf
https://www.city.akita.lg.jp/shisei/soshiki/1002622/1007146/1002561.html
https://www.city.akita.lg.jp/jigyosha/sonota-nyusatsu-keiyaku/1012331/1049522.html
https://www.city.akita.lg.jp/jigyosha/sonota-nyusatsu-keiyaku/1012331/1045349.html
https://www.city.akita.lg.jp/kurashi/recycle/1006076/1037317.html
https://www.city.akita.lg.jp/kurashi/recycle/1006076/1006141.html</t>
        </is>
      </c>
      <c r="M12" s="22" t="inlineStr">
        <is>
          <t>調査日 2026-10-02。第45回審議会資料1（改定について、PDF 76.1KB）の中身（スケジュール・委託の記載）は未確認のため、直接閲覧を推奨。検索結果に https://www.city.akita.lg.jp/_res/projects/default_project/_page_/001/051/322/setumeisyo.pdf （説明書、内容不明）が出たが、本計画の改定支援業務と関係があるかは未確認（新しいページ番号帯のためR8年度の公募の可能性あり＝要確認、推定）。過去の受託者・金額は不明。</t>
        </is>
      </c>
    </row>
    <row r="13">
      <c r="A13" s="22" t="n">
        <v>9</v>
      </c>
      <c r="B13" s="22" t="inlineStr">
        <is>
          <t>秋田県</t>
        </is>
      </c>
      <c r="C13" s="23" t="inlineStr">
        <is>
          <t>能代市</t>
        </is>
      </c>
      <c r="D13" s="24" t="inlineStr"/>
      <c r="E13" s="22" t="inlineStr">
        <is>
          <t>第2次能代市環境基本計画（H30〜R9）</t>
        </is>
      </c>
      <c r="F13" s="22" t="inlineStr">
        <is>
          <t>能代市環境基本条例に基づく計画（第1次はH20.3策定）。第2次はH30.3策定、計画期間H30年度〜R9年度の10年間、環境像「みんなでつくり 次世代へつなぐ 環境のまち のしろ」。重点環境施策6本（自然環境への意識高揚・自然との共生、温室効果ガス排出量の抑制等）を置き、R4年度までの実績を踏まえR5.3に指標目標を中間見直し。風力・太陽光・木質バイオマス等の再エネ導入、能代港（洋上風力の拠点港湾）の活用を掲げ、再エネ導入量をR3年度76,803kWからR9年度250,000kWへ拡大する目標。</t>
        </is>
      </c>
      <c r="G13" s="22" t="inlineStr">
        <is>
          <t>環境産業部 環境衛生課 環境衛生係（電話0185-89-2173、FAX0185-89-1769）が計画の問い合わせ窓口（検索結果本文で確認）。同課に環境保全係もあり。</t>
        </is>
      </c>
      <c r="H13" s="22" t="inlineStr">
        <is>
          <t>R9年度末で計画期間終了のため、第3次計画はR8〜R9年度に策定作業が必要（推定）。次期計画の策定委託・懇談会開催・パブコメは検索で確認できず。既存の「環境のまちづくり市民懇談会」資料（1st/3rdフォルダ、後期目標検討シート等）は中間見直し時のものと見られ（推定）、第3次策定でも同懇談会を活用する可能性が高い（推定）。市の「発注予定及び結果」（R8年度分ページの存在は検索要約による）に該当業務があるかは未確認。R9当初予算で策定業務を計上する場合、R9年度前半に発注見込み（推定）。</t>
        </is>
      </c>
      <c r="I13" s="22" t="inlineStr">
        <is>
          <t>不明。第2次計画（H29年度策定）、R4年度の中間見直しとも、策定支援業務の発注方式・受託者・金額は検索で確認できず。市にはプロポーザル方式等による業者選定実施要綱あり。</t>
        </is>
      </c>
      <c r="J13" s="22" t="inlineStr">
        <is>
          <t>2025年7月1日の定例記者会見で「能代市カーボンニュートラル宣言」（2050年度CO2実質ゼロ）。秋田洋上風力発電による能代港洋上風力の運転、「エネルギーのまち 能代」の取組。市役所の地球温暖化対策実行計画（事務事業編、環境マネジメントシステム運用書）をR6.3改訂。区域施策編の有無は未確認。第3次能代山本定住自立圏共生ビジョン（R8.3）、第3期のしろ創生総合戦略（R7.3）策定済。</t>
        </is>
      </c>
      <c r="K13" s="22" t="inlineStr">
        <is>
          <t>・現行計画はR9年度末で終期。R7.7のカーボンニュートラル宣言を受け、第3次環境基本計画に区域施策編（温対法の地方公共団体実行計画）を統合・一体策定する提案が有効（区域施策編の策定状況は要確認）。
・再エネ導入目標（R9に250,000kW）の達成状況評価と洋上風力の拡大を踏まえた次期目標設定・指標設計を支援メニューとして示す。
・市民懇談会を活用した中間見直しの実績があるため、懇談会運営・市民アンケート・指標点検をパッケージにした策定支援を提案する。</t>
        </is>
      </c>
      <c r="L13" s="26" t="inlineStr">
        <is>
          <t>https://www.city.noshiro.lg.jp/sangyo/kankyo/keikaku/22091
https://www.city.noshiro.lg.jp/up/files/www/sangyo/kankyo/keikaku/keikaku_minaoshi_2nd.pdf
https://www.city.noshiro.lg.jp/up/files/www/sangyo/kankyo/keikaku/kondankai/1st/shiryo2_jokyo-kongo.pdf
https://www.city.noshiro.lg.jp/up/files/www/sangyo/kankyo/keikaku/kondankai/3rd/1-2-kentou-sheet4-2.pdf
https://www.city.noshiro.lg.jp/section/kankyo-sangyo/kankyo-eisei/
https://www.city.noshiro.lg.jp/sangyo/kankyo/ondaka/25763
https://www.city.noshiro.lg.jp/up/files/www/sangyo/kankyo/management/R5k_management.pdf
https://www.city.noshiro.lg.jp/city/nyusatsu/
https://wa.city.noshiro.lg.jp/energy/</t>
        </is>
      </c>
      <c r="M13" s="22" t="inlineStr">
        <is>
          <t>調査日 2026-10-02。計画期間H30〜R9は検索結果本文で確認。第3次計画の着手（委託・懇談会・予算）は検索8回で確認できず。過去の受託者・金額は不明。懇談会資料の開催時期は未確認（中間見直し時と推定）。市サイトへのWebFetchは未試行（久慈市でブロックされたため、今回はWebSearchのみ）。</t>
        </is>
      </c>
    </row>
    <row r="14">
      <c r="A14" s="22" t="n">
        <v>10</v>
      </c>
      <c r="B14" s="22" t="inlineStr">
        <is>
          <t>秋田県</t>
        </is>
      </c>
      <c r="C14" s="23" t="inlineStr">
        <is>
          <t>大館市</t>
        </is>
      </c>
      <c r="D14" s="24" t="inlineStr"/>
      <c r="E14" s="22" t="inlineStr">
        <is>
          <t>大館市地域公共交通計画（H30〜R9）</t>
        </is>
      </c>
      <c r="F14" s="22" t="inlineStr">
        <is>
          <t>H30.3策定の大館市地域公共交通網形成計画（H30〜R9、2018〜2027年度）を、R6年度の見直し業務を経てR7（R7.3版・R7.8改定版）に「大館市地域公共交通計画」として改定。公共交通不便地域やバス路線再編で減便・廃止が見込まれる地域でのデマンド方式等の新しい交通システム導入の検証、比内地域・田代地域のバス路線再編とコミュニティバス（ほほえみひない号、たしろたけのこ号）運行など。R7.9に大館市地域公共交通利便増進実施計画（R7〜R9）も策定し「コンパクトシティ・プラス・ネットワーク」を推進。</t>
        </is>
      </c>
      <c r="G14" s="22" t="inlineStr">
        <is>
          <t>建設部 都市計画課 交通政策係（電話0186-43-7146、koutsu@city.odate.lg.jp、〒018-5792 大館市比内町扇田字新大堤下93番地6）（検索結果本文で確認）</t>
        </is>
      </c>
      <c r="H14" s="22" t="inlineStr">
        <is>
          <t>計画終期R9（2027年度）。改定版・利便増進実施計画とも計画期間がR9まで（検索要約では改定計画の期間をR7〜R9と表記、元の計画期間H30〜R9の残期間と見られる＝推定）。次期計画の策定業務・活性化協議会での審議は検索で確認できず。R6年度の見直しが入札（5月公告・6月開札）で発注された例から、次期計画はR9当初予算化・R9年度5〜6月頃発注、またはR8〜R9の2か年発注の見込み（推定）。</t>
        </is>
      </c>
      <c r="I14" s="25" t="inlineStr">
        <is>
          <t>R6年度「大館市地域公共交通網形成計画見直し業務ほか」（案件番号06-52TI-04、公告2024/05/21、開札2024/06/06）：落札者 (株)協和コンサルタンツ、落札金額7,633,000円、予定価格9,490,000円。参加6社＝ランドブレイン(株)、(株)福山コンサルタント、(株)協和コンサルタンツ、(株)オリエンタルコンサルタンツ、八千代エンジニヤリング(株)、(株)復建技術コンサルタント（nsearch.jpの検索結果本文で確認）。発注方式は入札（指名競争入札と推定）。業務名に「ほか」とあり利便増進実施計画策定等を含む可能性（推定）。H29年度の網形成計画当初策定業務の受託者・金額は検索で確認できず。</t>
        </is>
      </c>
      <c r="J14" s="22" t="inlineStr">
        <is>
          <t>R7.10.1から比内地域のバス路線を変更（運行効率化）、比内地域コミュニティバス「ほほえみひない号」運行開始、田代地域でコミュニティバス「たしろたけのこ号」運行開始。大館市都市再興基本計画（立地適正化計画）策定済。R4年度に大館市総合計画策定支援等業務の公募型プロポーザル（R4.4.28公告）実施。環境分野は第3次大館市環境基本計画（R3〜R12、推定）。</t>
        </is>
      </c>
      <c r="K14" s="22" t="inlineStr">
        <is>
          <t>・R6見直し業務は指名6社の価格競争で協和コンサルタンツが763.3万円で落札。次期計画（R9終期）でも同規模・同方式が想定されるため、R9当初予算要求（R8秋）に向けた業務内容・積算の情報提供を早めに行う。
・利便増進実施計画（R7〜R9）とコミュニティバス導入・比内地域路線再編の効果検証を、次期計画の評価・目標設定に繋げる支援を提案する。
・立地適正化計画（都市再興基本計画）との連動（コンパクトシティ・プラス・ネットワーク）を次期計画の柱として提示する。</t>
        </is>
      </c>
      <c r="L14" s="26" t="inlineStr">
        <is>
          <t>https://www.city.odate.lg.jp/city/soshiki/koutsu/p11901
https://www.city.odate.lg.jp/uploads/public/pages_0000011901_00/R7.08%E6%94%B9%E6%AD%A3_%E5%A4%A7%E9%A4%A8%E5%B8%82%E5%9C%B0%E5%9F%9F%E5%85%AC%E5%85%B1%E4%BA%A4%E9%80%9A%E8%A8%88%E7%94%BB.pdf
https://www.city.odate.lg.jp/city/soshiki/koutsu
https://nsearch.jp/nyusatsu_ankens/664c662d6a90d97d72380dee
https://www.mlit.go.jp/sogoseisaku/transport/content/001911965.pdf
https://www.city.odate.lg.jp/city/soshiki/koutsu/p12494
https://www.city.odate.lg.jp/city/soshiki/koutsu/p11898
https://www.city.odate.lg.jp/city/soshiki/tseisaku/p11961
https://nsearch.jp/nyusatsu_ankens/627d514f1acc1a11c5649e9f</t>
        </is>
      </c>
      <c r="M14" s="22" t="inlineStr">
        <is>
          <t>調査日 2026-10-02。R6見直し業務の受託者・金額はnsearch.jp（民間の入札情報サイト）の検索結果本文によるもので、市の入札結果ページ原本では未確認。発注方式（指名競争）は推定。改定版計画の期間表記（H30〜R9かR7〜R9か）は資料により異なる可能性あり要確認。次期計画の着手は未確認。H29当初策定の受託者は不明。</t>
        </is>
      </c>
    </row>
    <row r="15">
      <c r="A15" s="22" t="n">
        <v>11</v>
      </c>
      <c r="B15" s="22" t="inlineStr">
        <is>
          <t>秋田県</t>
        </is>
      </c>
      <c r="C15" s="23" t="inlineStr">
        <is>
          <t>鹿角市</t>
        </is>
      </c>
      <c r="D15" s="24" t="inlineStr"/>
      <c r="E15" s="22" t="inlineStr">
        <is>
          <t>鹿角市地域公共交通計画（令和7年6月改訂版）</t>
        </is>
      </c>
      <c r="F15" s="22" t="inlineStr">
        <is>
          <t>鹿角市地域公共交通活性化協議会が策定した地域公共交通のマスタープラン。計画期間は令和5年度〜令和9年度（検索結果の要約で確認、本文PDFは未閲覧）。素案パブコメはR5.1.23〜R5.2.22、R5.3.6のR4年度第5回協議会を経て策定。市民・交通事業者・行政が一体となった持続可能な交通体系の構築が目的。R7.6に秋北バス一部路線廃止・八幡平地区再編（R7.10.1対応）に合わせ改訂（既存調査メモより）。前計画は鹿角市地域公共交通網形成計画（H28〜H32）。</t>
        </is>
      </c>
      <c r="G15" s="22" t="inlineStr">
        <is>
          <t>市民共動部 環境生活課（交通担当）（推定：計画ページのURLが soshiki/shiminkyodo/kankyoseikatsu 配下）。係名・電話番号は未確認。</t>
        </is>
      </c>
      <c r="H15" s="22" t="inlineStr">
        <is>
          <t>終期R9（令和9年度末）。次期計画策定の着手情報（業務公告・協議会での審議）は検索で確認できず。通例ではR8年度後半〜R9年度当初予算で策定支援業務を計上し、R9年度に1年で策定（推定）。R8年度予算書・協議会資料の確認が必要。</t>
        </is>
      </c>
      <c r="I15" s="22" t="inlineStr">
        <is>
          <t>不明。現行計画（R4年度策定作業）・前回網形成計画（H27〜H28頃策定）の策定支援業務の発注方式・受託者・金額は検索で見つからず。R4年度予算の概要ページは存在するが金額の記載は検索結果で確認できず。なお市はR5年度に別途「鹿角市総合都市交通体系調査」（都市計画道路の見直し等、国交省街路交通調査として公表）を実施しているが受託者は未確認。</t>
        </is>
      </c>
      <c r="J15" s="22" t="inlineStr">
        <is>
          <t>・R7.6改訂の契機：秋北バスの一部路線廃止・八幡平地区の路線再編（R7.10.1）（既存調査メモ、検索結果での再確認はできず）。・R5年度鹿角市総合都市交通体系調査（都市計画道路35,270m中17,992m整備・整備率51.0%、未着手路線の見直し）。・第7次鹿角市総合計画（基本構想・前期基本計画）が進行中（期間は未確認）。・環境面：第3次鹿角市環境基本計画（R3〜R12）、エネルギービジョン（R4.2）。</t>
        </is>
      </c>
      <c r="K15" s="22" t="inlineStr">
        <is>
          <t>・R5〜R9計画はR7.6に路線廃止対応で改訂済み。次期計画では秋北バス路線縮小後の八幡平地区等の代替交通（デマンド・乗合タクシー等）の効果検証と再設計が論点になる点を切り口に、R9年度策定に向けたR8年度中のデータ収集（乗降調査・住民アンケート）の前倒しを提案。
・R5年度に総合都市交通体系調査（都市計画道路見直し）を実施済みのため、都市計画（道路・立地）と公共交通計画の整合を取った次期計画づくりを提案できる。
・協議会運営（年5回程度開催実績あり）と利便増進・補助金（地域公共交通確保維持事業）申請支援を一体で受けられる体制をアピール。</t>
        </is>
      </c>
      <c r="L15" s="26" t="inlineStr">
        <is>
          <t>https://www.city.kazuno.lg.jp/soshiki/shiminkyodo/kankyoseikatsu/gyomu/2/3/10092.html
https://www.city.kazuno.lg.jp/soshiki/shiminkyodo/kankyoseikatsu/gyomu/2/3/9297.html
https://realtime-nippon.com/archives/052094230123001/
https://www.city.kazuno.akita.jp/kurashi_tetuzuki/kotsu/2/4402.html
https://www.city.kazuno.lg.jp/soshiki/zaisei/zaisei/gyomu/1/1/5/8679.html
https://www.mlit.go.jp/toshi/tosiko/content/001756017.pdf
https://www.city.kazuno.lg.jp/soshiki/seisakukikaku/sogosenryaku/gyomu/2/4/07/7563.html</t>
        </is>
      </c>
      <c r="M15" s="22" t="inlineStr">
        <is>
          <t>調査日2026-10-02。市サイト（city.kazuno.lg.jp）はWebFetchでブロックされ本文未閲覧。計画期間R5〜R9は検索結果の要約での確認（本文引用なし）。担当課は URL 構造からの推定。受託者・金額は不明。R7.6改訂の具体内容は既存データ注釈に依拠し今回再確認できず。</t>
        </is>
      </c>
    </row>
    <row r="16">
      <c r="A16" s="22" t="n">
        <v>12</v>
      </c>
      <c r="B16" s="22" t="inlineStr">
        <is>
          <t>秋田県</t>
        </is>
      </c>
      <c r="C16" s="23" t="inlineStr">
        <is>
          <t>北秋田市</t>
        </is>
      </c>
      <c r="D16" s="24" t="inlineStr"/>
      <c r="E16" s="22" t="inlineStr">
        <is>
          <t>北秋田市地域公共交通計画（令和5年度〜令和9年度）</t>
        </is>
      </c>
      <c r="F16" s="22" t="inlineStr">
        <is>
          <t>北秋田市地域公共交通網形成計画（H30〜R4）の後継として策定（市ニュースでは2024年3月29日策定と掲載、計画書の完成は2023年3月との記載もあり）。期間R5〜R9（市ニュースで確認）。市の交通政策の最上位計画（マスタープラン）として交通の将来像と公共交通の役割・取組の方向性を定め、計画に基づき交通再編を実施し利便向上・維持確保を図る。別途、利便増進実施計画あり。</t>
        </is>
      </c>
      <c r="G16" s="22" t="inlineStr">
        <is>
          <t>総合政策課（推定：検索結果の要約に総務部総合政策課の言及があるが、交通計画の所管として本文では未確認）。係名・電話番号は未確認。</t>
        </is>
      </c>
      <c r="H16" s="22" t="inlineStr">
        <is>
          <t>終期R9。次期交通計画の策定業務公告は検索で見つからず。現行計画はR4年度に応募型プロポーザルで策定支援業務を発注し1年で策定した実績があるため、次期もR9年度当初予算計上→R9年度春にプロポーザル公告→R9年度内策定の流れ（推定）。R8年度県北地域部会（秋田県地域公共交通活性化協議会）資料あり。</t>
        </is>
      </c>
      <c r="I16" s="25" t="inlineStr">
        <is>
          <t>現行計画：『北秋田市地域公共交通計画策定支援業務』を公募（応募型）プロポーザルで発注（R4年度、網形成計画がR4年度で終了するためR5年度からの計画を策定する目的）。参加資格は市資格者名簿登載・東北地区内に本社または営業所・過去5年以内の地域公共交通計画/再編実施計画の実績。仕様書PDFは検索結果に存在。受託者・契約金額・上限額は検索結果本文で確認できず＝不明。前回網形成計画（H30〜R4）の受託者も不明。（参考：同市はR7年度に『第３次北秋田市総合計画等策定支援業務』を応募型プロポーザルで発注、上限15,279,000円（税込）、履行期限R8.3.31。受託者は未確認）</t>
        </is>
      </c>
      <c r="J16" s="22" t="inlineStr">
        <is>
          <t>・環境基本計画（R3改正版）は「平成28年度から令和8年度までの10年間」とされ（検索要約）、R8＝今年度終期。次期環境基本計画の策定業務公告・審議会開催は今回の検索でも確認できず（策定が遅れている/内製の可能性、要確認）。・地球温暖化対策実行計画（区域施策編）を令和7年7月に策定（市PDF）。ゼロカーボン宣言R6.2.15（既存調査メモ）。・第3次北秋田市総合計画をR7年度に策定支援委託（R8年度始期と推定）—上位計画が新しくなったため、交通・環境計画とも新総合計画との整合が次期改定の論点。・R5〜R9交通計画に基づく交通再編を実施中。</t>
        </is>
      </c>
      <c r="K16" s="22" t="inlineStr">
        <is>
          <t>・環境基本計画がR8年度末で終期を迎えるが、次期計画の策定公告が見当たらない。R7.7策定の区域施策編と統合した『環境基本計画＋区域施策編』一体型の次期計画（R9〜）を提案する好機（スケジュールが厳しければ1年延長・中間見直しの支援も）。
・現行交通計画は応募型プロポーザル（東北に拠点・過去5年の計画実績が要件）で発注された実績。次期（R9年度策定見込み）も同方式が想定されるため、東北拠点と交通計画実績を早めに担当課に示し、R8年度中の評価・検証（再編効果、乗降データ分析）支援で関係構築。
・第3次総合計画（R7年度策定支援）との整合を軸に、交通・環境・脱炭素（公用車EV、デマンド交通）を横断した施策体系を提案。</t>
        </is>
      </c>
      <c r="L16" s="26" t="inlineStr">
        <is>
          <t>https://www.city.kitaakita.akita.jp/news/p15700
https://www.city.kitaakita.akita.jp/uploads/public/news_0000015700_00/koukyoukoutsukeikaku.pdf
https://www.city.kitaakita.akita.jp/uploads/public/archive_0000014467_00/143siyousho.pdf
https://www.city.kitaakita.akita.jp/uploads/public/news_0000009216_00/moukeikakuhonpen_.pdf
https://www.city.kitaakita.akita.jp/uploads/public/archive_0000017543_00/1.%E3%83%97%E3%83%AD%E3%83%9D%E5%AE%9F%E6%96%BD%E8%A6%81%E9%A0%98.rev.pdf
https://www.city.kitaakita.akita.jp/uploads/public/archive_0000017543_00/2.%E4%BB%95%E6%A7%98%E6%9B%B8.pdf
https://www.city.kitaakita.akita.jp/archive/p13109
https://www.city.kitaakita.akita.jp/uploads/public/news_0000019031_00/%E5%8C%97%E7%A7%8B%E7%94%B0%E5%B8%82%E5%9C%B0%E7%90%83%E6%B8%A9%E6%9A%96%E5%8C%96%E5%AF%BE%E7%AD%96%E5%AE%9F%E8%A1%8C%E8%A8%88%E7%94%BB%EF%BC%88%E5%8C%BA%E5%9F%9F%E6%96%BD%E7%AD%96%E7%B7%A8%EF%BC%89_.pdf
https://www.pref.akita.lg.jp/uploads/public/archive_0000098833_00/R8活性化協議会①/令和８年度第１回秋田県地域公共交通活性化協議会県北地域部会_会議概要.pdf</t>
        </is>
      </c>
      <c r="M16" s="22" t="inlineStr">
        <is>
          <t>調査日2026-10-02。市サイトはWebFetchブロックのため本文未閲覧（検索結果要約に依拠）。交通計画の策定日は市ニュース要約では2024.3.29、検索要約では2023年3月完成と食い違い（計画期間R5始期からR5.3策定が妥当（推定））。策定支援業務がプロポーザルであったことは仕様書の要約で確認、受託者・金額は不明。担当課（総合政策課）は推定。環境基本計画の期間はH28〜R8（要約）とH30.4始期説が混在、要確認。</t>
        </is>
      </c>
    </row>
    <row r="17">
      <c r="A17" s="22" t="n">
        <v>13</v>
      </c>
      <c r="B17" s="22" t="inlineStr">
        <is>
          <t>秋田県</t>
        </is>
      </c>
      <c r="C17" s="23" t="inlineStr">
        <is>
          <t>五城目町・八郎潟町・大潟村（南秋地域）</t>
        </is>
      </c>
      <c r="D17" s="24" t="inlineStr"/>
      <c r="E17" s="22" t="inlineStr">
        <is>
          <t>南秋地域公共交通計画（令和5年度〜令和9年度、南秋地域公共交通活性化協議会）</t>
        </is>
      </c>
      <c r="F17" s="22" t="inlineStr">
        <is>
          <t>五城目町・八郎潟町・大潟村の3町村全域を対象とする広域計画。期間R5〜R9（五城目町サイトで確認）、R5.6策定（東北運輸局資料、既存調査）。前計画は南秋地域公共交通網形成計画（H30.3策定、H30〜H34）。基本方針は3町村広域連携公共交通軸の形成・再編、地域間幹線交通の導入、地域内交通の見直し、各主要拠点の連携強化、わかりやすく安心な公共交通、3町村連携による持続可能な運営・仕組みづくり等（網形成計画からの継承を含む、検索要約）。主要施策として「南秋地域広域マイタウンバス」を運行。</t>
        </is>
      </c>
      <c r="G17" s="22" t="inlineStr">
        <is>
          <t>南秋地域公共交通活性化協議会 事務局：五城目町 まちづくり課（検索要約で確認）。係名・電話番号は未確認。八郎潟町・大潟村の担当課は未確認。</t>
        </is>
      </c>
      <c r="H17" s="22" t="inlineStr">
        <is>
          <t>終期R9。次期計画の策定業務公告・協議会での審議は検索で確認できず。前回はR4年度に作業→R5.4頃に八郎潟町でも素案の意見募集→R5.6策定の流れ（八郎潟町パブコメ記事 2023.4.20付と推定）。次期もR9年度に策定作業→R10年度当初策定の可能性（推定）。また五城目町単独計画（R4〜R8）がR8年度で終期のため、R8年度中に単独計画の扱い（延長・南秋計画への統合等）が論点になっている可能性（推定、検索では未確認）。</t>
        </is>
      </c>
      <c r="I17" s="22" t="inlineStr">
        <is>
          <t>不明。南秋地域公共交通計画（R4〜R5作業）・前回網形成計画（H29年度作業）とも、策定支援業務の発注方式・受託者・金額は検索で確認できず。協議会発注（国の計画策定事業補助活用）の可能性（推定）。</t>
        </is>
      </c>
      <c r="J17" s="22" t="inlineStr">
        <is>
          <t>・秋田県地域公共交通計画（R4〜R8）の次期計画策定：県がR8年度に『秋田県地域公共交通計画策定業務委託』をプロポーザルで発注（質問への回答 R8.4.16公開、業務委託仕様書あり。計画検討部会・地域部会の開催を含む）。受託者は未確認。R8.6.23第1回県活性化協議会で次期計画策定を議論（既存調査）。次期県計画（R9〜）と南秋計画次期版の整合が論点。・五城目町単独の五城目町地域公共交通計画（R4〜R8、R4.5策定）：次期動向は未確認。・大潟村は環境省脱炭素先行地域（既存調査）。・JR奥羽本線八郎潟駅が3町村の結節点（推定）。</t>
        </is>
      </c>
      <c r="K17" s="22" t="inlineStr">
        <is>
          <t>・県計画（R4〜R8）の次期版をR8年度に策定中。県計画の新しい地域区分・幹線ネットワーク方針を南秋計画次期版（R9終期）にどう反映するか、R8〜R9年度にかけた先行的な検討支援（県計画とのすり合わせ資料作成）を提案。
・五城目町単独計画がR8年度で終期のため、南秋計画との統合・一本化（計画の重複解消、協議会運営の効率化）を町まちづくり課（協議会事務局）に提案。
・広域マイタウンバスの利用実績評価と、大潟村の脱炭素先行地域の取組（EV・再エネ）と連携した交通施策（EVバス・デマンド）を次期計画の目玉として提示。</t>
        </is>
      </c>
      <c r="L17" s="26" t="inlineStr">
        <is>
          <t>https://www.town.gojome.akita.jp/kurashi/koukyoukoutsu/2085
https://www.town.gojome.akita.jp/up/files/town/machikeikaku/koutuukeikaku.pdf
https://www.vill.ogata.akita.jp/uploads/public/archive_0000000544_00/002_traffic_plan_overview.pdf
https://wwwtb.mlit.go.jp/tohoku/content/000305851.pdf
https://wwwtb.mlit.go.jp/tohoku/content/000181275.pdf
https://realtime-nippon.com/archives/053635230420001/
https://www.town.gojome.akita.jp/kurashi/koukyoukoutsu/2345
https://www.town.gojome.akita.jp/town/sosikiannai/machi/matiduku/1734
https://www.pref.akita.lg.jp/uploads/public/archive_0000095462_00/260416_%E8%B3%AA%E5%95%8F%E3%81%B8%E3%81%AE%E5%9B%9E%E7%AD%94.pdf
https://www.pref.akita.lg.jp/uploads/public/archive_0000095462_00/02_%E3%80%90%E8%B3%87%E6%96%99%EF%BC%92%E3%80%91_%E6%A5%AD%E5%8B%99%E5%A7%94%E8%A8%97%E4%BB%95%E6%A7%98%E6%9B%B8.pdf
https://www.pref.akita.lg.jp/uploads/public/archive_0000098833_00/R8活性化協議会①/令和８年度第１回秋田県地域公共交通活性化協議会_会議概要.pdf
https://www.env.go.jp/content/900512579.pdf</t>
        </is>
      </c>
      <c r="M17" s="22" t="inlineStr">
        <is>
          <t>調査日2026-10-02。WebFetchは試行せず（他の自治体サイトでブロック多発のため）。期間R5〜R9は既存調査で本文確認済。事務局=五城目町まちづくり課は検索要約で確認。南秋計画のR5.6策定は既存調査（東北運輸局資料）に依拠。ある検索要約では『2022年6月に計画完成』とあったが期間R5始期と矛盾するため採用せず。受託者・金額は不明。県次期計画プロポーザルの受託者・金額も未確認。</t>
        </is>
      </c>
    </row>
    <row r="18">
      <c r="A18" s="22" t="n">
        <v>14</v>
      </c>
      <c r="B18" s="22" t="inlineStr">
        <is>
          <t>山形県</t>
        </is>
      </c>
      <c r="C18" s="23" t="inlineStr">
        <is>
          <t>村山市</t>
        </is>
      </c>
      <c r="D18" s="24" t="inlineStr"/>
      <c r="E18" s="22" t="inlineStr">
        <is>
          <t>村山市環境基本計画（第２次）（平成30年度〜令和9年度）</t>
        </is>
      </c>
      <c r="F18" s="22" t="inlineStr">
        <is>
          <t>平成30年3月策定の第2次計画。期間H30〜R9（10年、既存調査で本文確認済「平成30年度〜平成39年度」）。望ましい環境像「豊かな自然環境と共生する 循環のまち 村山市」、基本目標は①安心で良好な生活環境を大切にするまちづくり②多様な自然を承継するまちづくり③地球環境保全に積極的に取り組むまちづくり④持続的に発展していくまちづくり。再エネ導入（太陽光・木質バイオマス等）促進を含む。</t>
        </is>
      </c>
      <c r="G18" s="22" t="inlineStr">
        <is>
          <t>市民環境課（電話 0237-55-2111、FAX 0237-55-6443）※市の環境基本計画ページの問い合わせ先として検索結果で確認。係名は未確認。</t>
        </is>
      </c>
      <c r="H18" s="22" t="inlineStr">
        <is>
          <t>終期R9（令和9年度末）。第3次計画の策定着手（業務公告・環境審議会での審議・市民アンケート）は検索で確認できず。R9年度中に策定するには、R9年度当初予算での策定支援業務計上→R9年度春〜初夏に発注、あるいはR8年度後半からアンケート等の先行実施（推定）。R8年度秋〜冬の予算要求期が営業のタイミング（推定）。</t>
        </is>
      </c>
      <c r="I18" s="22" t="inlineStr">
        <is>
          <t>不明。第2次計画（H29年度策定作業）の策定支援業務の発注方式・受託者・金額は検索で確認できず。市の入札結果ページ（年度別PDF、H29年度分あり）に掲載の可能性があるが、市サイトはWebFetchブロックのため未確認。参考：市は第6次村山市総合計画等策定支援業務を公募型プロポーザルで発注（受託者・金額は未確認）しており、計画策定支援はプロポーザル方式の実績あり。</t>
        </is>
      </c>
      <c r="J18" s="22" t="inlineStr">
        <is>
          <t>・第6次村山市総合計画：第5次総合計画とまち・ひと・しごと創生総合戦略がR6年度で終期を迎えるため、総合戦略を包含して策定。R7.3.6第5回策定審議会で前期基本計画（案）答申（R7年度始期と推定、計画期間は検索要約で『令和6年度から概ね10年間』とも記載あり要確認）。次期環境基本計画は新総合計画との整合が必要。・村山市立地適正化計画の作成（パブコメ実施ページあり、時期未確認）。・新「道の駅むらやま」整備（R6.3基本計画、R7.10建築設計プロポーザル審査講評）。・地球温暖化対策実行計画は事務事業編のみ確認、区域施策編・ゼロカーボンシティ宣言は確認できず（未策定の可能性、推定）。・交通：市単独の地域公共交通計画は見当たらず、山形県地域公共交通計画（R8.3.27策定の次期計画）が県全域を対象（既存調査）。</t>
        </is>
      </c>
      <c r="K18" s="22" t="inlineStr">
        <is>
          <t>・第2次環境基本計画がR9年度末で終期。区域施策編（温対法の努力義務）が未確認のため、第3次環境基本計画と区域施策編（＋ゼロカーボンシティ宣言）を一体策定する提案で、事業規模と国補助（地域脱炭素関連）活用の両面から訴求。
・第6次総合計画（R7年度〜）・立地適正化計画・新道の駅整備と整合した環境施策（再エネ導入、道の駅のEV充電・防災拠点化等）を次期計画の柱として提案。
・R9年度策定に向け、R8年度内の市民・事業者アンケートや現行計画の進捗評価を先行支援する『準備業務』を市民環境課に打診（予算要求期前の情報提供）。</t>
        </is>
      </c>
      <c r="L18" s="26" t="inlineStr">
        <is>
          <t>https://www.city.murayama.lg.jp/kurashi/shizen/kankyohozen/kankyoukihon.html
https://www.city.murayama.lg.jp/kurashi/shizen/kankyohozen/kankyoukihon.files/kankyou-2.pdf
https://www.city.murayama.lg.jp/kurashi/shizen/kankyohozen/jikkoukeikaku.html
https://www.city.murayama.lg.jp/jigyosha/nyuusatsu/nyusatu-kekka.html
https://www.city.murayama.lg.jp/shisei/keikaku_seisaku/keikaku/sougoukeikakusakutei.html
https://www.city.murayama.lg.jp/shisei/keikaku_seisaku/keikaku/sougoukeikaku.html
https://www.city.murayama.lg.jp/shisei/keikaku_seisaku/keikaku/ritteki_pabukome.html
https://www.city.murayama.lg.jp/shisei/keikaku_seisaku/sinmitinoekiseibizig/machi0120251001.files/kenntikusekkeisinnsakouhyou.pdf
https://www.pref.yamagata.jp/020057/kurashi/kendo/kotsuseisaku/ykotsu_kasseikakyougikai.html</t>
        </is>
      </c>
      <c r="M18" s="22" t="inlineStr">
        <is>
          <t>調査日2026-10-02。東京都武蔵村山市（第三次環境基本計画R8〜R17策定済）の情報が検索で大量に混入したため、city.murayama.lg.jp にドメイン限定して確認。市サイトはWebFetchブロック。受託者・金額は不明。区域施策編・ゼロカーボン宣言は『見つからない』だけで、不存在は未確定。第6次総合計画の期間は要約間で表現が揺れ（R6年度から概ね10年／R7年度以降）、要確認。</t>
        </is>
      </c>
    </row>
    <row r="19">
      <c r="A19" s="22" t="n">
        <v>15</v>
      </c>
      <c r="B19" s="22" t="inlineStr">
        <is>
          <t>山形県</t>
        </is>
      </c>
      <c r="C19" s="23" t="inlineStr">
        <is>
          <t>朝日町</t>
        </is>
      </c>
      <c r="D19" s="24" t="inlineStr"/>
      <c r="E19" s="22" t="inlineStr">
        <is>
          <t>第2次朝日町環境基本計画（H30〜R9）</t>
        </is>
      </c>
      <c r="F19" s="22" t="inlineStr">
        <is>
          <t>第2次朝日町環境基本計画はH30年度に策定され、約6年後に環境情勢の変化を踏まえて見直し版を策定（町HPで確認）。町の環境行政の総合計画であり、町民・事業者・行政の行動指針を定める。目指す環境像は「みんなで守る青い空、きれいな水と緑の町」と「ゼロカーボンシティ」（検索結果要約で確認）。計画期間H30〜R9は第6次総合発展計画（H30〜R9）と同期間とみられる（期間の本文記載は既存ファクトチェックで確認済とされる）。</t>
        </is>
      </c>
      <c r="G19" s="22" t="inlineStr">
        <is>
          <t>総務課 防災係（計画掲載ページのURLが somuka/bosaigakari 配下であることからの推定。係名・電話番号は未確認）</t>
        </is>
      </c>
      <c r="H19" s="22" t="inlineStr">
        <is>
          <t>次期（第3次）計画の着手（審議会・委託公告・アンケート）は検索で確認できず。現行計画がR9年度末で満了し、上位計画の第6次朝日町総合発展計画もH30〜R9で、R10年度から第7次総合発展計画が始まることを町HPで確認。第7次総合発展計画と第3次環境基本計画がR8〜R9に並行して策定される見込み（推定）。予算化はR9当初予算で策定業務を発注する形が想定される（推定）。</t>
        </is>
      </c>
      <c r="I19" s="22" t="inlineStr">
        <is>
          <t>不明（第2次計画H30策定時・見直し版策定時のいずれも策定支援業務の発注方式・受託者・金額は検索で見当たらず）</t>
        </is>
      </c>
      <c r="J19" s="22" t="inlineStr">
        <is>
          <t>第6次朝日町総合発展計画（H30〜R9）の見直しを実施済、第7次総合発展計画はR10開始。朝日町人口ビジョン（R7.3）、朝日町観光振興計画（R6.3）、朝日町地球温暖化対策実行計画（事務事業編）、朝日町地域循環型経済構想（みどりの食料システム戦略推進交付金活用）など関連計画あり。環境基本計画見直し版で「ゼロカーボンシティ」を環境像に掲げている。過疎地域持続的発展計画（R3〜R7）は期間満了。交通は町単独の法定計画は見当たらず、山形県地域公共交通計画（R8.3策定）が県全域をカバー。</t>
        </is>
      </c>
      <c r="K19" s="22" t="inlineStr">
        <is>
          <t>・第6次総合発展計画（H30〜R9）と環境基本計画が同時にR9で終わるため、第7次総合発展計画との一体的な策定・整合スケジュールを提案できる
・見直し版で掲げた「ゼロカーボンシティ」を受け、区域施策編（地球温暖化対策実行計画）を環境基本計画に内包する形での第3次計画策定を提案（現在確認できるのは事務事業編のみ）
・地域循環型経済構想・みどりの食料システムなど農業・資源循環の取組を環境基本計画の重点施策に取り込む切り口</t>
        </is>
      </c>
      <c r="L19" s="26" t="inlineStr">
        <is>
          <t>https://www.town.asahi.yamagata.jp/portal/soshikinogoannai/somuka/bosaigakari/3_1/3/2438.html
https://www.town.asahi.yamagata.jp/portal/soshikinogoannai/seisakusuishinka/sogoseisakukakari/3/2/1542.html
https://www.town.asahi.yamagata.jp/portal/soshikinogoannai/seisakusuishinka/sogoseisakukakari/3/2/1567.html
https://www.town.asahi.yamagata.jp/portal/soshikinogoannai/somuka/zaiseikakari/3/1/1_1/738.html
https://www.town.asahi.yamagata.jp/material/files/group/3/junkangatakoso_.pdf
https://www.town.asahi.yamagata.jp/material/files/group/3/jinkouvision.pdf</t>
        </is>
      </c>
      <c r="M19" s="22" t="inlineStr">
        <is>
          <t>調査日 2026-10-02。山形県西村山郡朝日町（富山県・三重県の朝日町とは別。検索結果に富山県朝日町の資料が多数混在するため注意）。町HPはWebFetchがブロックされ本文未確認、内容は検索結果の要約に基づく。見直し版の策定年（R5〜R6頃、推定）・担当係名・電話番号・ゼロカーボンシティ宣言の有無と日付は未確認。区域施策編の有無も未確認。</t>
        </is>
      </c>
    </row>
    <row r="20">
      <c r="A20" s="22" t="n">
        <v>16</v>
      </c>
      <c r="B20" s="22" t="inlineStr">
        <is>
          <t>福島県</t>
        </is>
      </c>
      <c r="C20" s="23" t="inlineStr">
        <is>
          <t>いわき市</t>
        </is>
      </c>
      <c r="D20" s="24" t="inlineStr"/>
      <c r="E20" s="22" t="inlineStr">
        <is>
          <t>いわき市地域公共交通計画（R5〜R9）</t>
        </is>
      </c>
      <c r="F20" s="22" t="inlineStr">
        <is>
          <t>いわき市地域公共交通計画はR5.3策定、計画期間は概ね5年間（R5.3〜R10.3、既存ファクトチェックで確認済）。第二次いわき都市圏都市交通マスタープラン（R4.8策定）を上位に、いわき都市圏総合交通戦略と同時にR5.3策定。R7.1.20の第15回いわき都市圏総合都市交通推進協議会で計画の一部改定と、いわき市地域公共交通利便増進実施計画の決定（意見聴取）を承認。</t>
        </is>
      </c>
      <c r="G20" s="22" t="inlineStr">
        <is>
          <t>いわき市 都市建設部 都市計画課 総合交通対策担当（電話0246-22-1120、sogokotsutaisaku@city.iwaki.lg.jp ※R5利便増進実施計画プロポーザル実施要領の記載）。法定協議会は「いわき都市圏総合都市交通推進協議会」（事務局：同課）。</t>
        </is>
      </c>
      <c r="H20" s="22" t="inlineStr">
        <is>
          <t>次期計画（R10〜）の策定業務公告・協議会審議は検索で確認できず。R5年度の利便増進実施計画策定業務が協議会発注の公募型プロポーザル（上限950万円）だったことから、次期計画も協議会による公募型プロポーザルでR9年度当初に発注される可能性が高い（推定）。R8当初予算概要では、鉄道・バスの改善による公共交通ネットワーク構築、小川地区の定額タクシー、泉・勿来・川部・山田・渡辺等での地域協議を推進と記載（R8当初予算概要で確認）。並行して市は市制60周年（R8.10）を目途に「未来ビジョン」を策定予定、（仮称）中期戦略策定支援業務（履行期限R9.3.19、次期いわき創生総合戦略を兼ねる）をプロポーザルで発注済。</t>
        </is>
      </c>
      <c r="I20" s="25" t="inlineStr">
        <is>
          <t>現行計画（R5.3策定）の策定支援業務の発注方式・受託者・金額は不明（検索で見当たらず）。参考：「いわき市地域公共交通利便増進実施計画策定等業務委託」はR5年度にいわき都市圏総合都市交通推進協議会が公募型プロポーザルで発注（委託期間：契約締結日〜R6.3.15、委託料上限額9,500,000円税込、R5.7.24〜8.1書面開催の第9回協議会で発注方法を協議）。同業務の受託者名は検索結果本文で確認できず。</t>
        </is>
      </c>
      <c r="J20" s="22" t="inlineStr">
        <is>
          <t>R7.1に計画一部改定・利便増進実施計画を決定。R8年度は小川地区で定額タクシー実施、泉・勿来・川部・山田・渡辺地区で公共交通確保に向けた地域協議を実施（R8当初予算概要）。いわき都市圏総合交通戦略（R5.3）、第二次都市交通マスタープラン（R4.8）、いわき市道路事業基本方針（R8.1策定、R7〜概ね10年）。市制60周年「未来ビジョン」（R8.10目途）・（仮称）中期戦略策定中。環境基本計画（第三次）中間改定版R8〜R12。</t>
        </is>
      </c>
      <c r="K20" s="22" t="inlineStr">
        <is>
          <t>・現行計画はR10.3で満了。R8〜R9の未来ビジョン・（仮称）中期戦略策定と並行して、次期地域公共交通計画の評価・検討スケジュールを前倒しで組む提案
・小川地区の定額タクシーや泉・勿来・川部・山田・渡辺地区での地域協議の成果を、次期計画の地区別交通サービス体系として整理する支援
・R5年度の利便増進実施計画（協議会発注・プロポーザル）の実績を踏まえ、R7.1改定版・利便増進実施計画の評価（PDCA）から次期計画策定まで一貫支援を提案</t>
        </is>
      </c>
      <c r="L20" s="26" t="inlineStr">
        <is>
          <t>https://www.city.iwaki.lg.jp/www/contents/1679296597893/simple/koukyoukoutuukeikaku1.pdf
https://www.city.iwaki.lg.jp/www/contents/1679296597893/simple/gaiyouban.pdf
https://www.city.iwaki.lg.jp/www/contents/1598523029378/index.html
https://www.city.iwaki.lg.jp/www/contents/1686018110515/simple/jissiyouryou.pdf
https://www.city.iwaki.lg.jp/www/contents/1598523029378/simple/kyougikekka.pdf
https://www.city.iwaki.lg.jp/www/contents/1678667969380/index.html
https://www.city.iwaki.lg.jp/www/contents/1761108064077/simple/r8tousyoyosannogaiyou.pdf
https://www.city.iwaki.lg.jp/www/contents/1772534494910/files/youryou.pdf
https://www.city.iwaki.lg.jp/www/contents/1765350887689/simple/file02.pdf</t>
        </is>
      </c>
      <c r="M20" s="22" t="inlineStr">
        <is>
          <t>調査日 2026-10-02。WebFetchは使用せず、検索結果の要約に基づく。現行計画策定業務（R4年度頃）の発注方式・受託者・金額、利便増進実施計画業務の受託者・契約額は未確認（協議会ページ・kyougikekka.pdfの本文確認が必要）。R8年度の協議会開催状況・次期計画策定予算の有無は未確認。担当電話番号はR5時点の資料記載で、現行の組織名は要確認。</t>
        </is>
      </c>
    </row>
    <row r="21">
      <c r="A21" s="22" t="n">
        <v>17</v>
      </c>
      <c r="B21" s="22" t="inlineStr">
        <is>
          <t>福島県</t>
        </is>
      </c>
      <c r="C21" s="23" t="inlineStr">
        <is>
          <t>鮫川村</t>
        </is>
      </c>
      <c r="D21" s="24" t="inlineStr"/>
      <c r="E21" s="22" t="inlineStr">
        <is>
          <t>鮫川村地域公共交通計画（R5〜R9）</t>
        </is>
      </c>
      <c r="F21" s="22" t="inlineStr">
        <is>
          <t>鮫川村地域公共交通計画（R5〜R9）はR5.2.21の鮫川村地域公共交通協議会で策定（村HPで確認）。村営バス「あおぞら号」の維持とデマンド交通の導入を位置付け。デマンド交通はR5.11.14〜R6.3.31に実証運行を始め、R6.4〜R6.8に実証継続、R6.9.1〜R7.2.28は共創モデル（国の共創モデル実証事業と推定）で実証継続、R7.10から本格運行（村HP検索結果で確認）。</t>
        </is>
      </c>
      <c r="G21" s="22" t="inlineStr">
        <is>
          <t>鮫川村役場 村づくり推進室（デマンド交通の所管として検索結果に記載。協議会の進行も「室長」）。電話番号・係名は未確認。</t>
        </is>
      </c>
      <c r="H21" s="22" t="inlineStr">
        <is>
          <t>次期計画（R10〜）に関する協議会審議・策定業務の公告は検索で確認できず。協議会は年数回開催（例：R6年度第3回 R6.9.26）、R7年度会議録が村HPに掲載。R7.10のデマンド本格運行後の評価をR8年度に行い、R9年度に次期計画を策定する流れが見込まれる（推定）。小規模村のため、策定支援業務は随意契約または指名競争の小規模発注になる可能性（推定）。</t>
        </is>
      </c>
      <c r="I21" s="22" t="inlineStr">
        <is>
          <t>不明（現行計画R5.2策定時の策定支援業務の発注方式・受託者・金額は検索で見当たらず）。デマンド交通の運行事業者も未確認。</t>
        </is>
      </c>
      <c r="J21" s="22" t="inlineStr">
        <is>
          <t>デマンド交通がR7.10に本格運行開始。村営バス「あおぞら号」は利用者減少・燃料費/物価高騰で厳しい運営状況との広報記載あり（R7広報）。R7.11.2に鮫川村オーガニックビレッジ宣言。地域再生計画「『道』から未来を切り拓く里山イノベーション計画」（県・村）、まち・ひと・しごと創生推進計画あり。地域おこし協力隊募集。環境基本計画は確認できず。</t>
        </is>
      </c>
      <c r="K21" s="22" t="inlineStr">
        <is>
          <t>・R7.10に本格運行を始めたデマンド交通と村営バス「あおぞら号」の利用データ分析・評価を、次期計画（R10〜）の策定とあわせて受託する提案
・共創モデルの実証で得た知見（地域事業者との連携）を次期計画の施策として制度化し、運行経費の抑制につなげる切り口
・オーガニックビレッジ宣言や里山イノベーション計画（道の駅等の拠点）と連動した交通結節点の整理・観光二次交通の検討</t>
        </is>
      </c>
      <c r="L21" s="26" t="inlineStr">
        <is>
          <t>https://www.vill.samegawa.fukushima.jp/sp/page/page002592.html
https://www.vill.samegawa.fukushima.jp/sp/page/page002750.html
https://www.vill.samegawa.fukushima.jp/data/doc/1743056530_doc_25_0.pdf
https://www.vill.samegawa.fukushima.jp/page/page000050.html
https://www.vill.samegawa.fukushima.jp/data/doc/1747375946_doc_1_0.pdf
https://www.pref.fukushima.lg.jp/site/sdgs-pf/sdgs00240.html
https://www.chisou.go.jp/tiiki/tiikisaisei/dai70nintei/plan/a0090.pdf</t>
        </is>
      </c>
      <c r="M21" s="22" t="inlineStr">
        <is>
          <t>調査日 2026-10-02。WebFetchは使用せず、検索結果の要約に基づく。山形県の鮭川村（さけがわむら）と検索結果が混在するので注意。計画期間R5〜R9は村HP要約で確認。所管課名（村づくり推進室）は検索要約によるもので要確認。東北運輸局の計画作成・取組事例集に掲載との要約があったが、該当資料は特定できず。オーガニックビレッジ宣言日（R7.11.2）は県SDGsページの要約による。</t>
        </is>
      </c>
    </row>
    <row r="22">
      <c r="A22" s="22" t="n">
        <v>18</v>
      </c>
      <c r="B22" s="22" t="inlineStr">
        <is>
          <t>福島県</t>
        </is>
      </c>
      <c r="C22" s="23" t="inlineStr">
        <is>
          <t>福島県（避難地域広域公共交通計画／避難12市町村）</t>
        </is>
      </c>
      <c r="D22" s="24" t="inlineStr"/>
      <c r="E22" s="22" t="inlineStr">
        <is>
          <t>福島県避難地域広域公共交通計画（R5.4〜R10.3）</t>
        </is>
      </c>
      <c r="F22" s="22" t="inlineStr">
        <is>
          <t>避難地域12市町村（田村市・南相馬市・川俣町・広野町・楢葉町・富岡町・川内村・浪江町・葛尾村・飯舘村・大熊町・双葉町）で住民の日常生活に必要な広域公共交通ネットワークを構築するための県計画。前身は福島県避難地域広域公共交通網形成計画（H30.3.28策定）。現行計画はR5.3策定、R5.5・R6.5・R7.3・R8.3に一部改定（直近はR8.3.27改定、計画書表紙で確認）。計画期間R5.4〜R10.3。</t>
        </is>
      </c>
      <c r="G22" s="22" t="inlineStr">
        <is>
          <t>福島県 生活環境部 生活交通課（公共交通担当 電話024-521-7177、交通安全担当 024-521-7158、FAX 024-521-7887、〒960-8670 福島市杉妻町2-16 ※検索結果の要約による）。協議会は「福島県避難地域広域公共交通検討協議会」（ワーキンググループあり）。</t>
        </is>
      </c>
      <c r="H22" s="22" t="inlineStr">
        <is>
          <t>県協議会資料で、R8年度に最終評価（及び次期計画の方向性の決定）、R9年度に次期計画（R10.4〜）を策定と明記（確認済）。R8.6.25の福島県地域公共交通活性化協議会で、避難地域広域公共交通検討協議会の今年度スケジュールを報告事項として予定。R8年度はWG会議を重ねて最終評価を進める段階。次期計画策定支援業務はR9年度当初に公募型プロポーザル等で発注される見込み（推定。R9当初予算要求はR8秋〜冬に行われる見込み、推定）。</t>
        </is>
      </c>
      <c r="I22" s="22" t="inlineStr">
        <is>
          <t>不明（現行計画R5.3策定時、前身の網形成計画H30.3策定時のいずれも、策定支援業務の発注方式・受託者・金額は検索で見当たらず）。参考：生活交通課ページに「福島県地域公共交通計画調査策定業務に係る公募型プロポーザル」の実施記録あり（県全域計画R6.3策定に係るものと推定。受託者・金額は未確認）。</t>
        </is>
      </c>
      <c r="J22" s="22" t="inlineStr">
        <is>
          <t>避難12市町村の計画は毎年度のように一部改定されており、評価指標（利用者数・収支等）のモニタリングを毎年度実施。県全域の福島県地域公共交通計画（R6.3策定、R6.3.19に利便増進実施計画関連の一部改定）、会津圏域地域公共交通計画、県北圏域の路線バス改善（系統統合・乗合タクシー導入）など圏域別の計画あり。福島県市町村生活交通対策事業補助金。広野町環境基本計画（R7〜R17）策定済。</t>
        </is>
      </c>
      <c r="K22" s="22" t="inlineStr">
        <is>
          <t>・R8年度の最終評価〜R9年度の次期計画策定が県資料で明示されており、R9発注の策定支援業務に向けて、最終評価の論点（帰還・移住人口の動向と需要推計、広域路線と町村内交通の役割分担）を整理した提案を早めに示す
・毎年度の一部改定・評価指標モニタリングを踏まえ、データに基づくPDCA（利用実績・収支・乗継データの一元化）を次期計画の柱とする提案
・12市町村ごとのデマンド交通・自家用有償・スクールバス等の多様な輸送資源を広域計画にどう位置付けるか、県全域計画・圏域計画との整合の切り口</t>
        </is>
      </c>
      <c r="L22" s="26" t="inlineStr">
        <is>
          <t>https://www.pref.fukushima.lg.jp/sec/16005d/hinan-koutsuu-keikaku.html
https://www.pref.fukushima.lg.jp/uploaded/attachment/738677.pdf
https://www.pref.fukushima.lg.jp/uploaded/attachment/756354.pdf
https://www.pref.fukushima.lg.jp/uploaded/attachment/756357.pdf
https://www.pref.fukushima.lg.jp/uploaded/attachment/756344.pdf
https://www.pref.fukushima.lg.jp/sec/16005d/hinan-koutsuu-kyougikai.html
https://www.pref.fukushima.lg.jp/sec/16005d/hinankeikaku.html
https://www.pref.fukushima.lg.jp/sec/16005d/
https://www.pref.fukushima.lg.jp/sec/16005d/chiikikoukyoukasseikakyougikai.html
https://www.pref.fukushima.lg.jp/uploaded/attachment/622613.pdf</t>
        </is>
      </c>
      <c r="M22" s="22" t="inlineStr">
        <is>
          <t>調査日 2026-10-02。WebFetchは使用せず、検索結果の要約に基づく。R8年度最終評価・R9年度次期計画策定は協議会資料（756354.pdf等）の要約で確認。次期計画策定支援業務の公告・予算額は未確認。過去の策定支援業務（H29・R4頃）の受託者・金額は未確認（県の入札・契約情報や議会資料での確認が必要）。電話番号は生活交通課ページ要約によるもので、担当名は要確認。</t>
        </is>
      </c>
    </row>
    <row r="23">
      <c r="A23" s="22" t="n">
        <v>19</v>
      </c>
      <c r="B23" s="22" t="inlineStr">
        <is>
          <t>茨城県</t>
        </is>
      </c>
      <c r="C23" s="23" t="inlineStr">
        <is>
          <t>常陸大宮市</t>
        </is>
      </c>
      <c r="D23" s="24" t="inlineStr"/>
      <c r="E23" s="22" t="inlineStr">
        <is>
          <t>常陸大宮市地域公共交通計画（R5〜R9）／第2次常陸大宮市環境基本計画 後期計画（R5〜R9）</t>
        </is>
      </c>
      <c r="F23" s="22" t="inlineStr">
        <is>
          <t>【交通】常陸大宮市地域公共交通計画（R5.2策定、R5〜R9の5年間、前身は網形成計画H30.3策定・R4終了）。基本理念「住みたいまちを支える、持続可能で便利な地域公共交通」。JR水郡線・高速バス・広域路線バスは事業者へ利用促進を働きかけ、路線バス利用困難区域の移動手段として乗合タクシーを位置づけ、バス停のベンチ・上屋設置等の待合環境改善を検討。【環境】第2次環境基本計画（H30〜R9の10年）の後期計画（R5〜R9）。中間見直しに合わせ地球温暖化対策実行計画（区域施策編、2050年ゼロカーボンシティ実現に向けて）と地域気候変動適応計画を包含し一体化。→交通・環境とも同時にR9終期。</t>
        </is>
      </c>
      <c r="G23" s="22" t="inlineStr">
        <is>
          <t>【交通】地域創生課 地域創生グループ（本庁1階、〒319-2292 常陸大宮市中富町3135-6、電話0295-52-1111（代表））。協議体：常陸大宮市地域公共交通会議。【環境】担当課は検索で確認できず（環境審議会あり、要確認）。</t>
        </is>
      </c>
      <c r="H23" s="22" t="inlineStr">
        <is>
          <t>交通・環境とも次期計画（策定支援委託・アンケート・プロポ）の情報は検索で見つからず（R8.10時点）。前回の交通計画はR4年度単年度で公募型プロポーザル→R5.2策定のパターン。同様ならR9年度当初予算に次期交通計画策定支援委託を計上（R8秋〜冬に予算要求）、R9春〜夏にプロポ公告の見込み（推定）。環境（第3次環境基本計画、R10〜）も同時期に策定業務が発生、温対実行計画（区域施策編）・適応計画の一体改定となる見込み（推定）。総合計画の改定時期との連動も要確認。</t>
        </is>
      </c>
      <c r="I23" s="25" t="inlineStr">
        <is>
          <t>【交通・前回】「常陸大宮市地域公共交通計画策定支援業務」を公募型プロポーザルで発注（R4年度、履行期間：契約締結日〜R5.3.31、提案上限額8,459,000円（税込））（市サイト page007375 の検索要約より）。受託者・契約金額は検索で確認できず（候補者選定結果の公表ページ見当たらず）→計画書巻末（1685520960_doc_100_0.pdf）またはプロポーザル情報ページで要確認。【参考】網形成計画（H29年度）・観光振興基本計画も公募型プロポで発注実績あり（観光は実施要領のみ確認）。AIデマンド交通システム導入業務委託も候補者選定委員会方式（page008456、結果内容は未確認）。【環境・後期計画】策定支援業者は不明（未調査に近い、検索で見つからず）。</t>
        </is>
      </c>
      <c r="J23" s="22" t="inlineStr">
        <is>
          <t>・R5.12.1から予約制乗合タクシー「のるーと常陸大宮」にAIデマンド交通システムを導入（市内全域、ドアtoドア、運行は常陸大宮市社会福祉協議会）。R7.6予約方法変更、R7.7からLINE予約対応。・公共ライドシェア「ノッカル常陸大宮」の実証運行を開始（時期は要確認）。・JR水郡線沿線（存続・利用促進が論点）。・常陸大宮駅周辺整備事業・駅西交流拠点整備（実施設計R7.3完了）で交通結節点整備進行中。・ゼロカーボンシティ宣言済（宣言年は資料表記が「2022（令和2）年7月」と不整合、要確認）。・公共交通ガイドブック発行。</t>
        </is>
      </c>
      <c r="K23" s="22" t="inlineStr">
        <is>
          <t>・交通計画と環境基本計画が同じR9終期→次期策定（R9年度発注見込み、推定）に向け、交通の脱炭素（EV乗合タクシー等）を両計画で整合させる一体的な支援を提案。予算要求前のR8秋〜冬に地域創生課・環境担当課を訪問
・のるーと常陸大宮（AIデマンド）とノッカル常陸大宮（公共ライドシェア）の実績データ評価・役割分担整理、水郡線・駅周辺整備との結節を次期計画の論点として提示
・前回は公募型プロポ・上限約846万円の単年度策定→同規模・同方式を想定した提案準備（受託者は要確認、競合把握のため計画書巻末を確認）</t>
        </is>
      </c>
      <c r="L23" s="26" t="inlineStr">
        <is>
          <t>https://www.city.hitachiomiya.lg.jp/kurashi_gyousei/gyousei/plan/r0/page003126.html
https://www.city.hitachiomiya.lg.jp/page/page007375.html
https://www.city.hitachiomiya.lg.jp/kurashi_gyousei/business/nyusatsu/proposal_info/
https://www.city.hitachiomiya.lg.jp/kurashi_gyousei/business/nyusatsu/proposal_info/page008456.html
https://www.city.hitachiomiya.lg.jp/data/doc/1685520960_doc_100_0.pdf
https://www.city.hitachiomiya.lg.jp/data/doc/1685520956_doc_100_0.pdf
https://www.city.hitachiomiya.lg.jp/kurashi_gyousei/kurashi/koutsu/page004566.html
https://www.city.hitachiomiya.lg.jp/kurashi_gyousei/kurashi/koutsu/page009105.html
https://www.city.hitachiomiya.lg.jp/kurashi_gyousei/kurashi/koutsu/noruto7/page011007.html
https://www.city.hitachiomiya.lg.jp/kurashi_gyousei/kurashi/koutsu/ridesharing/page011193.html
https://www.city.hitachiomiya.lg.jp/data/doc/1703489828_doc_27_0.pdf
https://www.city.hitachiomiya.lg.jp/data/doc/1673312876_doc_1_0.pdf
https://www.city.hitachiomiya.lg.jp/kurashi_gyousei/business/nyusatsu/kekka/
https://www.city.hitachiomiya.lg.jp/kakoiba/progress/kouryu/jissesekkei/page010868.html</t>
        </is>
      </c>
      <c r="M23" s="22" t="inlineStr">
        <is>
          <t>交通・環境ともR9終期で両方狙える最有望先。次期発注情報は未公表。前回交通は公募型プロポ（R4、上限8,459,000円）、受託者未確認。</t>
        </is>
      </c>
    </row>
    <row r="24">
      <c r="A24" s="22" t="n">
        <v>20</v>
      </c>
      <c r="B24" s="22" t="inlineStr">
        <is>
          <t>茨城県</t>
        </is>
      </c>
      <c r="C24" s="23" t="inlineStr">
        <is>
          <t>阿見町</t>
        </is>
      </c>
      <c r="D24" s="24" t="inlineStr"/>
      <c r="E24" s="22" t="inlineStr">
        <is>
          <t>阿見町地域公共交通計画（R5〜R9）</t>
        </is>
      </c>
      <c r="F24" s="22" t="inlineStr">
        <is>
          <t>阿見町地域公共交通計画：令和5年2月、阿見町地域公共交通活性化協議会が策定（R5〜R9年度）。章構成は背景・目的／地域の現況／関連計画／課題／基本方針／目標・施策。デマンドタクシー「あみまるくん」の運行・利便性向上と路線バスの確保維持が中心施策（施策詳細は計画本文で要確認）。前身はH21〜H22の地域公共交通総合連携計画策定調査事業。※環境基本計画（第2次、R3〜R12）はR9終了ではないため対象外。</t>
        </is>
      </c>
      <c r="G24" s="22" t="inlineStr">
        <is>
          <t>産業建設部 都市計画課（阿見町地域公共交通活性化協議会事務局）TEL 029-888-1111（内線234）（検索要約で確認、内線は要確認）</t>
        </is>
      </c>
      <c r="H24" s="22" t="inlineStr">
        <is>
          <t>現計画はR9年度末で終了→次期計画はR8〜R9年度で策定作業が必要。前回は協議会がR3〜R4の2か年事業として策定しており、同様ならR8年度着手・R9年度末策定が想定されるが、令和8年6月1日のR8第1回協議会ではアンケート調査結果報告とR9確保維持事業計画の審議が確認できるのみで、次期計画策定業務の発注は未確認（要確認）。前回同様に協議会予算で委託する場合、R8年度協議会予算または補正・R9年度当初予算での計上が見込まれる（推定）。</t>
        </is>
      </c>
      <c r="I24" s="25" t="inlineStr">
        <is>
          <t>現行計画（R5.2策定）：協議会がR3〜R4年度の2か年で「阿見町地域公共交通計画策定事業」を実施。R4年度協議会予算で計画策定委託料 6,600,000円（検索要約で確認、kyougisiryo.pdf／SHIDAI.pdf系資料、要確認）。発注方式・受託者は不明。試行：「プロポーザル」「受託者」「入札結果」「落札」「委託契約 締結」「協議会予算」等で計12件検索したが受託者名は出ず。計画本文PDF巻末・協議会資料の直接取得はアクセス不可（403）。※R5年度に茨城大学への委託研究の報告あり（計画策定とは別件）。</t>
        </is>
      </c>
      <c r="J24" s="22" t="inlineStr">
        <is>
          <t>デマンドタクシー「あみまるくん」の利用者満足度アンケート実施（R5年度）、R7年度に効率化に向けた実証実験の記述あり（要確認）。茨城大学への委託研究（R5年度報告）。ゼロカーボンシティ宣言（令和4年6月1日、町民生活部生活環境課）。第2次環境基本計画（R3〜R12）は第6次阿見町総合計画の環境施策を担う位置づけ。R8.6.1協議会で公共交通に関するアンケート調査結果を報告＝次期計画の基礎調査の可能性（推定）。</t>
        </is>
      </c>
      <c r="K24" s="22" t="inlineStr">
        <is>
          <t>・現計画R9年度末終了。前回はR3〜R4の2か年・R4委託料660万円規模で策定しており、次期計画も2か年で進める場合はR8年度中の発注準備が必要——スケジュール・予算化状況を都市計画課に確認
・R8.6の協議会で報告したアンケート結果やR7実証実験の成果を次期計画の評価・目標設定にどう繋ぐか（あみまるくん効率化、路線バス維持）を切り口に提案
・ゼロカーボンシティ宣言（R4.6）と交通計画の連携（公共交通利用転換・EV等）を、環境部局との横断テーマとして提示</t>
        </is>
      </c>
      <c r="L24" s="26" t="inlineStr">
        <is>
          <t>https://www.town.ami.lg.jp/cmsfiles/contents/0000009/9640/keikaku.pdf
https://www.town.ami.lg.jp/cmsfiles/contents/0000009/9640/gaiyo.pdf
https://www.town.ami.lg.jp/cmsfiles/contents/0000009/9640/kyougisiryo.pdf
https://www.town.ami.lg.jp/cmsfiles/contents/0000009/9640/SHIDAI.pdf
https://www.town.ami.lg.jp/cmsfiles/contents/0000009/9640/R8_dai1kai_kaigiroku.pdf
https://www.town.ami.lg.jp/cmsfiles/contents/0000009/9640/R8_dai1kaikyougikai_siryo.pdf
https://www.town.ami.lg.jp/cmsfiles/contents/0000009/9640/gijiroku.pdf
https://www.town.ami.lg.jp/cmsfiles/contents/0000009/9640/R6.2giji.pdf
https://www.town.ami.lg.jp/cmsfiles/contents/0000009/9640/R7-3kaigiroku.pdf
https://www.town.ami.lg.jp/cmsfiles/contents/0000010/10293/10_0601.pdf
https://www.town.ami.lg.jp/cmsfiles/contents/0000012/12659/1syou.pdf</t>
        </is>
      </c>
      <c r="M24" s="22" t="inlineStr">
        <is>
          <t>WebSearch12回使用。町サイトへの直接取得は403でブロック。受託者は計画書巻末か協議会R3年度資料で確認できる可能性大。</t>
        </is>
      </c>
    </row>
    <row r="25">
      <c r="A25" s="22" t="n">
        <v>21</v>
      </c>
      <c r="B25" s="22" t="inlineStr">
        <is>
          <t>茨城県</t>
        </is>
      </c>
      <c r="C25" s="23" t="inlineStr">
        <is>
          <t>五霞町</t>
        </is>
      </c>
      <c r="D25" s="24" t="inlineStr"/>
      <c r="E25" s="22" t="inlineStr">
        <is>
          <t>五霞町地域公共交通計画（R5.3策定・R6.5変更、R5〜R9と推定）</t>
        </is>
      </c>
      <c r="F25" s="22" t="inlineStr">
        <is>
          <t>五霞町地域公共交通計画：令和5年3月、五霞町地域公共交通会議が策定、令和6年5月変更。計画期間は目次に「1.3 地域公共交通計画の期間」があるが年数は検索結果で未確認（R5〜R9の5年間と推定・要確認）。高齢化を踏まえ町の実情に合った利便性が高く持続可能な公共交通網の形成が目的。運行体系は①ごかりん号（朝晩定時運行）②ごかりん号（日中オンデマンド運行、アプリ・電話予約）③五霞町役場前〜幸手駅線（代替バス）の3系統。※環境基本計画（改定版、R5〜R14）はR9終了ではないため対象外。</t>
        </is>
      </c>
      <c r="G25" s="22" t="inlineStr">
        <is>
          <t>生活安全課（ごかりん号・公共交通の窓口、検索要約で確認）。電話番号は未確認（町代表は0280-84-1111と推定・要確認）</t>
        </is>
      </c>
      <c r="H25" s="22" t="inlineStr">
        <is>
          <t>現計画がR9年度末終了なら、次期計画はR8〜R9年度に策定作業が必要（推定）。次期計画策定業務の公告・予算計上・公共交通会議での策定議題はいずれも検索で確認できず（未着手または非公開の可能性）。R9年度単年での策定ならR9当初予算要求（R8秋〜冬）が判断時期（推定）。</t>
        </is>
      </c>
      <c r="I25" s="22" t="inlineStr">
        <is>
          <t>不明。現行計画（R5.3策定、R4年度作業と推定）の策定支援業務の発注方式・受託者・金額は検索で確認できず。前々計画はH27.3「五霞町地域公共交通網形成計画」（H26年度）、R4.6「地域内フィーダー系統確保維持改善計画」。試行：「策定支援業務 委託」「入札結果 指名競争入札」「当初予算 委託料」「議会会議録 委託 コンサル」「網形成計画 株式会社」「生活安全課 業務委託 契約」等13件検索。町サイトはWebFetch/curlとも遮断され計画書巻末の確認不可。</t>
        </is>
      </c>
      <c r="J25" s="22" t="inlineStr">
        <is>
          <t>コミュニティ交通「ごかりん号」：H25に五霞町コミュニティ交通運営協議会設立、H25.10試行運行、H28.10本格運行。日中はオンデマンド運行化。幸手駅（埼玉県）への代替バスを運行＝町内に鉄道駅なく近隣駅アクセスが課題（推定）。隣接の境町は自動運転バスを定常運行（2020.11〜）しており比較材料。環境基本計画はH25.3改定版を脱炭素対応で再改定（R5〜R14）。ゼロカーボンシティ宣言の有無は未確認。</t>
        </is>
      </c>
      <c r="K25" s="22" t="inlineStr">
        <is>
          <t>・計画期間（R9終了見込み）と次期改定の進め方・予算化時期を生活安全課に確認。小規模町のため、指名競争入札か随意契約か等、前回の発注形態のヒアリングも兼ねる
・ごかりん号の定時＋オンデマンド併用・幸手駅線代替バスの評価（利用実績・収支）を次期計画のKPI再設計に繋ぐ提案
・隣接境町の自動運転バスや広域（埼玉県側幸手市等）との連携を次期計画の論点として提示（推定ベース）</t>
        </is>
      </c>
      <c r="L25" s="26" t="inlineStr">
        <is>
          <t>https://www.town.goka.lg.jp/data/doc/1690350530_doc_20_0.pdf
https://www.town.goka.lg.jp/data/doc/1737593680_doc_20_0.pdf
https://www.town.goka.lg.jp/data/doc/1427330083_doc_19_0.pdf
https://www.town.goka.lg.jp/data/doc/1487835202_doc_37_8.pdf
https://www.town.goka.lg.jp/data/doc/1751266878_doc_37_0.pdf
https://www.town.goka.lg.jp/data/doc/1684388643_doc_20_0.pdf
https://trafficnews.jp/post/111210</t>
        </is>
      </c>
      <c r="M25" s="22" t="inlineStr">
        <is>
          <t>WebSearch13回、WebFetch1回（EGRESS_BLOCKED）。茨城県猿島郡五霞町。</t>
        </is>
      </c>
    </row>
    <row r="26">
      <c r="A26" s="22" t="n">
        <v>22</v>
      </c>
      <c r="B26" s="22" t="inlineStr">
        <is>
          <t>栃木県</t>
        </is>
      </c>
      <c r="C26" s="23" t="inlineStr">
        <is>
          <t>栃木市</t>
        </is>
      </c>
      <c r="D26" s="27" t="inlineStr">
        <is>
          <t>●</t>
        </is>
      </c>
      <c r="E26" s="22" t="inlineStr">
        <is>
          <t>栃木市地域公共交通計画（H30.10策定の網形成計画をR6.6改訂、〜R9年度末）</t>
        </is>
      </c>
      <c r="F26" s="22" t="inlineStr">
        <is>
          <t>栃木市地域公共交通計画：H30.10「栃木市地域公共交通網形成計画」（H30〜R9の10年計画）として策定、法改正を受けR6.6に地域公共交通計画へ改訂（期間はR6.7〜R9年度末）。JR両毛線・東武日光線/宇都宮線を軸に路線バス、コミュニティバス「ふれあいバス」、デマンド交通「蔵タク」、タクシー、福祉有償運送で公共交通網を構成。ふれあいバス・蔵タクの詳細は別途「栃木市地域公共交通運行実施計画」で定める。デマンド交通の目標は収支率20.0%・利用者255人/日（R7年度）（検索要約で確認）。※第2次環境基本計画（R5〜R14）はR9終了ではないため対象外。</t>
        </is>
      </c>
      <c r="G26" s="22" t="inlineStr">
        <is>
          <t>交通防犯課（ふれあいバス問合せ先、TEL 0282-21-2153）（検索要約で確認。資料が古い可能性あり、現行の組織名は要確認）</t>
        </is>
      </c>
      <c r="H26" s="28" t="inlineStr">
        <is>
          <t>着手済（事実）：第2次栃木市地域公共交通計画（計画期間R10〜R14の5年間予定）をR7年度から策定中。令和7年5月に入札で特定非営利活動法人まちづくり支援センターに策定業務を委託、同者から公共交通再編のコンサル・指導を受けつつ策定。R7年度第4回栃木市地域公共交通会議で進捗報告（63013.pdf）。現計画終了（R9末）まで約2年あるため、R8〜R9は公共交通再編・実証・計画素案〜パブコメの段階と推定（具体スケジュールは未確認）。→次期交通計画の新規受注余地は小さい。</t>
        </is>
      </c>
      <c r="I26" s="25" t="inlineStr">
        <is>
          <t>次期（第2次）計画：R7年5月、入札（方式は一般/指名か未確認）により特定非営利活動法人まちづくり支援センター（公共交通関係コンサルタント）が受託（事実、63013.pdf等）。契約金額は不明（「契約金額」「落札 円」「当初予算 事業費」「契約締結状況」で検索したが出ず）。単年度か複数年契約かも未確認。前計画（H30.10網形成計画、H29〜H30年度作業と推定）：受託者・方式・金額は不明。1件の検索要約で『H30策定もまちづくり支援センターが協力』とする記述があったが、R7受託記事との混同の可能性が高く（要確認）。試行：プロポーザル/指名競争入札/入札結果/計画書協力者等で計5件検索。</t>
        </is>
      </c>
      <c r="J26" s="22" t="inlineStr">
        <is>
          <t>市塙・赤羽工業団地線（路線バス）がR8(2026)年4月1日廃止予定（県資料）。デマンド交通「蔵タク」（平日8〜16時、事前登録・電話予約）とふれあいバス5路線（運賃100〜300円）。公共交通の再編をまちづくり支援センターの指導で検討中＝路線再編・廃止代替が当面の論点。第2次環境基本計画（R5〜R14）。ゼロカーボンシティ宣言の有無は今回未確認。</t>
        </is>
      </c>
      <c r="K26" s="22" t="inlineStr">
        <is>
          <t>・交通計画は第2次の策定が既にまちづくり支援センター受託で進行中のため、直接の策定支援提案は困難。代わりに再編に伴う実証運行・利用実態調査・データ分析・評価（モニタリング）業務、または交通計画と環境基本計画（脱炭素・移動のCO2削減）の連携をテーマに情報提供
・路線バス廃止（市塙・赤羽工業団地線、R8.4）後の代替交通・工業団地通勤輸送の検討支援を切り口に
・第2次環境基本計画の中間見直し時期（R9〜R10頃と推定）や地球温暖化対策実行計画の改定予定を環境部局にヒアリングし、次の案件を探る</t>
        </is>
      </c>
      <c r="L26" s="26" t="inlineStr">
        <is>
          <t>https://www.city.tochigi.lg.jp/uploaded/attachment/63013.pdf
https://www.city.tochigi.lg.jp/uploaded/attachment/56361.pdf
https://www.city.tochigi.lg.jp/uploaded/attachment/56067.pdf
https://www.city.tochigi.lg.jp/uploaded/attachment/53181.pdf
https://www.city.tochigi.lg.jp/uploaded/attachment/55820.pdf
https://www.city.tochigi.lg.jp/uploaded/attachment/63008.pdf
https://www.city.tochigi.lg.jp/uploaded/attachment/67082.pdf
https://www.city.tochigi.lg.jp/uploaded/attachment/21343.pdf
https://www.pref.tochigi.lg.jp/h03/koukyokotsu-koyogigai/documents/ichihanaakabane.pdf
https://www.city.tochigi.lg.jp/uploaded/attachment/60576.pdf</t>
        </is>
      </c>
      <c r="M26" s="22" t="inlineStr">
        <is>
          <t>WebSearch13回。契約金額は市の入札結果公表ページ（電子入札システム）で直接確認が必要。</t>
        </is>
      </c>
    </row>
    <row r="27">
      <c r="A27" s="22" t="n">
        <v>23</v>
      </c>
      <c r="B27" s="22" t="inlineStr">
        <is>
          <t>栃木県</t>
        </is>
      </c>
      <c r="C27" s="23" t="inlineStr">
        <is>
          <t>鹿沼市</t>
        </is>
      </c>
      <c r="D27" s="24" t="inlineStr"/>
      <c r="E27" s="22" t="inlineStr">
        <is>
          <t>鹿沼市地域公共交通計画（R4〜R9）／第5次鹿沼市環境基本計画（R4〜R8）</t>
        </is>
      </c>
      <c r="F27" s="22" t="inlineStr">
        <is>
          <t>【交通】鹿沼市地域公共交通計画：R4年度〜R9年度の6年間（R6.10・R8.6に一部改定）。地域公共交通活性化再生法（R2.11改正）に基づく法定計画として位置づけ。R4.1.24の令和3年度第3回地域公共交通活性化協議会で計画案承認。市営バス「リーバス」・予約バス（デマンド）等の路線網維持・再編が柱（主要施策詳細は計画書本文要確認）。
【環境】第5次鹿沼市環境基本計画：R4年度〜R8年度の5か年（R4.3策定、目標年次R8）。基本目標は①ゼロカーボンのまちをつくる、②持続可能なまちをつくる、③自然と寄り添うまちをつくる、④自ら行動するまちをつくる。気候変動適応策を含む。</t>
        </is>
      </c>
      <c r="G27" s="22" t="inlineStr">
        <is>
          <t>【交通】生活課 交通政策係 ☎0289-63-2163（市の交通ガイドPDF記載・検索要約より）。【環境】環境課（係・電話は検索で確認できず、要確認）。</t>
        </is>
      </c>
      <c r="H27" s="22" t="inlineStr">
        <is>
          <t>【環境】現計画は今年度（R8）で終了だが、第6次計画の策定支援業務の公告・環境審議会への諮問・市民アンケート・パブコメは検索で見当たらず。前回（第5次）はR2年度第3回環境審議会（R3.2.5）で策定を協議開始→R3年度第3回（R3.12.2）→第4回（R4.3.8）で答申という約1年強の工程だったため、今回同様なら既にR7年度中に着手しているはずであり、①庁内直営で策定中、②計画期間の延長、③R9年度策定へ後ろ倒し、のいずれか（推定・環境課に要確認）。
【交通】R9年度末で終了。次期計画策定支援業務の公告・協議会での次期計画審議は検索で見当たらず。前回はR3年度中に協議会で審議・R4.1承認のため、次期（R10〜）も同様ならR9年度に策定業務、R8年度秋（今期）に予算要求となる見込み（推定）。R9〜R11の予約バス運行事業者選定プロポは実施済（既存note）。</t>
        </is>
      </c>
      <c r="I27" s="22" t="inlineStr">
        <is>
          <t>不明。交通計画（R3年度策定）・第5次環境基本計画（R2〜R3年度策定）とも、策定支援業務の発注方式・受託者・契約金額は検索で確認できず。試行：「鹿沼市 地域公共交通計画 策定 業務 プロポーザル 結果」「〜策定支援 委託 株式会社」「鹿沼市 入札結果 令和3年度 地域公共交通計画策定業務」「〜落札者 契約金額」「鹿沼市 環境基本計画 策定支援業務 委託 プロポーザル」「〜契約 落札」「環境審議会 コンサルタント」等。計画書PDFの直接取得は403でブロック。計画書巻末・環境審議会会議録（R3.12.2、R4.3.8）に事務局補助としてコンサル名が出ている可能性あり（要確認）。</t>
        </is>
      </c>
      <c r="J27" s="22" t="inlineStr">
        <is>
          <t>・市営バス「リーバス」と予約バス（デマンド型）を運行。予約バスはR9〜R11の運行事業者選定プロポを実施済（既存note）。
・地域間幹線系統確保維持費国庫補助金の事業評価をR7.1.24に協議会で実施（国庫補助路線あり）。
・気候非常事態宣言を表明済。2026年3月25日、コスモ石油マーケティングと「ゼロカーボンシティ実現に向けた地域包括連携協定」を締結。
・総合計画は第9次「鹿沼みらいビジョン（基本構想）」＋5か年の「鹿沼2030プラン（基本計画）」（期間は要確認）。</t>
        </is>
      </c>
      <c r="K27" s="22" t="inlineStr">
        <is>
          <t>・環境基本計画がR8年度で満了するのに次期策定の公表情報が無い点を切り口に、延長か後継策定かの方針・R9予算要求の有無を環境課にヒアリング。地球温暖化対策実行計画（区域施策編）との統合策定やコスモ石油との連携協定を踏まえたゼロカーボン施策の具体化を提案。
・交通計画はR9年度末満了。R8秋の予算要求に向け、リーバス・予約バス（R9〜R11新運行契約）の利用実績評価を次期計画（R10〜）に反映するスケジュール感と、計画のR6・R8一部改定の経緯を生活課交通政策係に確認。
・交通・環境の両計画を同時期に見直すタイミングであることから、脱炭素型交通（公共交通利用転換・EVバス等）を共通テーマとした連携した調査提案が可能。</t>
        </is>
      </c>
      <c r="L27" s="26" t="inlineStr">
        <is>
          <t>https://www.city.kanuma.tochigi.jp/manage/contents/upload/623824c0af645.pdf
https://www.city.kanuma.tochigi.jp/manage/contents/upload/6a3b627349ac7.pdf
https://www.city.kanuma.tochigi.jp/manage/contents/upload/6976cd070c260.pdf
https://www.city.kanuma.tochigi.jp/0097/info-0000007871-1.html
https://www.city.kanuma.tochigi.jp/manage/contents/upload/623919c2b173f.pdf
https://www.city.kanuma.tochigi.jp/manage/contents/upload/63d742037c109.pdf
https://www.city.kanuma.tochigi.jp:443/manage/contents/upload/617218120b85c.pdf
https://www.city.kanuma.tochigi.jp:443/manage/contents/upload/626e1e2043199.pdf
https://www.city.kanuma.tochigi.jp:443/manage/contents/upload/626e1cf639159.pdf
https://www.cosmo-energy.co.jp/content/dam/corp/jp/ja/press/2026/260326-02/260326jp_01.pdf
https://www.city.kanuma.tochigi.jp/manage/contents/upload/69e749094fd8e.pdf</t>
        </is>
      </c>
      <c r="M27" s="22" t="inlineStr">
        <is>
          <t>WebSearch 12回。過去契約は検索で特定できず（市の入札結果ページ・会議録の個別確認が必要）。電話番号は交通のみ検索要約で確認。</t>
        </is>
      </c>
    </row>
    <row r="28">
      <c r="A28" s="22" t="n">
        <v>24</v>
      </c>
      <c r="B28" s="22" t="inlineStr">
        <is>
          <t>栃木県</t>
        </is>
      </c>
      <c r="C28" s="23" t="inlineStr">
        <is>
          <t>日光市</t>
        </is>
      </c>
      <c r="D28" s="24" t="inlineStr"/>
      <c r="E28" s="22" t="inlineStr">
        <is>
          <t>日光市地域公共交通計画（R5.4〜R10.3＝R9年度末終了）</t>
        </is>
      </c>
      <c r="F28" s="22" t="inlineStr">
        <is>
          <t>日光市地域公共交通計画：R5.4〜R10.3の5か年（期間は検索要約1回のみ・要確認）。地域公共交通活性化再生法に基づく法定計画・マスタープランで、第2次日光市総合計画に即し、都市計画マスタープラン・立地適正化計画と整合。市民・交通事業者・行政の連携による持続可能な移動サービスの確保が目的。対象は民間路線バス（東武バス日光・日光交通）、日光市営バス、市営デマンド型交通のほか関東自動車・鹿沼市・那須塩原市・塩谷町のバス。原案パブコメはR5.1.16〜2.15（2名14件）。前身はH22「生活交通再構築計画」→H30.3「地域公共交通網形成計画」。
（参考）第2次日光市環境基本計画（R1.12策定、R2〜R11推定）はR9終了対象外。</t>
        </is>
      </c>
      <c r="G28" s="22" t="inlineStr">
        <is>
          <t>建設部 都市計画課 交通政策係 ☎0288-21-5151（市営バス問合せ先として市資料に記載・検索要約より。代表番号の可能性あり、要確認）。</t>
        </is>
      </c>
      <c r="H28" s="22" t="inlineStr">
        <is>
          <t>次期計画（R10〜）の策定支援業務公告・協議会での次期計画審議は検索で見当たらず（既存noteどおりR8施政方針は現計画の継続のみ）。前回は原案パブコメがR5.1（R4年度）で、R4年度に策定作業→R5.4施行。同様の工程ならR9年度に策定業務を発注、R8年度秋〜冬の当初予算要求で業務委託料計上（推定・要確認）。</t>
        </is>
      </c>
      <c r="I28" s="22" t="inlineStr">
        <is>
          <t>不明。現計画（R4年度策定と推定）・前計画（H30.3網形成計画）とも、策定支援業務の発注方式・受託者・契約金額は検索で確認できず。試行：「日光市 地域公共交通計画 策定 業務 プロポーザル 結果」「〜策定支援業務 委託 受託 令和4年度」「〜策定業務 仕様書」「日光市 入札結果 公共交通 計画 業務委託」「日光市議会 地域公共交通計画 策定 委託料」「地域公共交通網形成計画 委託 コンサルタント」「都市計画課 プロポーザル 審査結果」。計画書PDFはWebFetch/curlとも403ブロックで巻末確認不可。都市計画課ではR6年度に「日光市営デマンド交通システム導入業務委託」を公募型プロポで発注しており（審査結果は未確認）、計画策定業務もプロポ方式の可能性あり（推定）。</t>
        </is>
      </c>
      <c r="J28" s="22" t="inlineStr">
        <is>
          <t>・R6年度に「日光市営デマンド交通システム導入業務委託」を公募型プロポーザルで実施（担当：建設部都市計画課交通政策係）→デマンド交通の再編・システム化が進行中。
・市営バス・市営デマンド交通に加え、東武バス日光・日光交通・関東自動車等の民間路線が混在、近隣市町（鹿沼市・那須塩原市・塩谷町）の路線も乗り入れ。
・令和3年12月24日ゼロカーボンシティ宣言。ゼロカーボンシティ推進プロジェクト（EVのまちづくり、地域エネルギー地産地消、再エネ導入等）を推進。
・R7.4に「鬼怒川温泉駅前再整備基本計画策定支援業務」を公募型プロポで募集（交通結節点整備の議論あり）。
・都市計画マスタープラン（H21.3策定、20年計画）。</t>
        </is>
      </c>
      <c r="K28" s="22" t="inlineStr">
        <is>
          <t>・R9年度末で計画満了→R8秋のR9当初予算要求タイミング。網形成計画（H30）→地域公共交通計画（R5）と計画を継承してきた経緯を踏まえ、次期計画の策定方針（直営かコンサル委託か、発注方式）と協議会スケジュールを交通政策係にヒアリング。
・R6年度に導入したデマンド交通システムの運行データ・利用実績の評価や、鬼怒川温泉駅前再整備との連携（交通結節点）、観光客と生活交通の両立を次期計画の論点として提示。
・ゼロカーボンシティ宣言（R3.12）のEVのまちづくり施策と公共交通（EVバス・グリーンスローモビリティ等）を一体で扱う提案が可能。</t>
        </is>
      </c>
      <c r="L28" s="26" t="inlineStr">
        <is>
          <t>https://www.city.nikko.lg.jp/material/files/group/33/tiikikoukyoukoutuukeikaku.pdf
https://www.city.nikko.lg.jp/material/files/group/3/tiikikoukyoukoutuu_kekka.pdf
https://www.city.nikko.lg.jp/material/files/group/3/2023040203.pdf
https://www.city.nikko.lg.jp/material/files/group/33/bosyuyoukou.pdf
https://www.city.nikko.lg.jp/material/files/group/2/zerocarbon.pdf
https://www.city.nikko.lg.jp/material/files/group/32/zerocarbon_keikaku.pdf
https://www.city.nikko.lg.jp/material/files/group/27/02dai4kaisiryou1.pdf
https://www.city.nikko.lg.jp/material/files/group/33/toshimas.pdf
https://www.pref.tochigi.lg.jp/h03/koukyoulrt/documents/nikkokoukyoukotsu.pdf
https://www.city.nikko.lg.jp/soshiki/6/1031/5/1/1/125.html</t>
        </is>
      </c>
      <c r="M28" s="22" t="inlineStr">
        <is>
          <t>WebSearch 12回、WebFetch 1回（市サイトEGRESS_BLOCKED）。過去契約は特定できず。group/33/bosyuyoukou.pdf＝R6デマンド交通システム導入業務の募集要項（検索要約による、要確認）。</t>
        </is>
      </c>
    </row>
    <row r="29">
      <c r="A29" s="22" t="n">
        <v>25</v>
      </c>
      <c r="B29" s="22" t="inlineStr">
        <is>
          <t>栃木県</t>
        </is>
      </c>
      <c r="C29" s="23" t="inlineStr">
        <is>
          <t>大田原市</t>
        </is>
      </c>
      <c r="D29" s="27" t="inlineStr">
        <is>
          <t>●</t>
        </is>
      </c>
      <c r="E29" s="22" t="inlineStr">
        <is>
          <t>大田原市地域公共交通計画（R4〜R9）※次期計画（R10〜R14）策定業務は発注済</t>
        </is>
      </c>
      <c r="F29" s="22" t="inlineStr">
        <is>
          <t>大田原市地域公共交通計画：R4.3策定、R4(2022)〜R9(2027)年度の6か年（R6.12改訂版PDFあり）。前身はH29.3「地域公共交通網形成計画」で、同計画に基づき市営バス・民間路線バス（関東自動車）・デマンド交通を改善。基本方針は①「住みたいまち」になる公共交通網の形成、②地域で互いに支えあう公共交通の推進、③未来を見据えた、時代に即した、人や環境にやさしい新たな交通施策の導入。デマンド交通「らくらく与一号」（親園・野崎・佐久山・湯津上・黒羽・川西・両郷・須賀川地区）を運行。関連計画に那須地域定住自立圏共生ビジョン。</t>
        </is>
      </c>
      <c r="G29" s="22" t="inlineStr">
        <is>
          <t>生活環境課（地域公共交通担当）☎0287-23-8832（プロポ公告ページ関連の検索要約より。係名は未確認）。</t>
        </is>
      </c>
      <c r="H29" s="28" t="inlineStr">
        <is>
          <t>【着手済】現計画がR9年度末で終了するため、R10年度から5年間の次期計画策定に向け「大田原市地域公共交通計画策定調査業務委託」の公募型プロポーザルを実施。公告ページ（docs/2026073100056、ID上2026-07-31、募集開始は2026-08-05との要約あり・要確認）。業務内容：基礎調査、分析、資料作成、計画案作成等の支援。契約期間：契約日〜令和9年3月19日（R8年度単年度。R9年度に計画案取りまとめの別契約がある可能性あり・推定）。審査：令和8年9月17日（木）実施、審査結果公表ページ docs/2026091600026 → 契約候補者『バイタルリード・サーベイリサーチセンター共同企業体』（代表：株式会社バイタルリード、島根県出雲市荻杼町274番地2）を特定。提案上限額・契約金額・参加者数は検索結果に表示されず不明（市サイトはWebFetch不可、要確認）。</t>
        </is>
      </c>
      <c r="I29" s="25" t="inlineStr">
        <is>
          <t>【次期計画（R8年度発注）】公募型プロポーザル、R8年度、契約候補者＝バイタルリード・サーベイリサーチセンター共同企業体（2026-09-17審査）、金額・上限額は不明（要確認）。
【現計画（R3年度策定）】発注方式・受託者・契約金額は不明。試行：「大田原市 地域公共交通計画 策定 業務委託 受託 令和3年度」「〜落札 入札結果」「市政年報 委託」「議会 委託料」、バイタルリード等社名との組合せ、kkj/labid/NJSS等。R3市政年報・R3補正予算書（第7号）がヒットしたが本文確認できず（同資料に委託料記載の可能性・要確認）。</t>
        </is>
      </c>
      <c r="J29" s="22" t="inlineStr">
        <is>
          <t>・デマンド交通「らくらく与一号」を市内8地区で運行、市営バス・関東自動車路線バスと組み合わせた交通網。
・那須地域定住自立圏（那須塩原市等）で「那須地域定住自立圏地域公共交通計画」があり広域連携あり。
・総合計画後期基本計画がR4〜R8年度で今年度終了→次期総合計画との整合が次期交通計画の論点（推定）。過疎地域持続的発展計画はR8〜R12版を策定。
・都市計画マスタープラン策定及び立地適正化計画見直し等業務をR6年度に公募型プロポで発注済。
・環境：第三次環境基本計画をR8策定済（R8〜）。公共施設へのPPAモデル太陽光導入（R4年度プロポ）等脱炭素施策あり。</t>
        </is>
      </c>
      <c r="K29" s="22" t="inlineStr">
        <is>
          <t>・次期交通計画はバイタルリード・SRC JVが受託候補に特定済のため、計画策定本体の営業機会は今期なし。むしろR9年度の計画策定2年目業務（契約期間がR9.3.19までのため、R9に追加発注の有無）や、計画策定後の実証運行・利用促進・評価（PDCA）支援、デマンド交通運行改善の調査業務を狙う。
・今回のプロポの提案上限額・参加者数・評価点を情報公開／聞き取りで把握し、近隣（鹿沼市・日光市）R9〜R10発注案件の価格・提案水準の参考にする。
・環境基本計画はR8策定済で当面機会なし。都市MP・立地適正化計画見直し（R6〜）との整合、次期総合計画（R9〜推定）策定動向を確認しつつ、地球温暖化対策実行計画の改定時期をヒアリング。</t>
        </is>
      </c>
      <c r="L29" s="26" t="inlineStr">
        <is>
          <t>https://www.city.ohtawara.tochigi.jp/docs/2026073100056
https://www.city.ohtawara.tochigi.jp/docs/2026091600026
https://www.city.ohtawara.tochigi.jp/docs/2022032900019/
https://www.city.ohtawara.tochigi.jp/docs/2022032900019/file_contents/ohtawarakoutukeikaku20241225.pdf
https://www.city.ohtawara.tochigi.jp/docs/2017062800019/
https://www.city.ohtawara.tochigi.jp/docs/2018022100040/
https://www.city.ohtawara.tochigi.jp/unit/citizens/seikatsu/
https://www.city.ohtawara.tochigi.jp/docs/2024051300023/
https://www.city.ohtawara.tochigi.jp/docs/2019120200014/file_contents/R3shiseinennpou.pdf
https://www.city.ohtawara.tochigi.jp/gikai/docs/2021112200063/file_contents/83_37.pdf
https://www.city.ohtawara.tochigi.jp/docs/2020111300019/file_contents/koukikihonkeikaku20210802.pdf
https://www.city.ohtawara.tochigi.jp/docs/2025120100018/file_contents/keikakuan.pdf
https://www.city.ohtawara.tochigi.jp/docs/2023020800014/
https://www.city.nasushiobara.tochigi.jp/soshikikarasagasu/kb/shinoseisakutokeikaku/1/5504.html
https://www.city.ohtawara.tochigi.jp/docs/2026013000019</t>
        </is>
      </c>
      <c r="M29" s="22" t="inlineStr">
        <is>
          <t>WebSearch 14回、WebFetch 1回（市サイトEGRESS_BLOCKED）。審査結果（2026-09-17、バイタルリード・SRC JV）は検索要約2回で一致、契約期間R9.3.19は要約1回のみ（要確認）。上限額・契約額は不明。</t>
        </is>
      </c>
    </row>
    <row r="30">
      <c r="A30" s="22" t="n">
        <v>26</v>
      </c>
      <c r="B30" s="22" t="inlineStr">
        <is>
          <t>栃木県</t>
        </is>
      </c>
      <c r="C30" s="23" t="inlineStr">
        <is>
          <t>那須塩原市</t>
        </is>
      </c>
      <c r="D30" s="24" t="inlineStr"/>
      <c r="E30" s="22" t="inlineStr">
        <is>
          <t>第2次那須塩原市地域公共交通計画（R5〜R9）／那須地域定住自立圏地域公共交通計画（第2次、R5.4〜R10.3）。※環境基本計画は改定版で終期R12へ延長のためR9ターゲットは交通計画</t>
        </is>
      </c>
      <c r="F30" s="22" t="inlineStr">
        <is>
          <t>第2次那須塩原市地域公共交通計画（R5.3策定、R5〜R9）：まちづくりと整合した持続可能な地域公共交通ネットワーク構築を目的とし、市全体の公共交通の基本計画として利便性向上・移動手段の確保維持の各事業を推進。市内は路線バス（関東自動車〔旧東野バス〕・JRバス関東）、市営ゆーバス、予約制デマンド（ゆータク／予約ワゴンバス）で構成（推定：構成は県資料要約ベース）。上位の那須地域定住自立圏地域公共交通計画（2市2町共同、第1次網形成計画H30〜R4→第2次R5.4〜R10.3）は広域幹線・圏域連携を担う。</t>
        </is>
      </c>
      <c r="G30" s="22" t="inlineStr">
        <is>
          <t>市民生活部 生活課（公共交通担当／那須地域定住自立圏公共交通部会事務局。国交省資料に「事務局 那須塩原市生活課」と記載）。電話番号は未確認（要確認）。※組織名は「kb」ディレクトリ配下のページで公開。環境基本計画は市民生活部環境課 環境保全係。</t>
        </is>
      </c>
      <c r="H30" s="22" t="inlineStr">
        <is>
          <t>市計画・定住自立圏計画ともR9年度末（R10.3）終期のため、第3次計画はR8〜R9年度の2か年で策定作業となる見込み（推定）。第3次策定支援業務の公募は2026-10時点で検索上確認できず。R7年度に「那須地域定住自立圏及び那須塩原市地域公共交通計画推進等支援業務」（企画競争、予定価格6,446,000円・labid要約）が公告されており、この推進支援業務の延長線で次期計画の調査（評価・アンケート）に着手する可能性あり（推定）。協議会（那須地域定住自立圏地域公共交通活性化協議会）はR8.1.21・R8.3.27に開催との要約あり（要確認）。R8.4.1にゆーバス・ゆータクのダイヤ改正実施。R9年度当初予算で策定業務を計上→R9春〜夏に公募型プロポーザルが典型パターン（推定）。</t>
        </is>
      </c>
      <c r="I30" s="25" t="inlineStr">
        <is>
          <t>【R5】「令和5年度那須地域定住自立圏及び那須塩原市地域公共交通計画の推進支援業務」企画競争（公募型プロポーザル）— labid掲載。受託者は日本工営株式会社と記載された要約あり（単一要約のみ・要確認）、契約金額不明。【R7】「令和7年度那須地域定住自立圏及び那須塩原市地域公共交通計画推進等支援業務」企画競争、予定価格6,446,000円（labid要約）、受託者不明（要確認）。【R4・第2次計画策定業務】受託者・方式とも不明。市HP「入札結果(令和4年度分)」の四半期PDFに記載がある可能性（未確認、WebFetch不可）。labid.jpはWebFetchブロックのため詳細未取得。</t>
        </is>
      </c>
      <c r="J30" s="22" t="inlineStr">
        <is>
          <t>・令和元年に栃木県内初のCO2排出量実質ゼロ宣言、R2に基礎自治体初の地域気候変動適応センター設置。R4.3「気候変動対策計画」（区域施策編＋適応計画統合、R4〜R12）で重点プロジェクトに「運輸部門からのGHG削減対策」→交通×脱炭素の論点あり。
・第2期環境基本計画【改定版】：R7年度環境審議会（9/3、11/27）で改定版案・パブコメ結果審議、終期R9→R12に延長。
・那須地域定住自立圏は第3次共生ビジョン（R6.11策定）推進中、公共交通ネットワーク事業は連携15事業の一つ。
・那須塩原駅周辺まちづくり基本計画策定等支援業務、第2次総合計画後期基本計画策定支援業務のプロポも実施（まちづくり部局との整合論点）。
・R8.4.1 ゆーバス・ゆータク ダイヤ改正。</t>
        </is>
      </c>
      <c r="K30" s="22" t="inlineStr">
        <is>
          <t>・第2次市計画・定住自立圏計画がともにR9年度末終了：R8〜R9で市計画と圏域計画を同時改定する体制（2市2町協議会）と、推進支援業務（R5・R7）からの評価データ引継ぎの段取りを伺う。
・ゼロカーボン（県内初宣言）・気候変動対策計画の『運輸部門削減』重点プロジェクトと次期交通計画の連動（EVバス、デマンド交通の効率化等）を提案切り口に。
・那須塩原駅周辺まちづくり・総合計画後期基本計画との整合（駅を核とした交通結節点整備）を、第3次計画の論点として提示。</t>
        </is>
      </c>
      <c r="L30" s="26" t="inlineStr">
        <is>
          <t>https://www.city.nasushiobara.tochigi.jp/soshikikarasagasu/kb/shinoseisakutokeikaku/1/5506.html
https://www.city.nasushiobara.tochigi.jp/soshikikarasagasu/kb/shinoseisakutokeikaku/1/5504.html
https://www.city.nasushiobara.tochigi.jp/material/files/group/15/nasushiobaracity_2nd_publictransportation.pdf
https://labid.jp/projects/8d260a2f-ed2b-49c9-b300-b380e4a5aee5
https://labid.jp/projects/ad86a7ca-1570-433d-b7c8-765cdd58ede5
https://wwwtb.mlit.go.jp/tohoku/content/000247563.pdf
https://www.city.nasushiobara.tochigi.jp/soshikikarasagasu/kb/doro_kotsu/3/16460.html
https://www.city.nasushiobara.tochigi.jp/shiseijoho/shingikai/8439.html
https://www.city.nasushiobara.lg.jp/soshikikarasagasu/kankyoka/shinososhikitoshigoto/1/3438.html
https://adaptation-platform.nies.go.jp/ccca/conference/2020/0731/pdf/20200828/s07-2_nasushiobara.pdf
https://www.city.nasushiobara.lg.jp/soshikikarasagasu/keiyakukensaka/nyusatsu_keiyakujoho/4/5653.html
https://www.pref.tochigi.lg.jp/h03/koukyoulrt/documents/nasushiobarakoukyoukotsu2.pdf</t>
        </is>
      </c>
      <c r="M30" s="22" t="inlineStr">
        <is>
          <t>labid.jpはWebFetchブロック。R5受託者『日本工営』は検索要約1件のみの情報で要確認。R7受託者未判明。市入札結果PDF（R4・R5・R7）の確認が次の一手。</t>
        </is>
      </c>
    </row>
    <row r="31">
      <c r="A31" s="22" t="n">
        <v>27</v>
      </c>
      <c r="B31" s="22" t="inlineStr">
        <is>
          <t>栃木県</t>
        </is>
      </c>
      <c r="C31" s="23" t="inlineStr">
        <is>
          <t>さくら市</t>
        </is>
      </c>
      <c r="D31" s="24" t="inlineStr"/>
      <c r="E31" s="22" t="inlineStr">
        <is>
          <t>第2次さくら市環境基本計画（H30〜R9）※主ターゲット。参考：さくら市地域公共交通計画はR6〜R10（R10年度末終期）</t>
        </is>
      </c>
      <c r="F31" s="22" t="inlineStr">
        <is>
          <t>第2次さくら市環境基本計画（H30.3策定、H30〜R9の10年間）：めざす環境像「身近な自然を大切にする環境にやさしいまち」。自然環境・地球環境・生活環境の保全と、それを支える環境教育・環境交流の推進を柱に総合的に推進。市・事業者・市民・滞在者の連携の「道しるべ」と位置付け、年次報告書（さくら市の環境）で進捗管理、SDGsとの対応も整理済。
交通：さくら市地域公共交通計画（R6.3策定、R6〜R10の5年間、網形成計画の後継）。計画期間はR6〜R10で確定（推定解除）。R4年度に国の地域公共交通調査事業（補助）で実態調査を実施。</t>
        </is>
      </c>
      <c r="G31" s="22" t="inlineStr">
        <is>
          <t>市民生活部 生活環境課 環境保全係（〒329-1392 さくら市氏家2771、電話 028-681-1126）。交通計画は「さくら市地域公共交通会議」所管課（総合政策課系と推定・要確認）。</t>
        </is>
      </c>
      <c r="H31" s="22" t="inlineStr">
        <is>
          <t>環境基本計画はR9年度末終了のため、第3次計画はR8〜R9年度で策定作業（R8アンケート→R9審議会・パブコメ）の見込み（推定）。2026-10時点で第3次策定支援業務の公募・アンケート実施情報は検索で確認できず→R9単年度策定（R9当初予算計上・R9春発注）の可能性が高い（推定）。進行管理は環境審議会および「さくら市環境基本計画策定委員会」（市民・事業者）が担う。並行してさくら市緑の基本計画（案）がR8.1に公表されており、環境系計画の改定が順次進行中。</t>
        </is>
      </c>
      <c r="I31" s="22" t="inlineStr">
        <is>
          <t>不明。第2次環境基本計画（H28〜H29策定）の策定支援業務の方式・受託者・金額は検索で確認できず（試行：『環境基本計画 策定支援業務 入札結果 平成29年度』、『策定委託 株式会社 策定経過』、NJSS等アグリゲータ検索。市HPに平成29年度物品等入札結果一覧の掲載あり→同PDFで確認可能性、WebFetch未実施）。交通計画（R5年度策定）の策定業務も受託者不明。関連調達：R6年度『さくら市AIオンデマンド交通システム導入・運用業務委託』公募型プロポーザル（R6.5.21審査、5.27結果通知、6月上旬契約予定）、受託者名は検索結果に表示されず（要確認）。</t>
        </is>
      </c>
      <c r="J31" s="22" t="inlineStr">
        <is>
          <t>・「さくら市地球環境にやさしい小都市（まち）宣言」を表明（ゼロカーボンシティ相当、R6.3表明との要約あり・要確認）。さくら市気候変動対策推進計画、第3次さくら市地球温暖化対策実行計画を策定済（期間は未確認）。温室効果ガス排出量見える化（みんなの算定）、事業者向け脱炭素支援一覧を展開。
・バイオマス産業都市構想（R1.7）。
・R6年度にAIオンデマンド交通を導入（公募型プロポ）、交通計画の重点施策と推定。
・さくら市緑の基本計画（案）R8.1公表。
・第2次総合計画後期基本計画（R3.3〜）の終期接近→第3次総合計画との整合が次期環境計画の論点（終期は要確認）。</t>
        </is>
      </c>
      <c r="K31" s="22" t="inlineStr">
        <is>
          <t>・第2次環境基本計画がR9年度末終了：第3次は総合計画改定・気候変動対策推進計画・温暖化実行計画との統合（区域施策編・適応計画の内包）を提案軸に、R9単年度か2か年かの策定スケジュールと予算要求時期を伺う。
・『地球環境にやさしい小都市宣言』と事業者向け脱炭素支援を、次期環境基本計画の重点プロジェクトに格上げする構成案（見える化データの活用）。
・交通計画（R10終期）とAIオンデマンド交通の実績評価を環境側（運輸部門CO2）と連動させる切り口。交通計画の次期改定はR9〜R10着手見込みで、環境計画と続けて接点を持てる。</t>
        </is>
      </c>
      <c r="L31" s="26" t="inlineStr">
        <is>
          <t>https://www.city.tochigi-sakura.lg.jp/life/000014/000590/p001957.html
https://www.city.tochigi-sakura.lg.jp/life/000014/000121/000403/p001957.html
https://www.city.tochigi-sakura.lg.jp/manage/contents/upload/61bb4a83cdb3b.pdf
https://www.city.tochigi-sakura.lg.jp/life/000014/000590/p003411.html
https://www.city.tochigi-sakura.lg.jp/life/000017/p003140.html
https://www.city.tochigi-sakura.lg.jp/manage/contents/upload/65dd2a8c992b8.pdf
https://www.city.tochigi-sakura.lg.jp/life/000017/p004110.html
https://www.city.tochigi-sakura.lg.jp/business/000045/000263/p003974.html
https://www.city.tochigi-sakura.lg.jp/business/000045/000264/index.html
https://www.city.tochigi-sakura.lg.jp/life/000014/000590/p003813.html
https://www.city.tochigi-sakura.lg.jp/government/000054/000313/p003814.html
https://www.city.tochigi-sakura.lg.jp/government/000054/000313/p001958.html
https://www.city.tochigi-sakura.lg.jp/manage/contents/upload/696f359c0cc97.pdf
https://www.city.tochigi-sakura.lg.jp/office/000002/000202/index.html</t>
        </is>
      </c>
      <c r="M31" s="22" t="inlineStr">
        <is>
          <t>千葉県佐倉市の結果が混在したため除外済。交通計画期間R6〜R10は検索結果本文で確認。過去の環境計画策定業務の受託者は市HPの平成28・29年度入札結果PDFで要確認。</t>
        </is>
      </c>
    </row>
    <row r="32">
      <c r="A32" s="22" t="n">
        <v>28</v>
      </c>
      <c r="B32" s="22" t="inlineStr">
        <is>
          <t>栃木県</t>
        </is>
      </c>
      <c r="C32" s="23" t="inlineStr">
        <is>
          <t>那須町</t>
        </is>
      </c>
      <c r="D32" s="24" t="inlineStr"/>
      <c r="E32" s="22" t="inlineStr">
        <is>
          <t>那須町地域公共交通計画（R4〜R9、6か年）＋那須地域定住自立圏地域公共交通計画（第2次、R5.4〜R10.3）。※環境は第3次那須町環境基本計画（R8〜R17）策定済のため対象外</t>
        </is>
      </c>
      <c r="F32" s="22" t="inlineStr">
        <is>
          <t>那須町地域公共交通計画（R4.3策定、R4〜R9の6か年、町全域）：前計画の那須町地域公共交通網形成計画（R3年度末終了）の後継で、『持続可能でまちづくりと一体的な公共交通体系』を目的とする町の公共交通マスタープラン。デマンド型乗合交通（地域内フィーダー系統、運行は那須合同自動車㈱・3年毎選定）による空白地域解消と町民バス路線の維持、バスブック発行等の利用促進が柱。進行管理は法定協議会（那須町地域公共交通活性化協議会）で年2回定期開催、指標評価値を報告。</t>
        </is>
      </c>
      <c r="G32" s="22" t="inlineStr">
        <is>
          <t>ふるさと定住課 公共交通係（町HP「公共交通係」office1003ページ、検索要約で課名確認・要確認）。電話番号は未確認（町代表 0287-72-6901 は未検証・要確認）。契約は財政課 契約管理係。</t>
        </is>
      </c>
      <c r="H32" s="22" t="inlineStr">
        <is>
          <t>町計画R9年度末終了、定住自立圏計画も同時にR9年度末終了のため、次期計画はR8〜R9年度策定見込み（推定）。2026-10時点で町の次期計画策定業務の公募は検索で確認できず（前回はR3年度単年度で策定→今回もR9単年度策定、R9当初予算計上の可能性・推定）。第7次那須町振興計画後期基本計画がR3〜R7で終了しており、R8以降の新振興計画との整合が必要（新計画の名称・期間は未確認）。関連：栃木県「令和8年度広域公共交通連携検討業務委託」プロポ（県による広域連携検討、inputのファクトチェックより）。</t>
        </is>
      </c>
      <c r="I32" s="22" t="inlineStr">
        <is>
          <t>不明。現行計画（R3年度策定）の策定支援業務について方式・受託者・金額とも検索で確認できず（試行：『那須町地域公共交通計画 策定業務 委託 プロポーザル 令和3年度』、『那須町 入札結果 令和3年度 地域公共交通計画策定業務』、『策定支援業務 落札 受託 コンサルタント』、NJSS/nsearchの那須町ページは表示されるが該当案件の本文なし）。協議会発注（補助金活用）の可能性があり町の入札結果に載らないケースも想定（推定）。なお広域分はR5・R7『那須地域定住自立圏及び那須塩原市地域公共交通計画推進(等)支援業務』（那須塩原市発注、R5受託者は日本工営との要約あり・要確認）が圏域4市町をカバー。</t>
        </is>
      </c>
      <c r="J32" s="22" t="inlineStr">
        <is>
          <t>・町民バス湯本線・追分・黒磯駅線はR7.4.1から4往復→3往復に減便（運転手不足等の路線維持課題）。
・デマンド型乗合交通「当日予約」実証実験（R5.1〜）。
・那須町バスブックR7.4発行（全戸配布）。
・観光地（那須高原・湯本）の二次交通は観光客需要との両立が論点。
・第3次那須町環境基本計画（R8〜R17）策定済。ゼロカーボン宣言の有無は検索で確認できず。
・振興計画の改定期（第7次後期R3〜R7終了）。</t>
        </is>
      </c>
      <c r="K32" s="22" t="inlineStr">
        <is>
          <t>・町計画と定住自立圏計画がともにR9年度末終了：町単独計画と圏域計画を同時並行で改定する際の役割分担・データ共有（R5・R7推進支援業務の成果活用）の段取りを伺う。
・町民バス減便（R7.4）・デマンド当日予約実証の評価を踏まえ、次期計画での路線再編・デマンド拡充・観光二次交通（那須高原）の統合設計を提案。
・新振興計画（R8〜）や第3次環境基本計画（R8〜）との整合を図った計画構成（脱炭素・観光MaaS等）を切り口に。</t>
        </is>
      </c>
      <c r="L32" s="26" t="inlineStr">
        <is>
          <t>https://www.town.nasu.lg.jp/0242/info-0000002729-1.html
https://www.town.nasu.lg.jp/manage/contents/upload/6243b2b07f368.pdf
https://www.town.nasu.lg.jp/0085/info-0000003869-1.html
https://www.town.nasu.lg.jp/0085/info-0000001267-1.html
http://www.town.nasu.lg.jp/office1003/section-1.html
https://www.town.nasu.lg.jp/0086/info-0000000030-1.html
https://www.town.nasu.lg.jp/manage/contents/upload/63abdce54ef73.pdf
https://www.town.nasu.lg.jp/office0105/section-1.html
https://www.town.nasu.lg.jp/0235/info-0000002329-1.html
https://www.njss.info/organizations/bid/6021/
https://wwwtb.mlit.go.jp/tohoku/content/000247563.pdf
https://labid.jp/projects/8d260a2f-ed2b-49c9-b300-b380e4a5aee5</t>
        </is>
      </c>
      <c r="M32" s="22" t="inlineStr">
        <is>
          <t>過去の策定業務受託者は未判明。計画書PDF巻末（策定体制・協力会社）の目視確認、または協議会資料での確認を推奨。町代表電話番号は未検証。</t>
        </is>
      </c>
    </row>
    <row r="33">
      <c r="A33" s="22" t="n">
        <v>29</v>
      </c>
      <c r="B33" s="22" t="inlineStr">
        <is>
          <t>栃木県</t>
        </is>
      </c>
      <c r="C33" s="23" t="inlineStr">
        <is>
          <t>那珂川町</t>
        </is>
      </c>
      <c r="D33" s="24" t="inlineStr"/>
      <c r="E33" s="22" t="inlineStr">
        <is>
          <t>那須地域定住自立圏地域公共交通計画（第2次、R5.4〜R10.3）＋那珂川町地域公共交通計画（R5.3策定、期間未確認：圏域計画と同じR5〜R9の可能性・推定）。環境：第2次那珂川町環境基本計画（後期計画）期間不明</t>
        </is>
      </c>
      <c r="F33" s="22" t="inlineStr">
        <is>
          <t>那珂川町地域公共交通計画（R5.3策定）：町内の公共交通はデマンドタクシー「なかちゃん号」とコミュニティバス「馬頭烏山線」（JR烏山駅〜馬頭高校〜町役場）が軸。R5年度実績：なかちゃん号 運行243日・利用7,697人（日平均31.7人、登録者2,685人）、馬頭烏山線 運行360日・利用20,937人（平日日平均78.9人／休日15.1人）。計画期間は検索で確認できず（圏域計画とセットでR5〜R9と推定・要確認）。上位の那須地域定住自立圏地域公共交通計画（R5.4〜R10.3）が圏域幹線・連携を担う。
環境：第2次那珂川町環境基本計画（後期計画）は町HPにPDF掲載、所管は生活環境課。期間は未確認（第1次は2009年3月策定との要約あり・要確認）。</t>
        </is>
      </c>
      <c r="G33" s="22" t="inlineStr">
        <is>
          <t>生活環境課 生活交通係（地域公共交通の総合調整・推進。町HP office0042）。環境基本計画も生活環境課（環境推進係との要約あり・要確認）。電話番号は未確認。</t>
        </is>
      </c>
      <c r="H33" s="22" t="inlineStr">
        <is>
          <t>圏域計画（R9年度末終了）の改定に合わせ、町計画もR8〜R9年度に改定作業となる見込み（推定）。2026-10時点で次期計画の策定業務公募は検索で確認できず。第3次那珂川町総合振興計画（基本構想R8〜R17、前期基本計画R8〜R12）がR8.3策定済のため、次期交通計画・環境計画は新総合振興計画に沿った改定となる。R7.1.30に地域公共交通確保維持事業の事業評価を公表（要約ベース）。</t>
        </is>
      </c>
      <c r="I33" s="22" t="inlineStr">
        <is>
          <t>不明。R5.3策定の町計画の策定支援業務について方式・受託者・金額は検索で確認できず（試行：『主要施策の成果 地域公共交通計画策定業務委託』、『公共交通計画 策定業務 入札結果 落札 令和4年』、町HP入札・契約（物品）ページは表示されるが該当案件本文なし）。圏域分はR5・R7『那須地域定住自立圏及び那須塩原市地域公共交通計画推進(等)支援業務』（那須塩原市発注・企画競争、R5受託者は日本工営との要約あり・要確認、R7予定価格6,446,000円）が那珂川町を含む4市町をカバー。環境基本計画の策定業務も不明。</t>
        </is>
      </c>
      <c r="J33" s="22" t="inlineStr">
        <is>
          <t>・コミュニティバス馬頭烏山線はR6.10.1に運行会社を変更（関東自動車の告知あり）→運転手不足・事業者確保が課題（推定）。
・JR烏山線（隣接那須烏山市の終着駅烏山に接続）の存続議論が地域で取り沙汰（ローカル線解説記事レベル・要確認）。
・第3次那珂川町総合振興計画「なかがわ『わくわく』プラン2035」R8.3策定。
・過疎地域持続的発展計画（R3〜R7）終了→次期計画期。
・ゼロカーボン宣言の有無は検索で確認できず。バイオマス活用の取組資料あり（jora）。
・福岡県那珂川市・茨城県那珂市の結果が混在したため除外済。</t>
        </is>
      </c>
      <c r="K33" s="22" t="inlineStr">
        <is>
          <t>・圏域計画・町計画がR9年度末で同時に終期：町単独計画をどこまで圏域計画に統合するか（小規模町の負担軽減）の方針と、改定時期・予算化の見込みを伺う。
・なかちゃん号（日平均31.7人）と馬頭烏山線（運行会社変更R6.10）の実績を踏まえた次期の運行形態（AIデマンド化、JR烏山駅接続強化、事業者確保策）を提案軸に。
・第3次総合振興計画（R8〜）策定直後のタイミングで、環境基本計画（後期計画）の終期確認と、交通・環境計画の一体的見直し（運輸部門脱炭素・過疎対策）を切り口に。</t>
        </is>
      </c>
      <c r="L33" s="26" t="inlineStr">
        <is>
          <t>https://www.town.tochigi-nakagawa.lg.jp/life/kurashi/2023-0331-0958-5.html
https://www.city.nasushiobara.tochigi.jp/soshikikarasagasu/kb/shinoseisakutokeikaku/1/5504.html
https://www.town.tochigi-nakagawa.lg.jp/06seisaku/02zaisei/files/05syuyou.pdf
http://www.town.tochigi-nakagawa.lg.jp/office0042/section-0.html
http://www.town.tochigi-nakagawa.lg.jp/0008/info-0000000423-0.html
https://www.town.tochigi-nakagawa.lg.jp/06seisaku/04etc/index.html
https://www.town.tochigi-nakagawa.lg.jp/0025/genre1-0-001.html
http://www.town.tochigi-nakagawa.lg.jp/office0005/division-0.html
http://www.town.tochigi-nakagawa.lg.jp/0024/info-0000001972-0.html
https://www.kantobus.co.jp/topics/topics.php?id=1168
http://www.town.tochigi-nakagawa.lg.jp/0070/info-0000000309-0.html
https://www.town.tochigi-nakagawa.lg.jp/sangyou/nyuusatsu/buppin.html
https://www.town.tochigi-nakagawa.lg.jp/06seisaku/04etc/files/kasozizoku.pdf
https://labid.jp/projects/8d260a2f-ed2b-49c9-b300-b380e4a5aee5</t>
        </is>
      </c>
      <c r="M33" s="22" t="inlineStr">
        <is>
          <t>町計画・環境基本計画（後期）の計画期間は計画書PDF本文で要確認（WebFetch上限のため未取得）。</t>
        </is>
      </c>
    </row>
    <row r="34"/>
    <row r="35">
      <c r="B35" s="29" t="inlineStr">
        <is>
          <t>凡例</t>
        </is>
      </c>
    </row>
    <row r="36">
      <c r="B36" s="30" t="inlineStr">
        <is>
          <t>黄色＝次期計画に着手済み（策定業務の公告等を確認）／緑＝前回の策定業務の情報あり／根拠URL列は先頭URLのみリンク</t>
        </is>
      </c>
    </row>
  </sheetData>
  <autoFilter ref="A4:M33"/>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s>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sheetPr>
  <dimension ref="A1:L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1" customWidth="1" min="3" max="3"/>
    <col width="22" customWidth="1" min="4" max="4"/>
    <col width="16" customWidth="1" min="5" max="5"/>
    <col width="10" customWidth="1" min="6" max="6"/>
    <col width="26" customWidth="1" min="7" max="7"/>
    <col width="40" customWidth="1" min="8" max="8"/>
    <col width="45" customWidth="1" min="9" max="9"/>
    <col width="38" customWidth="1" min="10" max="10"/>
    <col width="26" customWidth="1" min="11" max="11"/>
    <col width="50" customWidth="1" min="12" max="12"/>
  </cols>
  <sheetData>
    <row r="1">
      <c r="A1" s="1" t="inlineStr">
        <is>
          <t>終期R9年度と判定した計画のファクトチェック結果（2026年10月1日実施）</t>
        </is>
      </c>
    </row>
    <row r="2">
      <c r="A2" s="10" t="inlineStr">
        <is>
          <t>当初調査とは別の検索経路で、計画書・計画ページ等の本文に「計画期間」の記述があるかを確認。検索要約1回のみの場合は「確認できず」とした。</t>
        </is>
      </c>
    </row>
    <row r="4">
      <c r="A4" s="11" t="inlineStr">
        <is>
          <t>No</t>
        </is>
      </c>
      <c r="B4" s="11" t="inlineStr">
        <is>
          <t>県</t>
        </is>
      </c>
      <c r="C4" s="11" t="inlineStr">
        <is>
          <t>市町村</t>
        </is>
      </c>
      <c r="D4" s="11" t="inlineStr">
        <is>
          <t>計画</t>
        </is>
      </c>
      <c r="E4" s="11" t="inlineStr">
        <is>
          <t>当初の主張</t>
        </is>
      </c>
      <c r="F4" s="11" t="inlineStr">
        <is>
          <t>判定</t>
        </is>
      </c>
      <c r="G4" s="11" t="inlineStr">
        <is>
          <t>確認できた期間</t>
        </is>
      </c>
      <c r="H4" s="11" t="inlineStr">
        <is>
          <t>次期計画の着手状況</t>
        </is>
      </c>
      <c r="I4" s="11" t="inlineStr">
        <is>
          <t>根拠（引用）</t>
        </is>
      </c>
      <c r="J4" s="11" t="inlineStr">
        <is>
          <t>根拠URL</t>
        </is>
      </c>
      <c r="K4" s="11" t="inlineStr">
        <is>
          <t>反映内容</t>
        </is>
      </c>
      <c r="L4" s="11" t="inlineStr">
        <is>
          <t>備考</t>
        </is>
      </c>
    </row>
    <row r="5">
      <c r="A5" s="12" t="n">
        <v>1</v>
      </c>
      <c r="B5" s="12" t="inlineStr">
        <is>
          <t>青森県</t>
        </is>
      </c>
      <c r="C5" s="12" t="inlineStr">
        <is>
          <t>五所川原市</t>
        </is>
      </c>
      <c r="D5" s="12" t="inlineStr">
        <is>
          <t>交通</t>
        </is>
      </c>
      <c r="E5" s="12" t="inlineStr">
        <is>
          <t>R5〜R9</t>
        </is>
      </c>
      <c r="F5" s="31" t="inlineStr">
        <is>
          <t>誤り</t>
        </is>
      </c>
      <c r="G5" s="12" t="inlineStr">
        <is>
          <t>R5〜R10（令和5年6月策定、令和10年度までの取組を定める）</t>
        </is>
      </c>
      <c r="H5" s="12" t="inlineStr">
        <is>
          <t>確認できず（次期計画の策定支援業務・パブコメは見当たらず。概要版が gaiyouR7.1/R7.6/R8.1 と更新されており、R8.1時点で計画の変更あり）</t>
        </is>
      </c>
      <c r="I5" s="12" t="inlineStr">
        <is>
          <t>「五所川原市地域公共交通計画」を令和５年６月に策定…令和10年度までに実施する事業を具体化した地域公共交通推進計画（R6〜R10）</t>
        </is>
      </c>
      <c r="J5" s="15" t="inlineStr">
        <is>
          <t>https://www.city.goshogawara.lg.jp/kurashi/machi/files/suishinnkeikaku-gaiyou.ver.pdf</t>
        </is>
      </c>
      <c r="K5" s="12" t="inlineStr">
        <is>
          <t>終期をR10に修正（◎→対象外）</t>
        </is>
      </c>
      <c r="L5" s="12" t="inlineStr">
        <is>
          <t>複数の検索で終期R10（2028年度）と一致: 検索要約「計画期間は令和5〜10年度」、推進計画R6〜R10、利便増進実施計画R7〜R10（ribenzoshin.pdf）。計画書本文の「計画期間」の一文そのものは未取得。概要版R8.1 https://www.city.goshogawara.lg.jp/kurashi/machi/files/gaiyouR8.1.pdf あり（変更版とみられる）。終期R10なら次期計画の着手はR9年度頃の見込み（メイン追加検索2回でも計画書本文の「計画期間」一文は得られず。R10終期は関連計画（推進計画R6〜R10・利便増進実施計画R7〜R10）と要約からの判断で、確度は中。営業利用前に計画書PDFで要確認）</t>
        </is>
      </c>
    </row>
    <row r="6">
      <c r="A6" s="12" t="n">
        <v>2</v>
      </c>
      <c r="B6" s="12" t="inlineStr">
        <is>
          <t>青森県</t>
        </is>
      </c>
      <c r="C6" s="12" t="inlineStr">
        <is>
          <t>十和田市</t>
        </is>
      </c>
      <c r="D6" s="12" t="inlineStr">
        <is>
          <t>交通</t>
        </is>
      </c>
      <c r="E6" s="12" t="inlineStr">
        <is>
          <t>R5〜R9</t>
        </is>
      </c>
      <c r="F6" s="32" t="inlineStr">
        <is>
          <t>正しい</t>
        </is>
      </c>
      <c r="G6" s="12" t="inlineStr">
        <is>
          <t>R5〜R9（2023〜2027年度）</t>
        </is>
      </c>
      <c r="H6" s="12" t="inlineStr">
        <is>
          <t>確認できず（市サイト内検索で次期計画の策定支援プロポーザル・協議会審議は見当たらず。前回はR4年度にプロポーザル https://www.city.towada.lg.jp/kurashi/koutsuu/koutsuukeikaku.html）</t>
        </is>
      </c>
      <c r="I6" s="12" t="inlineStr">
        <is>
          <t>計画期間 令和５（2023）年度～令和９（2027）年度</t>
        </is>
      </c>
      <c r="J6" s="15" t="inlineStr">
        <is>
          <t>https://www.city.towada.lg.jp/kurashi/koutsuu/files/keikaku.pdf</t>
        </is>
      </c>
      <c r="K6" s="12" t="inlineStr"/>
      <c r="L6" s="12" t="inlineStr">
        <is>
          <t>2回の検索で同じ期間表記を確認。前計画は網形成計画（H30〜R4）。前回実績から、次期計画のプロポはR9年度（2027年春〜夏）に出る可能性</t>
        </is>
      </c>
    </row>
    <row r="7">
      <c r="A7" s="12" t="n">
        <v>3</v>
      </c>
      <c r="B7" s="12" t="inlineStr">
        <is>
          <t>青森県</t>
        </is>
      </c>
      <c r="C7" s="12" t="inlineStr">
        <is>
          <t>今別町</t>
        </is>
      </c>
      <c r="D7" s="12" t="inlineStr">
        <is>
          <t>交通</t>
        </is>
      </c>
      <c r="E7" s="12" t="inlineStr">
        <is>
          <t>R5〜R9</t>
        </is>
      </c>
      <c r="F7" s="32" t="inlineStr">
        <is>
          <t>正しい</t>
        </is>
      </c>
      <c r="G7" s="12" t="inlineStr">
        <is>
          <t>R5〜R9（5年間）</t>
        </is>
      </c>
      <c r="H7" s="12" t="inlineStr">
        <is>
          <t>確認できず（次期計画の策定業務・アンケートは見当たらず。ただしJR津軽線蟹田以北について、代行バス・わんタク・町営バス等を統合した自動車交通を令和9年4月1日から運行予定（広報今別733号 https://www.town.imabetsu.lg.jp/gyousei/kouhou/files/733.pdf）で、計画の見直しに関わる動きがある）</t>
        </is>
      </c>
      <c r="I7" s="12" t="inlineStr">
        <is>
          <t>計画期間は令和５年度から令和９年度までの５年間</t>
        </is>
      </c>
      <c r="J7" s="15" t="inlineStr">
        <is>
          <t>https://www.town.imabetsu.lg.jp/gyousei/koukai/2023-0828-1639-1.html</t>
        </is>
      </c>
      <c r="K7" s="12" t="inlineStr"/>
      <c r="L7" s="12" t="inlineStr">
        <is>
          <t>最初の検索要約にあった「R7〜R16」は第6次総合計画との取り違え。概要版 https://www.town.imabetsu.lg.jp/gyousei/koukai/files/imabetumati_tiikikokyoukoutuuplan_gaiyo.pdf あり。当別町（北海道）と取り違える検索結果が多い</t>
        </is>
      </c>
    </row>
    <row r="8">
      <c r="A8" s="12" t="n">
        <v>4</v>
      </c>
      <c r="B8" s="12" t="inlineStr">
        <is>
          <t>青森県</t>
        </is>
      </c>
      <c r="C8" s="12" t="inlineStr">
        <is>
          <t>大鰐町</t>
        </is>
      </c>
      <c r="D8" s="12" t="inlineStr">
        <is>
          <t>交通</t>
        </is>
      </c>
      <c r="E8" s="12" t="inlineStr">
        <is>
          <t>R5〜R9</t>
        </is>
      </c>
      <c r="F8" s="33" t="inlineStr">
        <is>
          <t>確認できず</t>
        </is>
      </c>
      <c r="G8" s="12" t="n"/>
      <c r="H8" s="12" t="inlineStr">
        <is>
          <t>確認できず（関連: 弘南鉄道大鰐線は2028年3月末で運行休止と発表され、代替交通は県主催の検討会議で調整中 https://trafficnews.jp/post/592513）</t>
        </is>
      </c>
      <c r="I8" s="12" t="inlineStr">
        <is>
          <t>大鰐町地域公共交通計画 R5.5.pdf（令和5年5月策定。期間の記述は検索結果に出ず）</t>
        </is>
      </c>
      <c r="J8" s="15" t="inlineStr">
        <is>
          <t>http://www.town.owani.lg.jp/aboutowani/plan/kokyo-kotsu.html</t>
        </is>
      </c>
      <c r="K8" s="12" t="inlineStr">
        <is>
          <t>「推定」に格下げ</t>
        </is>
      </c>
      <c r="L8" s="12" t="inlineStr">
        <is>
          <t>R5.5策定で、R5〜R9はありうるが本文で未確認。WebFetchは町サイトでブロック。検索に大鰐町地域公共交通計画案策定支援業務のプロポーザルページ http://www.town.owani.lg.jp/news/index.cfm/detail.1.12187.html が出たが、現行計画策定時（R4頃）のものとみられ日付は未確認</t>
        </is>
      </c>
    </row>
    <row r="9">
      <c r="A9" s="12" t="n">
        <v>5</v>
      </c>
      <c r="B9" s="12" t="inlineStr">
        <is>
          <t>青森県</t>
        </is>
      </c>
      <c r="C9" s="12" t="inlineStr">
        <is>
          <t>中泊町</t>
        </is>
      </c>
      <c r="D9" s="12" t="inlineStr">
        <is>
          <t>交通</t>
        </is>
      </c>
      <c r="E9" s="12" t="inlineStr">
        <is>
          <t>R5〜R9</t>
        </is>
      </c>
      <c r="F9" s="32" t="inlineStr">
        <is>
          <t>正しい</t>
        </is>
      </c>
      <c r="G9" s="12" t="inlineStr">
        <is>
          <t>R5〜R9</t>
        </is>
      </c>
      <c r="H9" s="12" t="inlineStr">
        <is>
          <t>確認できず（町のプロポーザル一覧に交通計画関連は見当たらず）</t>
        </is>
      </c>
      <c r="I9" s="12" t="inlineStr">
        <is>
          <t>中泊町地域公共交通計画の計画期間は令和5年度から令和9年度まで（計画書 koutuukeikakur6.pdf「令和５年４月」）</t>
        </is>
      </c>
      <c r="J9" s="15" t="inlineStr">
        <is>
          <t>https://www.town.nakadomari.lg.jp/soshikikarasagasu/sogosenryakuka/gyomuannai/5/1/1/4311.html</t>
        </is>
      </c>
      <c r="K9" s="12" t="inlineStr"/>
      <c r="L9" s="12" t="inlineStr">
        <is>
          <t>町サイトに絞った検索3回で一貫してR5〜R9（5年間）。計画書PDFは https://www.town.nakadomari.lg.jp/material/files/group/3/koutuukeikakur6.pdf。WebFetchはブロック。根拠は検索結果の抜粋・要約で、PDF本文は直接取得していない</t>
        </is>
      </c>
    </row>
    <row r="10">
      <c r="A10" s="12" t="n">
        <v>6</v>
      </c>
      <c r="B10" s="12" t="inlineStr">
        <is>
          <t>岩手県</t>
        </is>
      </c>
      <c r="C10" s="12" t="inlineStr">
        <is>
          <t>久慈市</t>
        </is>
      </c>
      <c r="D10" s="12" t="inlineStr">
        <is>
          <t>交通</t>
        </is>
      </c>
      <c r="E10" s="12" t="inlineStr">
        <is>
          <t>H30〜R9</t>
        </is>
      </c>
      <c r="F10" s="33" t="inlineStr">
        <is>
          <t>確認できず</t>
        </is>
      </c>
      <c r="G10" s="12" t="n"/>
      <c r="H10" s="12" t="inlineStr">
        <is>
          <t>確認できず</t>
        </is>
      </c>
      <c r="I10" s="12" t="inlineStr">
        <is>
          <t>「久慈市地域公共交通計画」を策定しました（令和6年3月策定）— 計画期間の記述は検索結果本文に出ず</t>
        </is>
      </c>
      <c r="J10" s="15" t="inlineStr">
        <is>
          <t>https://www.city.kuji.lg.jp/soshiki/chiikizukurishinko/1/6/1/1835.html</t>
        </is>
      </c>
      <c r="K10" s="12" t="inlineStr">
        <is>
          <t>「推定」に格下げ</t>
        </is>
      </c>
      <c r="L10" s="12" t="inlineStr">
        <is>
          <t>R6.3策定の法定計画で始期H30は不自然（旧網形成計画H30〜との混同の疑い濃厚）。市サイト/PDFはWebFetch・curlとも egress 403で本文未確認。5回検索しても期間記述なし。R5.9.22岩手県地域公共交通活性化協議会県北部会で骨子案検討（https://www.pref.iwate.jp/_res/projects/default_project/_page_/001/070/460/050922kenpoku_gijiyoushi.pdf）の記載あり。要一次資料確認（R6〜R10等の可能性）。</t>
        </is>
      </c>
    </row>
    <row r="11">
      <c r="A11" s="12" t="n">
        <v>7</v>
      </c>
      <c r="B11" s="12" t="inlineStr">
        <is>
          <t>宮城県</t>
        </is>
      </c>
      <c r="C11" s="12" t="inlineStr">
        <is>
          <t>白石市</t>
        </is>
      </c>
      <c r="D11" s="12" t="inlineStr">
        <is>
          <t>交通</t>
        </is>
      </c>
      <c r="E11" s="12" t="inlineStr">
        <is>
          <t>R5〜R9（推定）</t>
        </is>
      </c>
      <c r="F11" s="32" t="inlineStr">
        <is>
          <t>正しい</t>
        </is>
      </c>
      <c r="G11" s="12" t="inlineStr">
        <is>
          <t>R5〜R9（令和5年度〜令和9年度の5年間、R5.3策定）</t>
        </is>
      </c>
      <c r="H11" s="12" t="inlineStr">
        <is>
          <t>着手済の可能性高：「白石市地域公共交通計画策定調査に係る公募型プロポーザル」（2026-07-14更新、募集終了）が市サイト まちづくり推進課/入札・契約情報に掲載（https://www.city.shiroishi.miyagi.jp/soshiki/17/ 、https://www.city.shiroishi.miyagi.jp/life/sub/12/13/74/）。個別ページURLは未取得</t>
        </is>
      </c>
      <c r="I11" s="12" t="inlineStr">
        <is>
          <t>令和5年3月に策定…令和5年度から令和9年度までの5年間</t>
        </is>
      </c>
      <c r="J11" s="15" t="inlineStr">
        <is>
          <t>https://www.city.shiroishi.miyagi.jp/soshiki/17/27078.html</t>
        </is>
      </c>
      <c r="K11" s="12" t="inlineStr">
        <is>
          <t>改定状況を「着手済」に更新（◎→△）</t>
        </is>
      </c>
      <c r="L11" s="12" t="inlineStr">
        <is>
          <t>市公式ページ（2回の検索）で期間を確認。旧網形成計画ページ（9137.html）とは別。</t>
        </is>
      </c>
    </row>
    <row r="12">
      <c r="A12" s="12" t="n">
        <v>8</v>
      </c>
      <c r="B12" s="12" t="inlineStr">
        <is>
          <t>宮城県</t>
        </is>
      </c>
      <c r="C12" s="12" t="inlineStr">
        <is>
          <t>名取市</t>
        </is>
      </c>
      <c r="D12" s="12" t="inlineStr">
        <is>
          <t>交通</t>
        </is>
      </c>
      <c r="E12" s="12" t="inlineStr">
        <is>
          <t>R5〜R9</t>
        </is>
      </c>
      <c r="F12" s="32" t="inlineStr">
        <is>
          <t>正しい</t>
        </is>
      </c>
      <c r="G12" s="12" t="inlineStr">
        <is>
          <t>R5〜R9（令和5年度～令和9年度の5ヶ年、R5.3.28策定）</t>
        </is>
      </c>
      <c r="H12" s="12" t="inlineStr">
        <is>
          <t>確認できず（令和8年度協議会 R8.8.25開催の議題は『計画の取組状況について』のみ／https://www.city.natori.miyagi.jp/page/45227.html）</t>
        </is>
      </c>
      <c r="I12" s="12" t="inlineStr">
        <is>
          <t>計画期間は令和5年度（2023年度）～令和9年度（2027年度）の5ヶ年</t>
        </is>
      </c>
      <c r="J12" s="15" t="inlineStr">
        <is>
          <t>https://www.city.natori.miyagi.jp/page/4327.html</t>
        </is>
      </c>
      <c r="K12" s="12" t="inlineStr"/>
      <c r="L12" s="12" t="inlineStr">
        <is>
          <t>市公式ページで複数回確認。</t>
        </is>
      </c>
    </row>
    <row r="13">
      <c r="A13" s="12" t="n">
        <v>9</v>
      </c>
      <c r="B13" s="12" t="inlineStr">
        <is>
          <t>秋田県</t>
        </is>
      </c>
      <c r="C13" s="12" t="inlineStr">
        <is>
          <t>秋田市</t>
        </is>
      </c>
      <c r="D13" s="12" t="inlineStr">
        <is>
          <t>環境</t>
        </is>
      </c>
      <c r="E13" s="12" t="inlineStr">
        <is>
          <t>H30〜R9</t>
        </is>
      </c>
      <c r="F13" s="32" t="inlineStr">
        <is>
          <t>正しい</t>
        </is>
      </c>
      <c r="G13" s="12" t="inlineStr">
        <is>
          <t>H30〜R9（平成30年度〜令和9年度の10年間、R5.3中間見直し）</t>
        </is>
      </c>
      <c r="H13" s="12" t="inlineStr">
        <is>
          <t>着手済：第45回秋田市環境審議会（令和8年3月24日）議題「秋田市環境基本計画の改定について」（資料1あり）https://www.city.akita.lg.jp/kurashi/recycle/1016631/1006116.html</t>
        </is>
      </c>
      <c r="I13" s="12" t="inlineStr">
        <is>
          <t>計画期間は平成30年度から令和9年度までの10年間</t>
        </is>
      </c>
      <c r="J13" s="15" t="inlineStr">
        <is>
          <t>https://www.city.akita.lg.jp/_res/projects/default_project/_page_/001/006/108/r2-1nenhoukoku.pdf</t>
        </is>
      </c>
      <c r="K13" s="12" t="inlineStr">
        <is>
          <t>改定状況を「着手済」に更新（◎→△）</t>
        </is>
      </c>
      <c r="L13" s="12" t="inlineStr">
        <is>
          <t>年次報告書・計画ページ（1006108.html）の検索結果で確認。中間見直しで終期変更なし。</t>
        </is>
      </c>
    </row>
    <row r="14">
      <c r="A14" s="12" t="n">
        <v>10</v>
      </c>
      <c r="B14" s="12" t="inlineStr">
        <is>
          <t>秋田県</t>
        </is>
      </c>
      <c r="C14" s="12" t="inlineStr">
        <is>
          <t>能代市</t>
        </is>
      </c>
      <c r="D14" s="12" t="inlineStr">
        <is>
          <t>環境</t>
        </is>
      </c>
      <c r="E14" s="12" t="inlineStr">
        <is>
          <t>H30〜R9</t>
        </is>
      </c>
      <c r="F14" s="32" t="inlineStr">
        <is>
          <t>正しい</t>
        </is>
      </c>
      <c r="G14" s="12" t="inlineStr">
        <is>
          <t>H30〜R9（平成30年度〜令和9年度の10年間、R5.3中間見直し）</t>
        </is>
      </c>
      <c r="H14" s="12" t="inlineStr">
        <is>
          <t>確認できず</t>
        </is>
      </c>
      <c r="I14" s="12" t="inlineStr">
        <is>
          <t>平成30年度を初年度とし、令和9年度を目標とする10年間</t>
        </is>
      </c>
      <c r="J14" s="15" t="inlineStr">
        <is>
          <t>https://www.city.noshiro.lg.jp/sangyo/kankyo/keikaku/22091</t>
        </is>
      </c>
      <c r="K14" s="12" t="inlineStr"/>
      <c r="L14" s="12" t="inlineStr">
        <is>
          <t>市サイト検索2回で同じ期間。R5.3の見直しは重点施策の指標目標のみで終期不変。次期（第3次）計画の着手情報は見つからず。</t>
        </is>
      </c>
    </row>
    <row r="15">
      <c r="A15" s="12" t="n">
        <v>11</v>
      </c>
      <c r="B15" s="12" t="inlineStr">
        <is>
          <t>秋田県</t>
        </is>
      </c>
      <c r="C15" s="12" t="inlineStr">
        <is>
          <t>大館市</t>
        </is>
      </c>
      <c r="D15" s="12" t="inlineStr">
        <is>
          <t>交通</t>
        </is>
      </c>
      <c r="E15" s="12" t="inlineStr">
        <is>
          <t>H30〜R9</t>
        </is>
      </c>
      <c r="F15" s="32" t="inlineStr">
        <is>
          <t>正しい</t>
        </is>
      </c>
      <c r="G15" s="12" t="inlineStr">
        <is>
          <t>H30〜R9（2018年度～2027年度）</t>
        </is>
      </c>
      <c r="H15" s="12" t="inlineStr">
        <is>
          <t>確認できず（R7に利便増進実施計画（2025～2027年度）を策定済。次期計画の策定業務・協議会審議は未確認）</t>
        </is>
      </c>
      <c r="I15" s="12" t="inlineStr">
        <is>
          <t>大館市地域公共交通計画 平成30(2018)年3月 (令和7(2025)年3月改定)／計画期間は2018年度～2027年度（令和9年度）</t>
        </is>
      </c>
      <c r="J15" s="15" t="inlineStr">
        <is>
          <t>https://www.city.odate.lg.jp/uploads/public/pages_0000011901_00/R07.8%E6%9C%88%E6%94%B9%E6%AD%A3.%E5%A4%A7%E9%A4%A8%E5%B8%82%E5%9C%B0%E5%9F%9F%E5%85%AC%E5%85%B1%E4%BA%A4%E8%A8%88%E7%94%BB_.pdf</t>
        </is>
      </c>
      <c r="K15" s="12" t="inlineStr"/>
      <c r="L15" s="12" t="inlineStr">
        <is>
          <t>PDF表紙は「令和7(2025)年3月改定」、ファイル名は「R07.8月改正」。同時に大館市地域公共交通利便増進実施計画（2025～2027年度）も策定。関連ページ https://www.city.odate.lg.jp/city/soshiki/koutsu/p11901</t>
        </is>
      </c>
    </row>
    <row r="16">
      <c r="A16" s="12" t="n">
        <v>12</v>
      </c>
      <c r="B16" s="12" t="inlineStr">
        <is>
          <t>秋田県</t>
        </is>
      </c>
      <c r="C16" s="12" t="inlineStr">
        <is>
          <t>鹿角市</t>
        </is>
      </c>
      <c r="D16" s="12" t="inlineStr">
        <is>
          <t>交通</t>
        </is>
      </c>
      <c r="E16" s="12" t="inlineStr">
        <is>
          <t>R5〜R9</t>
        </is>
      </c>
      <c r="F16" s="33" t="inlineStr">
        <is>
          <t>確認できず</t>
        </is>
      </c>
      <c r="G16" s="12" t="inlineStr">
        <is>
          <t>R5〜R9（要約のみ）</t>
        </is>
      </c>
      <c r="H16" s="12" t="inlineStr">
        <is>
          <t>確認できず</t>
        </is>
      </c>
      <c r="I16" s="12" t="inlineStr">
        <is>
          <t>鹿角市地域公共交通計画（素案）パブリックコメント募集（2023/1/23～2/22）…計画期間は令和5年度～令和9年度（検索要約）</t>
        </is>
      </c>
      <c r="J16" s="15" t="inlineStr">
        <is>
          <t>https://realtime-nippon.com/archives/052094230123001/</t>
        </is>
      </c>
      <c r="K16" s="12" t="inlineStr">
        <is>
          <t>「推定」に格下げ</t>
        </is>
      </c>
      <c r="L16" s="12" t="inlineStr">
        <is>
          <t>R5〜R9はほぼ確実（素案パブコメがR5.1〜2で後継計画）だが、期間の記述は検索要約1件のみで本文未確認。別検索の要約は北秋田市ページの文言を流用した誤要約とみられ根拠にしない。計画ページ https://www.city.kazuno.lg.jp/soshiki/shiminkyodo/kankyoseikatsu/gyomu/2/3/10092.html はフェッチ不可。</t>
        </is>
      </c>
    </row>
    <row r="17">
      <c r="A17" s="12" t="n">
        <v>13</v>
      </c>
      <c r="B17" s="12" t="inlineStr">
        <is>
          <t>秋田県</t>
        </is>
      </c>
      <c r="C17" s="12" t="inlineStr">
        <is>
          <t>北秋田市</t>
        </is>
      </c>
      <c r="D17" s="12" t="inlineStr">
        <is>
          <t>交通</t>
        </is>
      </c>
      <c r="E17" s="12" t="inlineStr">
        <is>
          <t>R5〜R9</t>
        </is>
      </c>
      <c r="F17" s="32" t="inlineStr">
        <is>
          <t>正しい</t>
        </is>
      </c>
      <c r="G17" s="12" t="inlineStr">
        <is>
          <t>R5〜R9</t>
        </is>
      </c>
      <c r="H17" s="12" t="inlineStr">
        <is>
          <t>確認できず</t>
        </is>
      </c>
      <c r="I17" s="12" t="inlineStr">
        <is>
          <t>「北秋田市地域公共交通計画(令和5年度~令和9年度)」を策定しました。…「北秋田市地域公共交通網形成計画(平成30年度~令和4年度)」にかわり</t>
        </is>
      </c>
      <c r="J17" s="15" t="inlineStr">
        <is>
          <t>https://www.city.kitaakita.akita.jp/news/p15700</t>
        </is>
      </c>
      <c r="K17" s="12" t="inlineStr"/>
      <c r="L17" s="12" t="inlineStr">
        <is>
          <t>同一文言が複数検索で繰り返し返された。計画書PDF: https://www.city.kitaakita.akita.jp/uploads/public/news_0000015700_00/koukyoukoutsukeikaku.pdf</t>
        </is>
      </c>
    </row>
    <row r="18">
      <c r="A18" s="12" t="n">
        <v>14</v>
      </c>
      <c r="B18" s="12" t="inlineStr">
        <is>
          <t>秋田県</t>
        </is>
      </c>
      <c r="C18" s="12" t="inlineStr">
        <is>
          <t>北秋田市</t>
        </is>
      </c>
      <c r="D18" s="12" t="inlineStr">
        <is>
          <t>環境</t>
        </is>
      </c>
      <c r="E18" s="12" t="inlineStr">
        <is>
          <t>H30〜R9</t>
        </is>
      </c>
      <c r="F18" s="31" t="inlineStr">
        <is>
          <t>誤り</t>
        </is>
      </c>
      <c r="G18" s="12" t="inlineStr">
        <is>
          <t>〜R8（「平成28年度から令和8年度までの10年間」と要約。10年間ならH29〜R8の可能性）</t>
        </is>
      </c>
      <c r="H18" s="12" t="inlineStr">
        <is>
          <t>確認できず（終期R8＝今年度のため次期計画策定が進行中の可能性が高いが、策定業務公告・審議会・アンケートは検索で見つからず）</t>
        </is>
      </c>
      <c r="I18" s="12" t="inlineStr">
        <is>
          <t>現行の環境基本計画は平成28年度から令和8年度までの10年間…令和3年7月13日第1回環境審議会で中間（5年）見直しを審議</t>
        </is>
      </c>
      <c r="J18" s="15" t="inlineStr">
        <is>
          <t>https://www.city.kitaakita.akita.jp/archive/p13109</t>
        </is>
      </c>
      <c r="K18" s="12" t="inlineStr">
        <is>
          <t>終期をR8に修正（交通計画で◎は維持）</t>
        </is>
      </c>
      <c r="L18" s="12" t="inlineStr">
        <is>
          <t>終期はR8（今年度）で主張のR9と異なる。3回の独立検索で一貫して令和8年度終期。策定経過はH28.7市民アンケート→H28.12〜H29.1パブコメ→H29.2.13答申で、H30開始説とも整合しない。始期はH28/H29で要確認（本文PDF 001_kankyoukihonkeikaku.pdf 未閲覧）。（メイン追加検索でも、R3.7第1回環境審議会の市長発言「現行の基本計画は、平成28年度から令和8年度までの10年間」を確認: https://www.city.kitaakita.akita.jp/archive/p13109）</t>
        </is>
      </c>
    </row>
    <row r="19">
      <c r="A19" s="12" t="n">
        <v>15</v>
      </c>
      <c r="B19" s="12" t="inlineStr">
        <is>
          <t>秋田県</t>
        </is>
      </c>
      <c r="C19" s="12" t="inlineStr">
        <is>
          <t>五城目町</t>
        </is>
      </c>
      <c r="D19" s="12" t="inlineStr">
        <is>
          <t>交通</t>
        </is>
      </c>
      <c r="E19" s="12" t="inlineStr">
        <is>
          <t>R5〜R9</t>
        </is>
      </c>
      <c r="F19" s="32" t="inlineStr">
        <is>
          <t>正しい</t>
        </is>
      </c>
      <c r="G19" s="12" t="inlineStr">
        <is>
          <t>R5〜R9（令和5年度～令和9年度、5年間）</t>
        </is>
      </c>
      <c r="H19" s="12" t="inlineStr">
        <is>
          <t>確認できず（協議会での次期計画審議・策定業務の公告は検索で見つからず）</t>
        </is>
      </c>
      <c r="I19" s="12" t="inlineStr">
        <is>
          <t>南秋地域公共交通計画を策定しました - 五城目町／計画期間は令和５年度～令和９年度（5年間）（南秋地域公共交通網形成計画の後継、令和5年6月策定）</t>
        </is>
      </c>
      <c r="J19" s="15" t="inlineStr">
        <is>
          <t>https://www.town.gojome.akita.jp/kurashi/koukyoukoutsu/2085</t>
        </is>
      </c>
      <c r="K19" s="12" t="inlineStr"/>
      <c r="L19" s="12" t="inlineStr">
        <is>
          <t>五城目町・八郎潟町・大潟村の共同計画（南秋地域公共交通活性化協議会）。3件同一判定。期間の記述はextended検索の本文要約1件（五城目町ページ）＋令和5年6月策定の複数結果と整合。</t>
        </is>
      </c>
    </row>
    <row r="20">
      <c r="A20" s="12" t="n">
        <v>16</v>
      </c>
      <c r="B20" s="12" t="inlineStr">
        <is>
          <t>秋田県</t>
        </is>
      </c>
      <c r="C20" s="12" t="inlineStr">
        <is>
          <t>八郎潟町</t>
        </is>
      </c>
      <c r="D20" s="12" t="inlineStr">
        <is>
          <t>交通</t>
        </is>
      </c>
      <c r="E20" s="12" t="inlineStr">
        <is>
          <t>R5〜R9</t>
        </is>
      </c>
      <c r="F20" s="32" t="inlineStr">
        <is>
          <t>正しい</t>
        </is>
      </c>
      <c r="G20" s="12" t="inlineStr">
        <is>
          <t>R5〜R9（令和5年度～令和9年度、5年間）</t>
        </is>
      </c>
      <c r="H20" s="12" t="inlineStr">
        <is>
          <t>確認できず（協議会での次期計画審議・策定業務の公告は検索で見つからず）</t>
        </is>
      </c>
      <c r="I20" s="12" t="inlineStr">
        <is>
          <t>南秋地域公共交通計画を策定しました - 五城目町／計画期間は令和５年度～令和９年度（5年間）（南秋地域公共交通網形成計画の後継、令和5年6月策定）</t>
        </is>
      </c>
      <c r="J20" s="15" t="inlineStr">
        <is>
          <t>https://www.town.gojome.akita.jp/kurashi/koukyoukoutsu/2085</t>
        </is>
      </c>
      <c r="K20" s="12" t="inlineStr"/>
      <c r="L20" s="12" t="inlineStr">
        <is>
          <t>五城目町・八郎潟町・大潟村の共同計画（南秋地域公共交通活性化協議会）。3件同一判定。期間の記述はextended検索の本文要約1件（五城目町ページ）＋令和5年6月策定の複数結果と整合。</t>
        </is>
      </c>
    </row>
    <row r="21">
      <c r="A21" s="12" t="n">
        <v>17</v>
      </c>
      <c r="B21" s="12" t="inlineStr">
        <is>
          <t>秋田県</t>
        </is>
      </c>
      <c r="C21" s="12" t="inlineStr">
        <is>
          <t>大潟村</t>
        </is>
      </c>
      <c r="D21" s="12" t="inlineStr">
        <is>
          <t>交通</t>
        </is>
      </c>
      <c r="E21" s="12" t="inlineStr">
        <is>
          <t>R5〜R9</t>
        </is>
      </c>
      <c r="F21" s="32" t="inlineStr">
        <is>
          <t>正しい</t>
        </is>
      </c>
      <c r="G21" s="12" t="inlineStr">
        <is>
          <t>R5〜R9（令和5年度～令和9年度、5年間）</t>
        </is>
      </c>
      <c r="H21" s="12" t="inlineStr">
        <is>
          <t>確認できず（協議会での次期計画審議・策定業務の公告は検索で見つからず）</t>
        </is>
      </c>
      <c r="I21" s="12" t="inlineStr">
        <is>
          <t>南秋地域公共交通計画を策定しました - 五城目町／計画期間は令和５年度～令和９年度（5年間）（南秋地域公共交通網形成計画の後継、令和5年6月策定）</t>
        </is>
      </c>
      <c r="J21" s="15" t="inlineStr">
        <is>
          <t>https://www.town.gojome.akita.jp/kurashi/koukyoukoutsu/2085</t>
        </is>
      </c>
      <c r="K21" s="12" t="inlineStr"/>
      <c r="L21" s="12" t="inlineStr">
        <is>
          <t>五城目町・八郎潟町・大潟村の共同計画（南秋地域公共交通活性化協議会）。3件同一判定。期間の記述はextended検索の本文要約1件（五城目町ページ）＋令和5年6月策定の複数結果と整合。</t>
        </is>
      </c>
    </row>
    <row r="22">
      <c r="A22" s="12" t="n">
        <v>18</v>
      </c>
      <c r="B22" s="12" t="inlineStr">
        <is>
          <t>山形県</t>
        </is>
      </c>
      <c r="C22" s="12" t="inlineStr">
        <is>
          <t>村山市</t>
        </is>
      </c>
      <c r="D22" s="12" t="inlineStr">
        <is>
          <t>環境</t>
        </is>
      </c>
      <c r="E22" s="12" t="inlineStr">
        <is>
          <t>H30〜R9</t>
        </is>
      </c>
      <c r="F22" s="32" t="inlineStr">
        <is>
          <t>正しい</t>
        </is>
      </c>
      <c r="G22" s="12" t="inlineStr">
        <is>
          <t>H30〜R9（平成30年度〜平成39年度）</t>
        </is>
      </c>
      <c r="H22" s="12" t="inlineStr">
        <is>
          <t>確認できず（市サイト内で第3次計画・アンケート等の情報見当たらず）</t>
        </is>
      </c>
      <c r="I22" s="12" t="inlineStr">
        <is>
          <t>村山市環境基本計画（第２次）平成30年3月策定、計画期間は平成30年度から平成39年度までの10年間。5年後を目途に見直し</t>
        </is>
      </c>
      <c r="J22" s="15" t="inlineStr">
        <is>
          <t>https://www.city.murayama.lg.jp/kurashi/shizen/kankyohozen/kankyoukihon.files/kankyou-2.pdf</t>
        </is>
      </c>
      <c r="K22" s="12" t="inlineStr"/>
      <c r="L22" s="12" t="inlineStr">
        <is>
          <t>武蔵村山市と混同注意（一般検索は武蔵村山市が優先表示）。平成39年度=令和9年度</t>
        </is>
      </c>
    </row>
    <row r="23">
      <c r="A23" s="12" t="n">
        <v>19</v>
      </c>
      <c r="B23" s="12" t="inlineStr">
        <is>
          <t>山形県</t>
        </is>
      </c>
      <c r="C23" s="12" t="inlineStr">
        <is>
          <t>朝日町</t>
        </is>
      </c>
      <c r="D23" s="12" t="inlineStr">
        <is>
          <t>環境</t>
        </is>
      </c>
      <c r="E23" s="12" t="inlineStr">
        <is>
          <t>H30〜R9</t>
        </is>
      </c>
      <c r="F23" s="32" t="inlineStr">
        <is>
          <t>正しい</t>
        </is>
      </c>
      <c r="G23" s="12" t="inlineStr">
        <is>
          <t>H30〜R9（2018〜2027年度）</t>
        </is>
      </c>
      <c r="H23" s="12" t="inlineStr">
        <is>
          <t>確認できず（第3次計画の情報なし）</t>
        </is>
      </c>
      <c r="I23" s="12" t="inlineStr">
        <is>
          <t>第2次朝日町環境基本計画 平成30年3月策定、計画期間 2018年度（平成30年度）～2027年度（令和9年度）</t>
        </is>
      </c>
      <c r="J23" s="15" t="inlineStr">
        <is>
          <t>https://www.town.asahi.yamagata.jp/portal/soshikinogoannai/somuka/bosaigakari/3_1/3/2438.html</t>
        </is>
      </c>
      <c r="K23" s="12" t="inlineStr"/>
      <c r="L23" s="12" t="inlineStr">
        <is>
          <t>山形県西村山郡朝日町。策定後6年経過で見直し版を策定（期間は変わらずR9まで）。2件の独立検索で同一期間を確認</t>
        </is>
      </c>
    </row>
    <row r="24">
      <c r="A24" s="12" t="n">
        <v>20</v>
      </c>
      <c r="B24" s="12" t="inlineStr">
        <is>
          <t>福島県</t>
        </is>
      </c>
      <c r="C24" s="12" t="inlineStr">
        <is>
          <t>福島市</t>
        </is>
      </c>
      <c r="D24" s="12" t="inlineStr">
        <is>
          <t>交通</t>
        </is>
      </c>
      <c r="E24" s="12" t="inlineStr">
        <is>
          <t>R5〜R9</t>
        </is>
      </c>
      <c r="F24" s="31" t="inlineStr">
        <is>
          <t>誤り</t>
        </is>
      </c>
      <c r="G24" s="12" t="inlineStr">
        <is>
          <t>R5〜R12（2023〜2030年度、8年間）</t>
        </is>
      </c>
      <c r="H24" s="12" t="inlineStr">
        <is>
          <t>該当なし（終期R12のため次期計画は当面なし）</t>
        </is>
      </c>
      <c r="I24" s="12" t="inlineStr">
        <is>
          <t>県計画と連携して推進する事業があるため、計画の終了時期を県計画に準拠することとし、令和5年度（2023年度）～令和12年度（2030年度）の8年間</t>
        </is>
      </c>
      <c r="J24" s="15" t="inlineStr">
        <is>
          <t>https://www.city.fukushima.fukushima.jp/material/files/group/62/40koutuukeikaku-honnpenn1.pdf</t>
        </is>
      </c>
      <c r="K24" s="12" t="inlineStr">
        <is>
          <t>終期をR12に修正（◎→対象外）</t>
        </is>
      </c>
      <c r="L24" s="12" t="inlineStr">
        <is>
          <t>2回の独立検索で同一記述。改定資料 20250226koutuukeikakukaitei1-3.pdf も検索結果に出現（改定で期間延長の可能性）。WebFetchはegressブロック</t>
        </is>
      </c>
    </row>
    <row r="25">
      <c r="A25" s="12" t="n">
        <v>21</v>
      </c>
      <c r="B25" s="12" t="inlineStr">
        <is>
          <t>福島県</t>
        </is>
      </c>
      <c r="C25" s="12" t="inlineStr">
        <is>
          <t>いわき市</t>
        </is>
      </c>
      <c r="D25" s="12" t="inlineStr">
        <is>
          <t>交通</t>
        </is>
      </c>
      <c r="E25" s="12" t="inlineStr">
        <is>
          <t>R5〜R9</t>
        </is>
      </c>
      <c r="F25" s="32" t="inlineStr">
        <is>
          <t>正しい</t>
        </is>
      </c>
      <c r="G25" s="12" t="inlineStr">
        <is>
          <t>R5〜R9（令和5年3月〜令和10年3月、概ね5年間）</t>
        </is>
      </c>
      <c r="H25" s="12" t="inlineStr">
        <is>
          <t>確認できず（次期計画策定業務・協議会での審議情報は見当たらず）</t>
        </is>
      </c>
      <c r="I25" s="12" t="inlineStr">
        <is>
          <t>計画期間は令和５年３月から概ね５年間／令和５年度～令和9年度（R5.3策定、R7.1一部改訂）</t>
        </is>
      </c>
      <c r="J25" s="15" t="inlineStr">
        <is>
          <t>https://www.city.iwaki.lg.jp/www/contents/1679296597893/index.html</t>
        </is>
      </c>
      <c r="K25" s="12" t="inlineStr"/>
      <c r="L25" s="12" t="inlineStr">
        <is>
          <t>起点が令和5年3月（R4年度末）表記だが実質R5〜R9年度</t>
        </is>
      </c>
    </row>
    <row r="26">
      <c r="A26" s="12" t="n">
        <v>22</v>
      </c>
      <c r="B26" s="12" t="inlineStr">
        <is>
          <t>福島県</t>
        </is>
      </c>
      <c r="C26" s="12" t="inlineStr">
        <is>
          <t>鮫川村</t>
        </is>
      </c>
      <c r="D26" s="12" t="inlineStr">
        <is>
          <t>交通</t>
        </is>
      </c>
      <c r="E26" s="12" t="inlineStr">
        <is>
          <t>R5〜R9</t>
        </is>
      </c>
      <c r="F26" s="32" t="inlineStr">
        <is>
          <t>正しい</t>
        </is>
      </c>
      <c r="G26" s="12" t="inlineStr">
        <is>
          <t>R5〜R9</t>
        </is>
      </c>
      <c r="H26" s="12" t="inlineStr">
        <is>
          <t>確認できず（R7年度第1回協議会資料は公開されているが次期計画の記載は確認できず）</t>
        </is>
      </c>
      <c r="I26" s="12" t="inlineStr">
        <is>
          <t>令和5年2月21日に実施した協議会において、鮫川村地域公共交通計画（令和5年度～令和9年度）を策定しました</t>
        </is>
      </c>
      <c r="J26" s="15" t="inlineStr">
        <is>
          <t>https://www.vill.samegawa.fukushima.jp/sp/page/page002592.html</t>
        </is>
      </c>
      <c r="K26" s="12" t="inlineStr"/>
      <c r="L26" s="12" t="inlineStr">
        <is>
          <t>デマンド交通はR7.10から本格運行</t>
        </is>
      </c>
    </row>
    <row r="27">
      <c r="A27" s="12" t="n">
        <v>23</v>
      </c>
      <c r="B27" s="12" t="inlineStr">
        <is>
          <t>福島県</t>
        </is>
      </c>
      <c r="C27" s="12" t="inlineStr">
        <is>
          <t>広野町</t>
        </is>
      </c>
      <c r="D27" s="12" t="inlineStr">
        <is>
          <t>交通</t>
        </is>
      </c>
      <c r="E27" s="12" t="inlineStr">
        <is>
          <t>R5〜R9</t>
        </is>
      </c>
      <c r="F27" s="32" t="inlineStr">
        <is>
          <t>正しい</t>
        </is>
      </c>
      <c r="G27" s="12" t="inlineStr">
        <is>
          <t>R5〜R9（R5.4〜R10.3）</t>
        </is>
      </c>
      <c r="H27" s="12" t="inlineStr">
        <is>
          <t>予定のみ：協議会資料でR8年度に最終評価、R9年度に次期計画（R10.4〜）策定と記載 https://www.pref.fukushima.lg.jp/uploaded/attachment/756354.pdf（策定支援業務の公募等は確認できず）</t>
        </is>
      </c>
      <c r="I27" s="12" t="inlineStr">
        <is>
          <t>計画期間は令和5年4月から令和10年3月31日までの5年間（R5.3策定、R5.5・R6.5・R7.3・R8.3一部改定）</t>
        </is>
      </c>
      <c r="J27" s="15" t="inlineStr">
        <is>
          <t>https://www.pref.fukushima.lg.jp/uploaded/attachment/738677.pdf</t>
        </is>
      </c>
      <c r="K27" s="12" t="inlineStr"/>
      <c r="L27" s="12" t="inlineStr">
        <is>
          <t>福島県策定の福島県避難地域広域公共交通計画（避難12市町村対象）。R6年度に中間見直し。最新改定R8.3.27</t>
        </is>
      </c>
    </row>
    <row r="28">
      <c r="A28" s="12" t="n">
        <v>24</v>
      </c>
      <c r="B28" s="12" t="inlineStr">
        <is>
          <t>福島県</t>
        </is>
      </c>
      <c r="C28" s="12" t="inlineStr">
        <is>
          <t>楢葉町</t>
        </is>
      </c>
      <c r="D28" s="12" t="inlineStr">
        <is>
          <t>交通</t>
        </is>
      </c>
      <c r="E28" s="12" t="inlineStr">
        <is>
          <t>R5〜R9</t>
        </is>
      </c>
      <c r="F28" s="32" t="inlineStr">
        <is>
          <t>正しい</t>
        </is>
      </c>
      <c r="G28" s="12" t="inlineStr">
        <is>
          <t>R5〜R9（R5.4〜R10.3）</t>
        </is>
      </c>
      <c r="H28" s="12" t="inlineStr">
        <is>
          <t>予定のみ：協議会資料でR8年度に最終評価、R9年度に次期計画（R10.4〜）策定と記載 https://www.pref.fukushima.lg.jp/uploaded/attachment/756354.pdf（策定支援業務の公募等は確認できず）</t>
        </is>
      </c>
      <c r="I28" s="12" t="inlineStr">
        <is>
          <t>計画期間は令和5年4月から令和10年3月31日までの5年間（R5.3策定、R5.5・R6.5・R7.3・R8.3一部改定）</t>
        </is>
      </c>
      <c r="J28" s="15" t="inlineStr">
        <is>
          <t>https://www.pref.fukushima.lg.jp/uploaded/attachment/738677.pdf</t>
        </is>
      </c>
      <c r="K28" s="12" t="inlineStr"/>
      <c r="L28" s="12" t="inlineStr">
        <is>
          <t>福島県策定の福島県避難地域広域公共交通計画（避難12市町村対象）。R6年度に中間見直し。最新改定R8.3.27</t>
        </is>
      </c>
    </row>
    <row r="29">
      <c r="A29" s="12" t="n">
        <v>25</v>
      </c>
      <c r="B29" s="12" t="inlineStr">
        <is>
          <t>福島県</t>
        </is>
      </c>
      <c r="C29" s="12" t="inlineStr">
        <is>
          <t>富岡町</t>
        </is>
      </c>
      <c r="D29" s="12" t="inlineStr">
        <is>
          <t>交通</t>
        </is>
      </c>
      <c r="E29" s="12" t="inlineStr">
        <is>
          <t>R5〜R9</t>
        </is>
      </c>
      <c r="F29" s="32" t="inlineStr">
        <is>
          <t>正しい</t>
        </is>
      </c>
      <c r="G29" s="12" t="inlineStr">
        <is>
          <t>R5〜R9（R5.4〜R10.3）</t>
        </is>
      </c>
      <c r="H29" s="12" t="inlineStr">
        <is>
          <t>予定のみ：協議会資料でR8年度に最終評価、R9年度に次期計画（R10.4〜）策定と記載 https://www.pref.fukushima.lg.jp/uploaded/attachment/756354.pdf（策定支援業務の公募等は確認できず）</t>
        </is>
      </c>
      <c r="I29" s="12" t="inlineStr">
        <is>
          <t>計画期間は令和5年4月から令和10年3月31日までの5年間（R5.3策定、R5.5・R6.5・R7.3・R8.3一部改定）</t>
        </is>
      </c>
      <c r="J29" s="15" t="inlineStr">
        <is>
          <t>https://www.pref.fukushima.lg.jp/uploaded/attachment/738677.pdf</t>
        </is>
      </c>
      <c r="K29" s="12" t="inlineStr"/>
      <c r="L29" s="12" t="inlineStr">
        <is>
          <t>福島県策定の福島県避難地域広域公共交通計画（避難12市町村対象）。R6年度に中間見直し。最新改定R8.3.27</t>
        </is>
      </c>
    </row>
    <row r="30">
      <c r="A30" s="12" t="n">
        <v>26</v>
      </c>
      <c r="B30" s="12" t="inlineStr">
        <is>
          <t>福島県</t>
        </is>
      </c>
      <c r="C30" s="12" t="inlineStr">
        <is>
          <t>川内村</t>
        </is>
      </c>
      <c r="D30" s="12" t="inlineStr">
        <is>
          <t>交通</t>
        </is>
      </c>
      <c r="E30" s="12" t="inlineStr">
        <is>
          <t>R5〜R9</t>
        </is>
      </c>
      <c r="F30" s="32" t="inlineStr">
        <is>
          <t>正しい</t>
        </is>
      </c>
      <c r="G30" s="12" t="inlineStr">
        <is>
          <t>R5〜R9（R5.4〜R10.3）</t>
        </is>
      </c>
      <c r="H30" s="12" t="inlineStr">
        <is>
          <t>予定のみ：協議会資料でR8年度に最終評価、R9年度に次期計画（R10.4〜）策定と記載 https://www.pref.fukushima.lg.jp/uploaded/attachment/756354.pdf（策定支援業務の公募等は確認できず）</t>
        </is>
      </c>
      <c r="I30" s="12" t="inlineStr">
        <is>
          <t>計画期間は令和5年4月から令和10年3月31日までの5年間（R5.3策定、R5.5・R6.5・R7.3・R8.3一部改定）</t>
        </is>
      </c>
      <c r="J30" s="15" t="inlineStr">
        <is>
          <t>https://www.pref.fukushima.lg.jp/uploaded/attachment/738677.pdf</t>
        </is>
      </c>
      <c r="K30" s="12" t="inlineStr"/>
      <c r="L30" s="12" t="inlineStr">
        <is>
          <t>福島県策定の福島県避難地域広域公共交通計画（避難12市町村対象）。R6年度に中間見直し。最新改定R8.3.27</t>
        </is>
      </c>
    </row>
    <row r="31">
      <c r="A31" s="12" t="n">
        <v>27</v>
      </c>
      <c r="B31" s="12" t="inlineStr">
        <is>
          <t>福島県</t>
        </is>
      </c>
      <c r="C31" s="12" t="inlineStr">
        <is>
          <t>大熊町</t>
        </is>
      </c>
      <c r="D31" s="12" t="inlineStr">
        <is>
          <t>交通</t>
        </is>
      </c>
      <c r="E31" s="12" t="inlineStr">
        <is>
          <t>R5〜R9</t>
        </is>
      </c>
      <c r="F31" s="32" t="inlineStr">
        <is>
          <t>正しい</t>
        </is>
      </c>
      <c r="G31" s="12" t="inlineStr">
        <is>
          <t>R5〜R9（R5.4〜R10.3）</t>
        </is>
      </c>
      <c r="H31" s="12" t="inlineStr">
        <is>
          <t>予定のみ：協議会資料でR8年度に最終評価、R9年度に次期計画（R10.4〜）策定と記載 https://www.pref.fukushima.lg.jp/uploaded/attachment/756354.pdf（策定支援業務の公募等は確認できず）</t>
        </is>
      </c>
      <c r="I31" s="12" t="inlineStr">
        <is>
          <t>計画期間は令和5年4月から令和10年3月31日までの5年間（R5.3策定、R5.5・R6.5・R7.3・R8.3一部改定）</t>
        </is>
      </c>
      <c r="J31" s="15" t="inlineStr">
        <is>
          <t>https://www.pref.fukushima.lg.jp/uploaded/attachment/738677.pdf</t>
        </is>
      </c>
      <c r="K31" s="12" t="inlineStr"/>
      <c r="L31" s="12" t="inlineStr">
        <is>
          <t>福島県策定の福島県避難地域広域公共交通計画（避難12市町村対象）。R6年度に中間見直し。最新改定R8.3.27</t>
        </is>
      </c>
    </row>
    <row r="32">
      <c r="A32" s="12" t="n">
        <v>28</v>
      </c>
      <c r="B32" s="12" t="inlineStr">
        <is>
          <t>福島県</t>
        </is>
      </c>
      <c r="C32" s="12" t="inlineStr">
        <is>
          <t>双葉町</t>
        </is>
      </c>
      <c r="D32" s="12" t="inlineStr">
        <is>
          <t>交通</t>
        </is>
      </c>
      <c r="E32" s="12" t="inlineStr">
        <is>
          <t>R5〜R9</t>
        </is>
      </c>
      <c r="F32" s="32" t="inlineStr">
        <is>
          <t>正しい</t>
        </is>
      </c>
      <c r="G32" s="12" t="inlineStr">
        <is>
          <t>R5〜R9（R5.4〜R10.3）</t>
        </is>
      </c>
      <c r="H32" s="12" t="inlineStr">
        <is>
          <t>予定のみ：協議会資料でR8年度に最終評価、R9年度に次期計画（R10.4〜）策定と記載 https://www.pref.fukushima.lg.jp/uploaded/attachment/756354.pdf（策定支援業務の公募等は確認できず）</t>
        </is>
      </c>
      <c r="I32" s="12" t="inlineStr">
        <is>
          <t>計画期間は令和5年4月から令和10年3月31日までの5年間（R5.3策定、R5.5・R6.5・R7.3・R8.3一部改定）</t>
        </is>
      </c>
      <c r="J32" s="15" t="inlineStr">
        <is>
          <t>https://www.pref.fukushima.lg.jp/uploaded/attachment/738677.pdf</t>
        </is>
      </c>
      <c r="K32" s="12" t="inlineStr"/>
      <c r="L32" s="12" t="inlineStr">
        <is>
          <t>福島県策定の福島県避難地域広域公共交通計画（避難12市町村対象）。R6年度に中間見直し。最新改定R8.3.27</t>
        </is>
      </c>
    </row>
    <row r="33">
      <c r="A33" s="12" t="n">
        <v>29</v>
      </c>
      <c r="B33" s="12" t="inlineStr">
        <is>
          <t>福島県</t>
        </is>
      </c>
      <c r="C33" s="12" t="inlineStr">
        <is>
          <t>浪江町</t>
        </is>
      </c>
      <c r="D33" s="12" t="inlineStr">
        <is>
          <t>交通</t>
        </is>
      </c>
      <c r="E33" s="12" t="inlineStr">
        <is>
          <t>R5〜R9</t>
        </is>
      </c>
      <c r="F33" s="32" t="inlineStr">
        <is>
          <t>正しい</t>
        </is>
      </c>
      <c r="G33" s="12" t="inlineStr">
        <is>
          <t>R5〜R9（R5.4〜R10.3）</t>
        </is>
      </c>
      <c r="H33" s="12" t="inlineStr">
        <is>
          <t>予定のみ：協議会資料でR8年度に最終評価、R9年度に次期計画（R10.4〜）策定と記載 https://www.pref.fukushima.lg.jp/uploaded/attachment/756354.pdf（策定支援業務の公募等は確認できず）</t>
        </is>
      </c>
      <c r="I33" s="12" t="inlineStr">
        <is>
          <t>計画期間は令和5年4月から令和10年3月31日までの5年間（R5.3策定、R5.5・R6.5・R7.3・R8.3一部改定）</t>
        </is>
      </c>
      <c r="J33" s="15" t="inlineStr">
        <is>
          <t>https://www.pref.fukushima.lg.jp/uploaded/attachment/738677.pdf</t>
        </is>
      </c>
      <c r="K33" s="12" t="inlineStr"/>
      <c r="L33" s="12" t="inlineStr">
        <is>
          <t>福島県策定の福島県避難地域広域公共交通計画（避難12市町村対象）。R6年度に中間見直し。最新改定R8.3.27</t>
        </is>
      </c>
    </row>
    <row r="34">
      <c r="A34" s="12" t="n">
        <v>30</v>
      </c>
      <c r="B34" s="12" t="inlineStr">
        <is>
          <t>福島県</t>
        </is>
      </c>
      <c r="C34" s="12" t="inlineStr">
        <is>
          <t>葛尾村</t>
        </is>
      </c>
      <c r="D34" s="12" t="inlineStr">
        <is>
          <t>交通</t>
        </is>
      </c>
      <c r="E34" s="12" t="inlineStr">
        <is>
          <t>R5〜R9</t>
        </is>
      </c>
      <c r="F34" s="32" t="inlineStr">
        <is>
          <t>正しい</t>
        </is>
      </c>
      <c r="G34" s="12" t="inlineStr">
        <is>
          <t>R5〜R9（R5.4〜R10.3）</t>
        </is>
      </c>
      <c r="H34" s="12" t="inlineStr">
        <is>
          <t>予定のみ：協議会資料でR8年度に最終評価、R9年度に次期計画（R10.4〜）策定と記載 https://www.pref.fukushima.lg.jp/uploaded/attachment/756354.pdf（策定支援業務の公募等は確認できず）</t>
        </is>
      </c>
      <c r="I34" s="12" t="inlineStr">
        <is>
          <t>計画期間は令和5年4月から令和10年3月31日までの5年間（R5.3策定、R5.5・R6.5・R7.3・R8.3一部改定）</t>
        </is>
      </c>
      <c r="J34" s="15" t="inlineStr">
        <is>
          <t>https://www.pref.fukushima.lg.jp/uploaded/attachment/738677.pdf</t>
        </is>
      </c>
      <c r="K34" s="12" t="inlineStr"/>
      <c r="L34" s="12" t="inlineStr">
        <is>
          <t>福島県策定の福島県避難地域広域公共交通計画（避難12市町村対象）。R6年度に中間見直し。最新改定R8.3.27</t>
        </is>
      </c>
    </row>
    <row r="35">
      <c r="A35" s="12" t="n">
        <v>31</v>
      </c>
      <c r="B35" s="12" t="inlineStr">
        <is>
          <t>福島県</t>
        </is>
      </c>
      <c r="C35" s="12" t="inlineStr">
        <is>
          <t>飯舘村</t>
        </is>
      </c>
      <c r="D35" s="12" t="inlineStr">
        <is>
          <t>交通</t>
        </is>
      </c>
      <c r="E35" s="12" t="inlineStr">
        <is>
          <t>R5〜R9</t>
        </is>
      </c>
      <c r="F35" s="32" t="inlineStr">
        <is>
          <t>正しい</t>
        </is>
      </c>
      <c r="G35" s="12" t="inlineStr">
        <is>
          <t>R5〜R9（R5.4〜R10.3）</t>
        </is>
      </c>
      <c r="H35" s="12" t="inlineStr">
        <is>
          <t>予定のみ：協議会資料でR8年度に最終評価、R9年度に次期計画（R10.4〜）策定と記載 https://www.pref.fukushima.lg.jp/uploaded/attachment/756354.pdf（策定支援業務の公募等は確認できず）</t>
        </is>
      </c>
      <c r="I35" s="12" t="inlineStr">
        <is>
          <t>計画期間は令和5年4月から令和10年3月31日までの5年間（R5.3策定、R5.5・R6.5・R7.3・R8.3一部改定）</t>
        </is>
      </c>
      <c r="J35" s="15" t="inlineStr">
        <is>
          <t>https://www.pref.fukushima.lg.jp/uploaded/attachment/738677.pdf</t>
        </is>
      </c>
      <c r="K35" s="12" t="inlineStr"/>
      <c r="L35" s="12" t="inlineStr">
        <is>
          <t>福島県策定の福島県避難地域広域公共交通計画（避難12市町村対象）。R6年度に中間見直し。最新改定R8.3.27</t>
        </is>
      </c>
    </row>
    <row r="36">
      <c r="A36" s="12" t="n">
        <v>32</v>
      </c>
      <c r="B36" s="12" t="inlineStr">
        <is>
          <t>茨城県</t>
        </is>
      </c>
      <c r="C36" s="12" t="inlineStr">
        <is>
          <t>常陸大宮市</t>
        </is>
      </c>
      <c r="D36" s="12" t="inlineStr">
        <is>
          <t>交通</t>
        </is>
      </c>
      <c r="E36" s="12" t="inlineStr">
        <is>
          <t>R5〜R9</t>
        </is>
      </c>
      <c r="F36" s="32" t="inlineStr">
        <is>
          <t>正しい</t>
        </is>
      </c>
      <c r="G36" s="12" t="inlineStr">
        <is>
          <t>令和5年度〜令和9年度（5年間、令和5年2月策定）</t>
        </is>
      </c>
      <c r="H36" s="12" t="inlineStr">
        <is>
          <t>確認できず</t>
        </is>
      </c>
      <c r="I36" s="12" t="inlineStr">
        <is>
          <t>地域公共交通政策のマスタープランとなる「常陸大宮市地域公共交通計画」（令和5年度から令和9年度の5年間）を令和5年2月に策定しました</t>
        </is>
      </c>
      <c r="J36" s="15" t="inlineStr">
        <is>
          <t>https://www.city.hitachiomiya.lg.jp/kurashi_gyousei/gyousei/plan/r0/page003126.html</t>
        </is>
      </c>
      <c r="K36" s="12" t="inlineStr"/>
      <c r="L36" s="12" t="inlineStr">
        <is>
          <t>計画ページ（page003126.html）の本文。WebFetchは市サイトがegressブロック。次期計画の協議会審議・プロポーザル等は検索で見当たらず。</t>
        </is>
      </c>
    </row>
    <row r="37">
      <c r="A37" s="12" t="n">
        <v>33</v>
      </c>
      <c r="B37" s="12" t="inlineStr">
        <is>
          <t>茨城県</t>
        </is>
      </c>
      <c r="C37" s="12" t="inlineStr">
        <is>
          <t>常陸大宮市</t>
        </is>
      </c>
      <c r="D37" s="12" t="inlineStr">
        <is>
          <t>環境</t>
        </is>
      </c>
      <c r="E37" s="12" t="inlineStr">
        <is>
          <t>R5〜R9</t>
        </is>
      </c>
      <c r="F37" s="32" t="inlineStr">
        <is>
          <t>正しい</t>
        </is>
      </c>
      <c r="G37" s="12" t="inlineStr">
        <is>
          <t>第2次計画全体 平成30年度〜令和9年度（10年間）、後期計画 令和5年度〜令和9年度</t>
        </is>
      </c>
      <c r="H37" s="12" t="inlineStr">
        <is>
          <t>確認できず</t>
        </is>
      </c>
      <c r="I37" s="12" t="inlineStr">
        <is>
          <t>平成３０年度から令和９年度までの１０年間を計画期間とした「常陸大宮市環境基本計画」に基づき…（策定から5年が経過…現行計画の中間見直し）</t>
        </is>
      </c>
      <c r="J37" s="15" t="inlineStr">
        <is>
          <t>https://www.city.hitachiomiya.lg.jp/data/doc/1673312876_doc_1_0.pdf</t>
        </is>
      </c>
      <c r="K37" s="12" t="inlineStr"/>
      <c r="L37" s="12" t="inlineStr">
        <is>
          <t>終期R9は本文（全角数字の引用）で確認。後期の始期R5は検索要約のみだが中間見直し（策定5年経過）の記述と整合。引用元は既存JSONと同じPDFの可能性あり（検索結果に出現）。1775707564_doc_27_0.pdf（2026年4月頃掲載）が検索に出たが内容不明。第3次計画着手の情報は見当たらず。</t>
        </is>
      </c>
    </row>
    <row r="38">
      <c r="A38" s="12" t="n">
        <v>34</v>
      </c>
      <c r="B38" s="12" t="inlineStr">
        <is>
          <t>茨城県</t>
        </is>
      </c>
      <c r="C38" s="12" t="inlineStr">
        <is>
          <t>阿見町</t>
        </is>
      </c>
      <c r="D38" s="12" t="inlineStr">
        <is>
          <t>交通</t>
        </is>
      </c>
      <c r="E38" s="12" t="inlineStr">
        <is>
          <t>R5〜R9</t>
        </is>
      </c>
      <c r="F38" s="33" t="inlineStr">
        <is>
          <t>確認できず</t>
        </is>
      </c>
      <c r="G38" s="12" t="n"/>
      <c r="H38" s="12" t="inlineStr">
        <is>
          <t>未確認（手がかりあり）：令和8年6月1日の令和8年度第1回阿見町地域公共交通活性化協議会で公共交通に関するアンケート調査結果を報告、R9確保維持事業計画を審議（https://www.town.ami.lg.jp/cmsfiles/contents/0000009/9640/R8_dai1kaikyougikai_siryo.pdf , R8_dai1kai_kaigiroku.pdf）。次期計画策定用か不明</t>
        </is>
      </c>
      <c r="I38" s="12" t="inlineStr">
        <is>
          <t>（検索要約のみ）概要版に計画区域は町全域、期間は令和5年度から令和9年度の5年間とある旨</t>
        </is>
      </c>
      <c r="J38" s="15" t="inlineStr">
        <is>
          <t>https://www.town.ami.lg.jp/cmsfiles/contents/0000009/9640/gaiyo.pdf</t>
        </is>
      </c>
      <c r="K38" s="12" t="inlineStr">
        <is>
          <t>「推定」に格下げ</t>
        </is>
      </c>
      <c r="L38" s="12" t="inlineStr">
        <is>
          <t>令和5年2月策定は確認。期間R5〜R9は検索要約（英文言い換え）でのみ示され本文未確認のため確認できず扱い。町サイトはWebFetchブロック。R8アンケートは次期計画策定の前段の可能性があり要確認。</t>
        </is>
      </c>
    </row>
    <row r="39">
      <c r="A39" s="12" t="n">
        <v>35</v>
      </c>
      <c r="B39" s="12" t="inlineStr">
        <is>
          <t>茨城県</t>
        </is>
      </c>
      <c r="C39" s="12" t="inlineStr">
        <is>
          <t>五霞町</t>
        </is>
      </c>
      <c r="D39" s="12" t="inlineStr">
        <is>
          <t>交通</t>
        </is>
      </c>
      <c r="E39" s="12" t="inlineStr">
        <is>
          <t>R5〜R9 (推定)</t>
        </is>
      </c>
      <c r="F39" s="33" t="inlineStr">
        <is>
          <t>確認できず</t>
        </is>
      </c>
      <c r="G39" s="12" t="n"/>
      <c r="H39" s="12" t="inlineStr">
        <is>
          <t>確認できず</t>
        </is>
      </c>
      <c r="I39" s="12" t="inlineStr">
        <is>
          <t>（検索要約）令和5年3月策定、令和6年1月開始のデマンド交通に関連して変更（令和6年5月変更）</t>
        </is>
      </c>
      <c r="J39" s="15" t="inlineStr">
        <is>
          <t>https://www.town.goka.lg.jp/kurashi-machi-shigoto/kurashi/kurashi-tetsuzuki/lifeline/koukyoukoutsuu/page005231.html</t>
        </is>
      </c>
      <c r="K39" s="12" t="inlineStr">
        <is>
          <t>「推定」に格下げ</t>
        </is>
      </c>
      <c r="L39" s="12" t="inlineStr">
        <is>
          <t>計画期間の記述は検索5回で見つからず。令和5年3月策定・令和6年5月変更は確認。変更版PDF（1737593680_doc_20_0.pdf, 2025年1月頃掲載）が存在し、変更で期間が動いた可能性は否定できない。町サイトはWebFetchブロック。</t>
        </is>
      </c>
    </row>
    <row r="40">
      <c r="A40" s="12" t="n">
        <v>36</v>
      </c>
      <c r="B40" s="12" t="inlineStr">
        <is>
          <t>栃木県</t>
        </is>
      </c>
      <c r="C40" s="12" t="inlineStr">
        <is>
          <t>栃木市</t>
        </is>
      </c>
      <c r="D40" s="12" t="inlineStr">
        <is>
          <t>交通</t>
        </is>
      </c>
      <c r="E40" s="12" t="inlineStr">
        <is>
          <t>R6.6〜R9</t>
        </is>
      </c>
      <c r="F40" s="32" t="inlineStr">
        <is>
          <t>正しい</t>
        </is>
      </c>
      <c r="G40" s="12" t="inlineStr">
        <is>
          <t>令和6年6月24日（改訂）〜令和9年度末（2028年3月）</t>
        </is>
      </c>
      <c r="H40" s="12" t="inlineStr">
        <is>
          <t>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ty.tochigi.lg.jp/uploaded/attachment/63013.pdf ほか 56067.pdf, 67082.pdf が検索に出現）</t>
        </is>
      </c>
      <c r="I40" s="12" t="inlineStr">
        <is>
          <t>第１次栃木市地域公共交通計画は改訂時令和６年６月２４日～令和９年度まで／第2次栃木市地域公共交通計画の計画期間は令和10年度～令和14年度（5年間）</t>
        </is>
      </c>
      <c r="J40" s="15" t="inlineStr">
        <is>
          <t>https://www.city.tochigi.lg.jp/uploaded/attachment/63013.pdf</t>
        </is>
      </c>
      <c r="K40" s="12" t="inlineStr">
        <is>
          <t>改定状況を「着手済」に更新（◎→△）</t>
        </is>
      </c>
      <c r="L40" s="12" t="inlineStr">
        <is>
          <t>引用は検索結果本文（全角数字）由来だが、どのPDF由来かは特定できず（53179/53180/56361/63013等が出現）。計画ページ https://www.city.tochigi.lg.jp/soshiki/20/6994.html で令和6年6月改訂を確認。第2次がR10開始予定のため現行の終期R9と整合。</t>
        </is>
      </c>
    </row>
    <row r="41">
      <c r="A41" s="12" t="n">
        <v>37</v>
      </c>
      <c r="B41" s="12" t="inlineStr">
        <is>
          <t>栃木県</t>
        </is>
      </c>
      <c r="C41" s="12" t="inlineStr">
        <is>
          <t>鹿沼市</t>
        </is>
      </c>
      <c r="D41" s="12" t="inlineStr">
        <is>
          <t>交通</t>
        </is>
      </c>
      <c r="E41" s="12" t="inlineStr">
        <is>
          <t>R4〜R9</t>
        </is>
      </c>
      <c r="F41" s="32" t="inlineStr">
        <is>
          <t>正しい</t>
        </is>
      </c>
      <c r="G41" s="12" t="inlineStr">
        <is>
          <t>R4年度〜R9年度（6年間。R6.10・R8.6に一部改定）</t>
        </is>
      </c>
      <c r="H41" s="12" t="inlineStr">
        <is>
          <t>確認できず（次期計画策定支援業務の公告・地域公共交通会議での次期計画審議は検索で見当たらず）</t>
        </is>
      </c>
      <c r="I41" s="12" t="inlineStr">
        <is>
          <t>計画期間 2022（令和4）年度～2027（令和9）年度（6年間）／2024（令和6）年10月・2026（令和8）年6月 一部改定（3回の独立検索の結果本文で同旨を確認。PDF本体はegress遮断で直接未取得）</t>
        </is>
      </c>
      <c r="J41" s="15" t="inlineStr">
        <is>
          <t>https://www.city.kanuma.tochigi.jp/manage/contents/upload/6a3b627349ac7.pdf</t>
        </is>
      </c>
      <c r="K41" s="12" t="inlineStr"/>
      <c r="L41" s="12" t="inlineStr">
        <is>
          <t>既存URL(623824c0af645.pdf)とは別に、R8.6一部改定版とみられる6a3b627349ac7.pdfで同期間を確認。R8年6月に一部改定したばかりで計画は存続。終期R9年度なので次期計画はR8〜R9年度に策定着手見込みだが、着手の公表は未確認。</t>
        </is>
      </c>
    </row>
    <row r="42">
      <c r="A42" s="12" t="n">
        <v>38</v>
      </c>
      <c r="B42" s="12" t="inlineStr">
        <is>
          <t>栃木県</t>
        </is>
      </c>
      <c r="C42" s="12" t="inlineStr">
        <is>
          <t>日光市</t>
        </is>
      </c>
      <c r="D42" s="12" t="inlineStr">
        <is>
          <t>交通</t>
        </is>
      </c>
      <c r="E42" s="12" t="inlineStr">
        <is>
          <t>R5.4〜R10.3</t>
        </is>
      </c>
      <c r="F42" s="33" t="inlineStr">
        <is>
          <t>確認できず</t>
        </is>
      </c>
      <c r="G42" s="12" t="inlineStr">
        <is>
          <t>R5.4〜R10.3（5ヵ年）※検索要約1回のみ</t>
        </is>
      </c>
      <c r="H42" s="12" t="inlineStr">
        <is>
          <t>確認できず（策定支援業務プロポ・協議会での次期計画審議は検索で見当たらず）</t>
        </is>
      </c>
      <c r="I42" s="12" t="inlineStr">
        <is>
          <t>「計画期間は令和5（2023）年4月から令和10（2028）年3月の5ヵ年」（検索要約1回のみ。他の4回の検索では期間本文を確認できず）</t>
        </is>
      </c>
      <c r="J42" s="15" t="inlineStr">
        <is>
          <t>https://www.city.nikko.lg.jp/material/files/group/33/tiikikoukyoukoutuukeikaku.pdf</t>
        </is>
      </c>
      <c r="K42" s="12" t="inlineStr">
        <is>
          <t>「推定」に格下げ</t>
        </is>
      </c>
      <c r="L42" s="12" t="inlineStr">
        <is>
          <t>計画はR5年3月策定（パブコメR5.1.16〜R5.2.15、tiikikoukyoukoutuu_kekka.pdf）。主張と整合する期間記述が1回出たが、規則上1回の要約のみのため確認できずとした。実質的には主張どおりである可能性が高い。市サイトはWebFetch不可（egress遮断）。</t>
        </is>
      </c>
    </row>
    <row r="43">
      <c r="A43" s="12" t="n">
        <v>39</v>
      </c>
      <c r="B43" s="12" t="inlineStr">
        <is>
          <t>栃木県</t>
        </is>
      </c>
      <c r="C43" s="12" t="inlineStr">
        <is>
          <t>さくら市</t>
        </is>
      </c>
      <c r="D43" s="12" t="inlineStr">
        <is>
          <t>環境</t>
        </is>
      </c>
      <c r="E43" s="12" t="inlineStr">
        <is>
          <t>H30〜R9</t>
        </is>
      </c>
      <c r="F43" s="32" t="inlineStr">
        <is>
          <t>正しい</t>
        </is>
      </c>
      <c r="G43" s="12" t="inlineStr">
        <is>
          <t>H30年度〜R9年度（10年間）</t>
        </is>
      </c>
      <c r="H43" s="12" t="inlineStr">
        <is>
          <t>確認できず（第3次さくら市環境基本計画・策定支援業務プロポの情報は検索で見当たらず）</t>
        </is>
      </c>
      <c r="I43" s="12" t="inlineStr">
        <is>
          <t>「計画期間は、2018年度から2027年度までの10年間」「2027年度を目標の達成年度とし、必要に応じて計画の中間年を目安に…改訂」（さくら市ドメイン限定の2回の検索で同旨）</t>
        </is>
      </c>
      <c r="J43" s="15" t="inlineStr">
        <is>
          <t>https://www.city.tochigi-sakura.lg.jp/life/000014/000121/000403/p001957.html</t>
        </is>
      </c>
      <c r="K43" s="12" t="inlineStr"/>
      <c r="L43" s="12" t="inlineStr">
        <is>
          <t>最初の一般検索の要約は佐久市（長野）の資料と混同していたため、さくら市ドメインに限定して再確認。R8年1月に緑の基本計画（案）が出ているが環境基本計画の次期策定情報はなし。</t>
        </is>
      </c>
    </row>
    <row r="44">
      <c r="A44" s="12" t="n">
        <v>40</v>
      </c>
      <c r="B44" s="12" t="inlineStr">
        <is>
          <t>栃木県</t>
        </is>
      </c>
      <c r="C44" s="12" t="inlineStr">
        <is>
          <t>鹿沼市</t>
        </is>
      </c>
      <c r="D44" s="12" t="inlineStr">
        <is>
          <t>環境：第5次鹿沼市環境基本計画（R4〜R8）— 第6次策定状況／延長の有無</t>
        </is>
      </c>
      <c r="E44" s="12" t="inlineStr">
        <is>
          <t>R4〜R8</t>
        </is>
      </c>
      <c r="F44" s="32" t="inlineStr">
        <is>
          <t>正しい</t>
        </is>
      </c>
      <c r="G44" s="12" t="inlineStr">
        <is>
          <t>R4年度〜R8年度</t>
        </is>
      </c>
      <c r="H44" s="12" t="inlineStr">
        <is>
          <t>確認できず（第6次計画の策定支援業務プロポ/入札、環境審議会への諮問、市民アンケート、パブコメはいずれも検索で見当たらず。延長の記述も見当たらず）</t>
        </is>
      </c>
      <c r="I44" s="12" t="inlineStr">
        <is>
          <t>「現在は、令和４年度から令和８年度までを計画期間とした第５次環境基本計画に基づき施策を実施しています。」（鹿沼市ドメインの検索結果本文。出典PDFは6976cd070c260.pdf／677b77b2e1b3e.pdf等の同時ヒットのいずれかで特定できず。別検索でも「FY2022〜FY2026」と同旨）</t>
        </is>
      </c>
      <c r="J44" s="15" t="inlineStr">
        <is>
          <t>https://www.city.kanuma.tochigi.jp/manage/contents/upload/6976cd070c260.pdf</t>
        </is>
      </c>
      <c r="K44" s="12" t="inlineStr"/>
      <c r="L44" s="12" t="inlineStr">
        <is>
          <t>対象: 第5次鹿沼市環境基本計画（R4〜R8）。R8年度（今年度）で終期を迎えるが、第6次の策定作業・第5次の延長のいずれも公開情報で確認できなかった（「第6次鹿沼市環境基本計画」検索はヒットなし）。第8次総合計画（R4〜R8）と同期間で、次期総合計画と合わせR9年度開始の第6次を今年度策定中の可能性はあるが未確認。営業上は要電話確認。鹿沼市サイトはWebFetch不可（egress遮断）。</t>
        </is>
      </c>
    </row>
    <row r="45">
      <c r="A45" s="12" t="n">
        <v>41</v>
      </c>
      <c r="B45" s="12" t="inlineStr">
        <is>
          <t>栃木県</t>
        </is>
      </c>
      <c r="C45" s="12" t="inlineStr">
        <is>
          <t>大田原市</t>
        </is>
      </c>
      <c r="D45" s="12" t="inlineStr">
        <is>
          <t>交通</t>
        </is>
      </c>
      <c r="E45" s="12" t="inlineStr">
        <is>
          <t>R4〜R9</t>
        </is>
      </c>
      <c r="F45" s="32" t="inlineStr">
        <is>
          <t>正しい</t>
        </is>
      </c>
      <c r="G45" s="12" t="inlineStr">
        <is>
          <t>R4〜R9（令和4(2022)年度〜令和9(2027)年度の6か年）</t>
        </is>
      </c>
      <c r="H45" s="12" t="inlineStr">
        <is>
          <t>着手済: 次期計画策定調査業務委託の公募型プロポーザル（公告ページ https://www.city.ohtawara.tochigi.jp/docs/2026073100056 、ID上2026-07-31）→審査結果公表 https://www.city.ohtawara.tochigi.jp/docs/2026091600026 （契約候補者: バイタルリード・サーベイリサーチセンター共同企業体）。次期計画はR10〜R14の5年間</t>
        </is>
      </c>
      <c r="I45" s="12" t="inlineStr">
        <is>
          <t>令和4(2022)年度から令和9(2027)年度までの6ヶ年計画となります／令和９年度末に現行の大田原市地域公共交通計画が終了するため、計画期間を令和10年度から５年間とする大田原市地域公共交通計画を策定します</t>
        </is>
      </c>
      <c r="J45" s="15" t="inlineStr">
        <is>
          <t>https://www.city.ohtawara.tochigi.jp/docs/2022032900019/</t>
        </is>
      </c>
      <c r="K45" s="12" t="inlineStr"/>
      <c r="L45" s="12" t="inlineStr">
        <is>
          <t>計画書PDF https://www.city.ohtawara.tochigi.jp/docs/2022032900019/file_contents/ohtawarakoutukeikaku20241225.pdf （令和4年3月策定、R6.12改訂版と思われる）。市サイトはWebFetchブロックのため検索結果本文で確認。</t>
        </is>
      </c>
    </row>
    <row r="46">
      <c r="A46" s="12" t="n">
        <v>42</v>
      </c>
      <c r="B46" s="12" t="inlineStr">
        <is>
          <t>栃木県</t>
        </is>
      </c>
      <c r="C46" s="12" t="inlineStr">
        <is>
          <t>那須塩原市</t>
        </is>
      </c>
      <c r="D46" s="12" t="inlineStr">
        <is>
          <t>交通</t>
        </is>
      </c>
      <c r="E46" s="12" t="inlineStr">
        <is>
          <t>R5〜R9</t>
        </is>
      </c>
      <c r="F46" s="32" t="inlineStr">
        <is>
          <t>正しい</t>
        </is>
      </c>
      <c r="G46" s="12" t="inlineStr">
        <is>
          <t>R5〜R9（令和5年4月〜令和10年3月の5年間）</t>
        </is>
      </c>
      <c r="H46" s="12" t="inlineStr">
        <is>
          <t>確認できず（次期=第3次の策定支援プロポ等は検索で見当たらず。R5・R7に「那須地域定住自立圏及び那須塩原市地域公共交通計画推進(等)支援業務」の公募あり https://labid.jp/projects/ad86a7ca-1570-433d-b7c8-765cdd58ede5 ＝推進支援で策定業務ではない）</t>
        </is>
      </c>
      <c r="I46" s="12" t="inlineStr">
        <is>
          <t>那須塩原市地域公共交通計画（第2次）の計画期間は令和5年度～令和9年度の5年間／那須地域定住自立圏地域公共交通計画（第2次）の計画期間は令和5年4月から令和10年3月までの5年間</t>
        </is>
      </c>
      <c r="J46" s="15" t="inlineStr">
        <is>
          <t>https://www.city.nasushiobara.tochigi.jp/soshikikarasagasu/kb/shinoseisakutokeikaku/1/5506.html</t>
        </is>
      </c>
      <c r="K46" s="12" t="inlineStr"/>
      <c r="L46" s="12" t="inlineStr">
        <is>
          <t>第2次那須塩原市地域公共交通計画は令和5年3月策定（PDF https://www.city.nasushiobara.tochigi.jp/material/files/group/15/nasushiobaracity_2nd_publictransportation.pdf ）。第2次定住自立圏計画は令和5年1月策定、4市町共同。市サイトはWebFetchブロック。</t>
        </is>
      </c>
    </row>
    <row r="47">
      <c r="A47" s="12" t="n">
        <v>43</v>
      </c>
      <c r="B47" s="12" t="inlineStr">
        <is>
          <t>栃木県</t>
        </is>
      </c>
      <c r="C47" s="12" t="inlineStr">
        <is>
          <t>那須町</t>
        </is>
      </c>
      <c r="D47" s="12" t="inlineStr">
        <is>
          <t>交通</t>
        </is>
      </c>
      <c r="E47" s="12" t="inlineStr">
        <is>
          <t>R4〜R9</t>
        </is>
      </c>
      <c r="F47" s="32" t="inlineStr">
        <is>
          <t>正しい</t>
        </is>
      </c>
      <c r="G47" s="12" t="inlineStr">
        <is>
          <t>R4〜R9（6か年）</t>
        </is>
      </c>
      <c r="H47" s="12" t="inlineStr">
        <is>
          <t>確認できず（町の次期交通計画策定プロポは検索で見当たらず。関連: 栃木県「令和８（2026）年度広域公共交通連携検討業務委託」プロポ https://www.pref.tochigi.lg.jp/h03/r8gyoumuitaku_lrt.html は県事業）</t>
        </is>
      </c>
      <c r="I47" s="12" t="inlineStr">
        <is>
          <t>「那須町地域公共交通計画」を策定しました。計画期間は令和4年度から令和9年度までの6カ年間です。</t>
        </is>
      </c>
      <c r="J47" s="15" t="inlineStr">
        <is>
          <t>https://www.town.nasu.lg.jp/0242/info-0000002729-1.html</t>
        </is>
      </c>
      <c r="K47" s="12" t="inlineStr"/>
      <c r="L47" s="12" t="inlineStr">
        <is>
          <t>町計画は令和4年3月策定（PDF https://www.town.nasu.lg.jp/manage/contents/upload/6243b2b07f368.pdf ）。併せて第2次那須地域定住自立圏地域公共交通計画（R5.4〜R10.3）にも参加。町サイトはWebFetchブロック。</t>
        </is>
      </c>
    </row>
    <row r="48">
      <c r="A48" s="12" t="n">
        <v>44</v>
      </c>
      <c r="B48" s="12" t="inlineStr">
        <is>
          <t>栃木県</t>
        </is>
      </c>
      <c r="C48" s="12" t="inlineStr">
        <is>
          <t>那珂川町</t>
        </is>
      </c>
      <c r="D48" s="12" t="inlineStr">
        <is>
          <t>交通</t>
        </is>
      </c>
      <c r="E48" s="12" t="inlineStr">
        <is>
          <t>R5〜R9（定住自立圏）</t>
        </is>
      </c>
      <c r="F48" s="32" t="inlineStr">
        <is>
          <t>正しい</t>
        </is>
      </c>
      <c r="G48" s="12" t="inlineStr">
        <is>
          <t>R5〜R9（定住自立圏計画: 令和5年4月〜令和10年3月）。町単独計画（R5.3策定）の期間は未確認</t>
        </is>
      </c>
      <c r="H48" s="12" t="inlineStr">
        <is>
          <t>確認できず</t>
        </is>
      </c>
      <c r="I48" s="12" t="inlineStr">
        <is>
          <t>那須地域定住自立圏地域公共交通計画（第2次）の計画期間は令和5年4月から令和10年3月までの5年間で、那珂川町も含まれています</t>
        </is>
      </c>
      <c r="J48" s="15" t="inlineStr">
        <is>
          <t>https://www.city.nasushiobara.tochigi.jp/soshikikarasagasu/kb/shinoseisakutokeikaku/1/5504.html</t>
        </is>
      </c>
      <c r="K48" s="12" t="inlineStr"/>
      <c r="L48" s="12" t="inlineStr">
        <is>
          <t>「那珂川町地域公共交通計画」は令和5年3月策定（https://www.town.tochigi-nakagawa.lg.jp/life/kurashi/2023-0331-0958-5.html ）だが、その計画期間の本文記述は検索で得られず（3回検索、福岡県那珂川市の計画R7〜R11が混入するので注意）。町サイトはWebFetchブロック。</t>
        </is>
      </c>
    </row>
    <row r="49">
      <c r="A49" s="12" t="n">
        <v>45</v>
      </c>
      <c r="B49" s="12" t="inlineStr">
        <is>
          <t>栃木県</t>
        </is>
      </c>
      <c r="C49" s="12" t="inlineStr">
        <is>
          <t>那須塩原市</t>
        </is>
      </c>
      <c r="D49" s="12" t="inlineStr">
        <is>
          <t>環境：第2期那須塩原市環境基本計画【改定版】— R12延長・最終策定の有無</t>
        </is>
      </c>
      <c r="E49" s="12" t="inlineStr">
        <is>
          <t>H29〜R12（延長）</t>
        </is>
      </c>
      <c r="F49" s="33" t="inlineStr">
        <is>
          <t>確認できず</t>
        </is>
      </c>
      <c r="G49" s="12" t="inlineStr">
        <is>
          <t>H29〜R12（2017〜2030年度）※改定版（案）段階の記述。最終策定は未確認</t>
        </is>
      </c>
      <c r="H49" s="12" t="inlineStr">
        <is>
          <t>改定作業中: R7年度環境審議会（第1回9/3、第2回11/27）で改定版（案）とパブコメ結果を審議 https://www.city.nasushiobara.tochigi.jp/shiseijoho/shingikai/8439.html 。策定・公表（改定版確定）の告知は検索で見当たらず</t>
        </is>
      </c>
      <c r="I49" s="12" t="inlineStr">
        <is>
          <t>(検索要約・英文) The revised version ... extends the plan period from fiscal year 2017 to fiscal year 2030 (previously 2017-2027) ... to ensure a 5-year monitoring period</t>
        </is>
      </c>
      <c r="J49" s="15" t="inlineStr">
        <is>
          <t>https://www.city.nasushiobara.tochigi.jp/material/files/group/13/dai2ki_kankyokihonkeikaku_an.pdf</t>
        </is>
      </c>
      <c r="K49" s="12" t="inlineStr"/>
      <c r="L49" s="12" t="inlineStr">
        <is>
          <t>対象: 第2期那須塩原市環境基本計画【改定版】。R12への延長は案PDFの検索要約2件で一致（目標達成状況を管理する5年のモニタリング期間確保のため）だが日本語原文の引用は得られず、別検索ではH29〜R9との要約も出た（改定前の記述）。パブコメ結果は第2回審議会（R7.11）で報告された模様。最終版の公表（例R8.3）は未確認のため確認できずとした。</t>
        </is>
      </c>
    </row>
    <row r="50">
      <c r="A50" s="12" t="n">
        <v>46</v>
      </c>
      <c r="B50" s="12" t="inlineStr">
        <is>
          <t>栃木県</t>
        </is>
      </c>
      <c r="C50" s="12" t="inlineStr">
        <is>
          <t>大田原市</t>
        </is>
      </c>
      <c r="D50" s="12" t="inlineStr">
        <is>
          <t>交通：大田原市地域公共交通計画 次期計画策定調査業務プロポーザル（2026-07-31公告）・委託先決定の有無</t>
        </is>
      </c>
      <c r="E50" s="12" t="inlineStr">
        <is>
          <t>次期計画策定調査業務プロポ 2026-07-31公告</t>
        </is>
      </c>
      <c r="F50" s="32" t="inlineStr">
        <is>
          <t>正しい</t>
        </is>
      </c>
      <c r="G50" s="12" t="inlineStr">
        <is>
          <t>次期計画: R10〜R14（令和10年度から5年間）</t>
        </is>
      </c>
      <c r="H50" s="12" t="inlineStr">
        <is>
          <t>着手済・受託候補決定: 公告 https://www.city.ohtawara.tochigi.jp/docs/2026073100056 、審査結果 https://www.city.ohtawara.tochigi.jp/docs/2026091600026 （契約候補者: バイタルリード・サーベイリサーチセンター共同企業体〔島根県出雲市荻杼町274番地2〕）</t>
        </is>
      </c>
      <c r="I50" s="12" t="inlineStr">
        <is>
          <t>令和９年度末に現行の大田原市地域公共交通計画が終了するため、計画期間を令和10年度から５年間とする大田原市地域公共交通計画を策定します／バイタルリード・サーベイリサーチセンター共同企業体が契約候補者として特定されました</t>
        </is>
      </c>
      <c r="J50" s="15" t="inlineStr">
        <is>
          <t>https://www.city.ohtawara.tochigi.jp/docs/2026091600026</t>
        </is>
      </c>
      <c r="K50" s="12" t="inlineStr"/>
      <c r="L50" s="12" t="inlineStr">
        <is>
          <t>対象: 大田原市地域公共交通計画 次期計画策定調査業務プロポーザル。業務名「大田原市地域公共交通計画策定調査業務委託」。公募ページの存在・内容は検索結果本文で確認。公告日2026-07-31はページID(docs/2026073100056)由来で、本文中の公告日記載は未確認。審査は検索要約上「2026年9月17日（木）実施」とあるが結果ページIDは20260916で日付に不整合あり（要約の誤りの可能性）。業務内容: 基礎調査、分析、資料作成、計画案作成等の支援。市サイトはWebFetchブロック。</t>
        </is>
      </c>
    </row>
    <row r="52">
      <c r="B52" s="2" t="inlineStr">
        <is>
          <t>集計</t>
        </is>
      </c>
    </row>
    <row r="53">
      <c r="B53" s="3" t="inlineStr">
        <is>
          <t>正しい</t>
        </is>
      </c>
      <c r="C53" s="3">
        <f>COUNTIF($F$5:$F$50,B53)</f>
        <v/>
      </c>
    </row>
    <row r="54">
      <c r="B54" s="3" t="inlineStr">
        <is>
          <t>誤り</t>
        </is>
      </c>
      <c r="C54" s="3">
        <f>COUNTIF($F$5:$F$50,B54)</f>
        <v/>
      </c>
    </row>
    <row r="55">
      <c r="B55" s="3" t="inlineStr">
        <is>
          <t>確認できず</t>
        </is>
      </c>
      <c r="C55" s="3">
        <f>COUNTIF($F$5:$F$50,B55)</f>
        <v/>
      </c>
    </row>
    <row r="56">
      <c r="B56" s="2" t="inlineStr">
        <is>
          <t>合計</t>
        </is>
      </c>
      <c r="C56" s="2">
        <f>SUM(C53:C55)</f>
        <v/>
      </c>
    </row>
  </sheetData>
  <autoFilter ref="A4:L50"/>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7" r:id="rId23"/>
    <hyperlink xmlns:r="http://schemas.openxmlformats.org/officeDocument/2006/relationships" ref="J28" r:id="rId24"/>
    <hyperlink xmlns:r="http://schemas.openxmlformats.org/officeDocument/2006/relationships" ref="J29" r:id="rId25"/>
    <hyperlink xmlns:r="http://schemas.openxmlformats.org/officeDocument/2006/relationships" ref="J30" r:id="rId26"/>
    <hyperlink xmlns:r="http://schemas.openxmlformats.org/officeDocument/2006/relationships" ref="J31" r:id="rId27"/>
    <hyperlink xmlns:r="http://schemas.openxmlformats.org/officeDocument/2006/relationships" ref="J32" r:id="rId28"/>
    <hyperlink xmlns:r="http://schemas.openxmlformats.org/officeDocument/2006/relationships" ref="J33" r:id="rId29"/>
    <hyperlink xmlns:r="http://schemas.openxmlformats.org/officeDocument/2006/relationships" ref="J34" r:id="rId30"/>
    <hyperlink xmlns:r="http://schemas.openxmlformats.org/officeDocument/2006/relationships" ref="J35" r:id="rId31"/>
    <hyperlink xmlns:r="http://schemas.openxmlformats.org/officeDocument/2006/relationships" ref="J36" r:id="rId32"/>
    <hyperlink xmlns:r="http://schemas.openxmlformats.org/officeDocument/2006/relationships" ref="J37" r:id="rId33"/>
    <hyperlink xmlns:r="http://schemas.openxmlformats.org/officeDocument/2006/relationships" ref="J38" r:id="rId34"/>
    <hyperlink xmlns:r="http://schemas.openxmlformats.org/officeDocument/2006/relationships" ref="J39" r:id="rId35"/>
    <hyperlink xmlns:r="http://schemas.openxmlformats.org/officeDocument/2006/relationships" ref="J40" r:id="rId36"/>
    <hyperlink xmlns:r="http://schemas.openxmlformats.org/officeDocument/2006/relationships" ref="J41" r:id="rId37"/>
    <hyperlink xmlns:r="http://schemas.openxmlformats.org/officeDocument/2006/relationships" ref="J42" r:id="rId38"/>
    <hyperlink xmlns:r="http://schemas.openxmlformats.org/officeDocument/2006/relationships" ref="J43" r:id="rId39"/>
    <hyperlink xmlns:r="http://schemas.openxmlformats.org/officeDocument/2006/relationships" ref="J44" r:id="rId40"/>
    <hyperlink xmlns:r="http://schemas.openxmlformats.org/officeDocument/2006/relationships" ref="J45" r:id="rId41"/>
    <hyperlink xmlns:r="http://schemas.openxmlformats.org/officeDocument/2006/relationships" ref="J46" r:id="rId42"/>
    <hyperlink xmlns:r="http://schemas.openxmlformats.org/officeDocument/2006/relationships" ref="J47" r:id="rId43"/>
    <hyperlink xmlns:r="http://schemas.openxmlformats.org/officeDocument/2006/relationships" ref="J48" r:id="rId44"/>
    <hyperlink xmlns:r="http://schemas.openxmlformats.org/officeDocument/2006/relationships" ref="J49" r:id="rId45"/>
    <hyperlink xmlns:r="http://schemas.openxmlformats.org/officeDocument/2006/relationships" ref="J50"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2026-10-02T02:40:53Z</dcterms:created>
  <dcterms:modified xsi:type="dcterms:W3CDTF">2026-10-02T02:40:54Z</dcterms:modified>
</cp:coreProperties>
</file>