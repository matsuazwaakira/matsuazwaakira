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凡例・注意" sheetId="2" state="visible" r:id="rId2"/>
  </sheets>
  <definedNames>
    <definedName name="_xlnm._FilterDatabase" localSheetId="0" hidden="1">'一覧'!$A$4:$R$29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color rgb="00555555"/>
      <sz val="9"/>
    </font>
    <font>
      <name val="Arial"/>
      <sz val="10"/>
    </font>
    <font>
      <name val="Arial"/>
      <b val="1"/>
      <sz val="10"/>
    </font>
    <font>
      <name val="Arial"/>
      <color rgb="000563C1"/>
      <sz val="9"/>
      <u val="single"/>
    </font>
    <font>
      <name val="Arial"/>
      <i val="1"/>
      <color rgb="007F6000"/>
      <sz val="10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ty.utsunomiya.lg.jp/_res/projects/default_project/_page_/001/035/885/chiikikeikaku.pdf" TargetMode="External" Id="rId1" /><Relationship Type="http://schemas.openxmlformats.org/officeDocument/2006/relationships/hyperlink" Target="https://www.city.utsunomiya.lg.jp/_res/projects/default_project/_page_/001/045/465/4ji_sasshi.pdf" TargetMode="External" Id="rId2" /><Relationship Type="http://schemas.openxmlformats.org/officeDocument/2006/relationships/hyperlink" Target="https://www.city.ashikaga.tochigi.jp/manage/contents/upload/64dc71a539bc0.pdf" TargetMode="External" Id="rId3" /><Relationship Type="http://schemas.openxmlformats.org/officeDocument/2006/relationships/hyperlink" Target="https://www.city.ashikaga.tochigi.jp/manage/contents/upload/633fd39cd506a.pdf" TargetMode="External" Id="rId4" /><Relationship Type="http://schemas.openxmlformats.org/officeDocument/2006/relationships/hyperlink" Target="https://www.city.tochigi.lg.jp/uploaded/attachment/56361.pdf" TargetMode="External" Id="rId5" /><Relationship Type="http://schemas.openxmlformats.org/officeDocument/2006/relationships/hyperlink" Target="https://www.city.tochigi.lg.jp/uploaded/attachment/60576.pdf" TargetMode="External" Id="rId6" /><Relationship Type="http://schemas.openxmlformats.org/officeDocument/2006/relationships/hyperlink" Target="https://www.city.sano.lg.jp/material/files/group/1/koutuukeikaku2.pdf" TargetMode="External" Id="rId7" /><Relationship Type="http://schemas.openxmlformats.org/officeDocument/2006/relationships/hyperlink" Target="https://www.city.sano.lg.jp/material/files/group/1/kankyoukouki2.pdf" TargetMode="External" Id="rId8" /><Relationship Type="http://schemas.openxmlformats.org/officeDocument/2006/relationships/hyperlink" Target="https://www.city.kanuma.tochigi.jp/manage/contents/upload/623824c0af645.pdf" TargetMode="External" Id="rId9" /><Relationship Type="http://schemas.openxmlformats.org/officeDocument/2006/relationships/hyperlink" Target="https://www.city.kanuma.tochigi.jp/0097/info-0000007871-1.html" TargetMode="External" Id="rId10" /><Relationship Type="http://schemas.openxmlformats.org/officeDocument/2006/relationships/hyperlink" Target="https://www.city.nikko.lg.jp/material/files/group/33/tiikikoukyoukoutuukeikaku.pdf" TargetMode="External" Id="rId11" /><Relationship Type="http://schemas.openxmlformats.org/officeDocument/2006/relationships/hyperlink" Target="https://www.city.nikko.lg.jp/soshiki/6/1031/5/1/1/125.html" TargetMode="External" Id="rId12" /><Relationship Type="http://schemas.openxmlformats.org/officeDocument/2006/relationships/hyperlink" Target="https://www.city.oyama.tochigi.jp/o-bus/news/page011195.html" TargetMode="External" Id="rId13" /><Relationship Type="http://schemas.openxmlformats.org/officeDocument/2006/relationships/hyperlink" Target="https://www.city.oyama.tochigi.jp/data/doc/1700382745_doc_21_0.pdf" TargetMode="External" Id="rId14" /><Relationship Type="http://schemas.openxmlformats.org/officeDocument/2006/relationships/hyperlink" Target="https://www.city.moka.lg.jp/material/files/group/47/kotsu_plan_r8.pdf" TargetMode="External" Id="rId15" /><Relationship Type="http://schemas.openxmlformats.org/officeDocument/2006/relationships/hyperlink" Target="https://www.city.moka.lg.jp/material/files/group/22/20260416kankyougaiyouban.pdf" TargetMode="External" Id="rId16" /><Relationship Type="http://schemas.openxmlformats.org/officeDocument/2006/relationships/hyperlink" Target="https://www.city.ohtawara.tochigi.jp/docs/2026073100056" TargetMode="External" Id="rId17" /><Relationship Type="http://schemas.openxmlformats.org/officeDocument/2006/relationships/hyperlink" Target="https://www.city.ohtawara.tochigi.jp/docs/2026013000019" TargetMode="External" Id="rId18" /><Relationship Type="http://schemas.openxmlformats.org/officeDocument/2006/relationships/hyperlink" Target="https://www.city.yaita.tochigi.jp/soshiki/toshiseibi/koukyoukoutsu-plan.html" TargetMode="External" Id="rId19" /><Relationship Type="http://schemas.openxmlformats.org/officeDocument/2006/relationships/hyperlink" Target="https://www.city.yaita.tochigi.jp/soshiki/seikatsukankyou/kankyo-kihon.html" TargetMode="External" Id="rId20" /><Relationship Type="http://schemas.openxmlformats.org/officeDocument/2006/relationships/hyperlink" Target="https://www.city.nasushiobara.tochigi.jp/material/files/group/15/nasushiobaracity_2nd_publictransportation.pdf" TargetMode="External" Id="rId21" /><Relationship Type="http://schemas.openxmlformats.org/officeDocument/2006/relationships/hyperlink" Target="https://www.city.nasushiobara.tochigi.jp/material/files/group/13/dai2ki_kankyokihonkeikaku_an.pdf" TargetMode="External" Id="rId22" /><Relationship Type="http://schemas.openxmlformats.org/officeDocument/2006/relationships/hyperlink" Target="https://www.city.tochigi-sakura.lg.jp/life/000017/p003140.html" TargetMode="External" Id="rId23" /><Relationship Type="http://schemas.openxmlformats.org/officeDocument/2006/relationships/hyperlink" Target="https://www.city.tochigi-sakura.lg.jp/life/000014/000121/000403/p001957.html" TargetMode="External" Id="rId24" /><Relationship Type="http://schemas.openxmlformats.org/officeDocument/2006/relationships/hyperlink" Target="https://www.city.nasukarasuyama.lg.jp/page/page000722.html" TargetMode="External" Id="rId25" /><Relationship Type="http://schemas.openxmlformats.org/officeDocument/2006/relationships/hyperlink" Target="https://www.city.nasukarasuyama.lg.jp/page/page000773.html" TargetMode="External" Id="rId26" /><Relationship Type="http://schemas.openxmlformats.org/officeDocument/2006/relationships/hyperlink" Target="https://www.city.shimotsuke.lg.jp/0170/info-0000005122-3.html" TargetMode="External" Id="rId27" /><Relationship Type="http://schemas.openxmlformats.org/officeDocument/2006/relationships/hyperlink" Target="https://www.city.shimotsuke.lg.jp/office0109/section-3.html" TargetMode="External" Id="rId28" /><Relationship Type="http://schemas.openxmlformats.org/officeDocument/2006/relationships/hyperlink" Target="https://www.town.kaminokawa.lg.jp/0166/info-0000001338-0.html" TargetMode="External" Id="rId29" /><Relationship Type="http://schemas.openxmlformats.org/officeDocument/2006/relationships/hyperlink" Target="https://www.town.kaminokawa.lg.jp/0003/info-0000003247-0.html" TargetMode="External" Id="rId30" /><Relationship Type="http://schemas.openxmlformats.org/officeDocument/2006/relationships/hyperlink" Target="https://www.town.mashiko.lg.jp/page/page003396.html" TargetMode="External" Id="rId31" /><Relationship Type="http://schemas.openxmlformats.org/officeDocument/2006/relationships/hyperlink" Target="https://www.town.mashiko.lg.jp/page/page000467.html" TargetMode="External" Id="rId32" /><Relationship Type="http://schemas.openxmlformats.org/officeDocument/2006/relationships/hyperlink" Target="https://www.town.motegi.tochigi.jp/motegi/nextpage.php?cd=6374&amp;syurui=2" TargetMode="External" Id="rId33" /><Relationship Type="http://schemas.openxmlformats.org/officeDocument/2006/relationships/hyperlink" Target="https://www.town.motegi.tochigi.jp/motegi/nextpage.php?cd=7672&amp;syurui=2" TargetMode="External" Id="rId34" /><Relationship Type="http://schemas.openxmlformats.org/officeDocument/2006/relationships/hyperlink" Target="https://www.town.ichikai.tochigi.jp/info/785" TargetMode="External" Id="rId35" /><Relationship Type="http://schemas.openxmlformats.org/officeDocument/2006/relationships/hyperlink" Target="https://www.town.ichikai.tochigi.jp/info/1814" TargetMode="External" Id="rId36" /><Relationship Type="http://schemas.openxmlformats.org/officeDocument/2006/relationships/hyperlink" Target="https://www.town.tochigi-haga.lg.jp/kurashi/sekatsu/kokyokotsu/koukyoukoutsuu/koukyoukoutsuu6.html" TargetMode="External" Id="rId37" /><Relationship Type="http://schemas.openxmlformats.org/officeDocument/2006/relationships/hyperlink" Target="https://www.town.tochigi-haga.lg.jp/kurashi/kurashi/ka-bonnyu-toraru/documents/jitugennkeikaku1.pdf" TargetMode="External" Id="rId38" /><Relationship Type="http://schemas.openxmlformats.org/officeDocument/2006/relationships/hyperlink" Target="https://www.town.mibu.tochigi.jp/docs/2026042000042" TargetMode="External" Id="rId39" /><Relationship Type="http://schemas.openxmlformats.org/officeDocument/2006/relationships/hyperlink" Target="https://www.town.mibu.tochigi.jp/docs/2025032700030/file_contents/mibumachikankyokihonkeikaku.pdf" TargetMode="External" Id="rId40" /><Relationship Type="http://schemas.openxmlformats.org/officeDocument/2006/relationships/hyperlink" Target="https://www.town.nogi.lg.jp/cyousei/cyousei_jyouhou/keikaku/keikaku_toshiseibi/page005745.html" TargetMode="External" Id="rId41" /><Relationship Type="http://schemas.openxmlformats.org/officeDocument/2006/relationships/hyperlink" Target="https://www.town.nogi.lg.jp/kurashi/kankyou/ondanka/hojo/" TargetMode="External" Id="rId42" /><Relationship Type="http://schemas.openxmlformats.org/officeDocument/2006/relationships/hyperlink" Target="https://www.town.shioya.tochigi.jp/info/2531" TargetMode="External" Id="rId43" /><Relationship Type="http://schemas.openxmlformats.org/officeDocument/2006/relationships/hyperlink" Target="https://www.town.shioya.tochigi.jp/info/2490" TargetMode="External" Id="rId44" /><Relationship Type="http://schemas.openxmlformats.org/officeDocument/2006/relationships/hyperlink" Target="https://www.town.takanezawa.tochigi.jp/gyosei/plan/bunya/documents/202604koutsukeikaku.pdf" TargetMode="External" Id="rId45" /><Relationship Type="http://schemas.openxmlformats.org/officeDocument/2006/relationships/hyperlink" Target="https://www.town.takanezawa.tochigi.jp/life/kankyo/keikaku/documents/kankyoukihon2026gaiyou.pdf" TargetMode="External" Id="rId46" /><Relationship Type="http://schemas.openxmlformats.org/officeDocument/2006/relationships/hyperlink" Target="https://www.town.nasu.lg.jp/manage/contents/upload/6243b2b07f368.pdf" TargetMode="External" Id="rId47" /><Relationship Type="http://schemas.openxmlformats.org/officeDocument/2006/relationships/hyperlink" Target="http://www.town.nasu.lg.jp/0076/info-0000004347-1.html" TargetMode="External" Id="rId48" /><Relationship Type="http://schemas.openxmlformats.org/officeDocument/2006/relationships/hyperlink" Target="https://www.city.nasushiobara.tochigi.jp/soshikikarasagasu/kb/shinoseisakutokeikaku/1/5504.html" TargetMode="External" Id="rId49" /><Relationship Type="http://schemas.openxmlformats.org/officeDocument/2006/relationships/hyperlink" Target="https://www.town.tochigi-nakagawa.lg.jp/35kankyo/01keikaku/index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7" customWidth="1" min="4" max="4"/>
    <col width="7" customWidth="1" min="5" max="5"/>
    <col width="30" customWidth="1" min="6" max="6"/>
    <col width="16" customWidth="1" min="7" max="7"/>
    <col width="9" customWidth="1" min="8" max="8"/>
    <col width="8" customWidth="1" min="9" max="9"/>
    <col width="9" customWidth="1" min="10" max="10"/>
    <col width="30" customWidth="1" min="11" max="11"/>
    <col width="16" customWidth="1" min="12" max="12"/>
    <col width="9" customWidth="1" min="13" max="13"/>
    <col width="8" customWidth="1" min="14" max="14"/>
    <col width="9" customWidth="1" min="15" max="15"/>
    <col width="50" customWidth="1" min="16" max="16"/>
    <col width="28" customWidth="1" min="17" max="17"/>
    <col width="28" customWidth="1" min="18" max="18"/>
  </cols>
  <sheetData>
    <row r="1">
      <c r="A1" s="1" t="inlineStr">
        <is>
          <t>栃木県内25市町　地域公共交通計画・環境基本計画の終期一覧（2026年9月30日時点の調査）</t>
        </is>
      </c>
    </row>
    <row r="2">
      <c r="A2" s="2" t="inlineStr">
        <is>
          <t>営業判定：どちらかの計画の終期がR9年度以内→◎。ただし次期計画の改定作業に着手済なら△。期間不明→？。凡例は「凡例・注意」シートを参照。</t>
        </is>
      </c>
    </row>
    <row r="3">
      <c r="A3" s="3" t="inlineStr">
        <is>
          <t>判定の基準年度（令和）</t>
        </is>
      </c>
      <c r="B3" s="4" t="n">
        <v>9</v>
      </c>
      <c r="C3" s="5" t="inlineStr">
        <is>
          <t>← 数字を変えると判定がすべて再計算されます</t>
        </is>
      </c>
    </row>
    <row r="4" ht="32" customHeight="1">
      <c r="A4" s="6" t="inlineStr">
        <is>
          <t>No</t>
        </is>
      </c>
      <c r="B4" s="6" t="inlineStr">
        <is>
          <t>市町</t>
        </is>
      </c>
      <c r="C4" s="6" t="inlineStr">
        <is>
          <t>営業判定</t>
        </is>
      </c>
      <c r="D4" s="6" t="inlineStr">
        <is>
          <t>交通判定</t>
        </is>
      </c>
      <c r="E4" s="6" t="inlineStr">
        <is>
          <t>環境判定</t>
        </is>
      </c>
      <c r="F4" s="6" t="inlineStr">
        <is>
          <t>地域公共交通計画</t>
        </is>
      </c>
      <c r="G4" s="6" t="inlineStr">
        <is>
          <t>交通 計画期間</t>
        </is>
      </c>
      <c r="H4" s="6" t="inlineStr">
        <is>
          <t>交通 終期(令和年度)</t>
        </is>
      </c>
      <c r="I4" s="6" t="inlineStr">
        <is>
          <t>交通 確度</t>
        </is>
      </c>
      <c r="J4" s="6" t="inlineStr">
        <is>
          <t>交通 改定状況</t>
        </is>
      </c>
      <c r="K4" s="6" t="inlineStr">
        <is>
          <t>環境基本計画</t>
        </is>
      </c>
      <c r="L4" s="6" t="inlineStr">
        <is>
          <t>環境 計画期間</t>
        </is>
      </c>
      <c r="M4" s="6" t="inlineStr">
        <is>
          <t>環境 終期(令和年度)</t>
        </is>
      </c>
      <c r="N4" s="6" t="inlineStr">
        <is>
          <t>環境 確度</t>
        </is>
      </c>
      <c r="O4" s="6" t="inlineStr">
        <is>
          <t>環境 改定状況</t>
        </is>
      </c>
      <c r="P4" s="6" t="inlineStr">
        <is>
          <t>注釈（改定作業の状況など）</t>
        </is>
      </c>
      <c r="Q4" s="6" t="inlineStr">
        <is>
          <t>出典（交通）</t>
        </is>
      </c>
      <c r="R4" s="6" t="inlineStr">
        <is>
          <t>出典（環境）</t>
        </is>
      </c>
    </row>
    <row r="5">
      <c r="A5" s="7" t="n">
        <v>1</v>
      </c>
      <c r="B5" s="7" t="inlineStr">
        <is>
          <t>宇都宮市</t>
        </is>
      </c>
      <c r="C5" s="8">
        <f>IF(OR(D5="◎",E5="◎"),"◎ 営業",IF(OR(D5="△",E5="△"),"△ 着手済・要確認",IF(OR(D5="？",E5="？"),"？ 期間要確認","✕ 対象外")))</f>
        <v/>
      </c>
      <c r="D5" s="9">
        <f>IF(J5="計画なし","－",IF(J5="策定済","✕",IF(H5="","？",IF(H5&lt;=$B$3,IF(J5="着手済","△","◎"),"✕"))))</f>
        <v/>
      </c>
      <c r="E5" s="9">
        <f>IF(O5="計画なし","－",IF(O5="策定済","✕",IF(M5="","？",IF(M5&lt;=$B$3,IF(O5="着手済","△","◎"),"✕"))))</f>
        <v/>
      </c>
      <c r="F5" s="7" t="inlineStr">
        <is>
          <t>芳賀・宇都宮地域公共交通計画（芳賀町と共同）</t>
        </is>
      </c>
      <c r="G5" s="7" t="inlineStr">
        <is>
          <t>R6〜R15</t>
        </is>
      </c>
      <c r="H5" s="9" t="n">
        <v>15</v>
      </c>
      <c r="I5" s="9" t="inlineStr">
        <is>
          <t>確認済</t>
        </is>
      </c>
      <c r="J5" s="9" t="inlineStr">
        <is>
          <t>未確認</t>
        </is>
      </c>
      <c r="K5" s="7" t="inlineStr">
        <is>
          <t>第4次宇都宮市環境基本計画</t>
        </is>
      </c>
      <c r="L5" s="7" t="inlineStr">
        <is>
          <t>R8〜R12</t>
        </is>
      </c>
      <c r="M5" s="9" t="n">
        <v>12</v>
      </c>
      <c r="N5" s="9" t="inlineStr">
        <is>
          <t>確認済</t>
        </is>
      </c>
      <c r="O5" s="9" t="inlineStr">
        <is>
          <t>策定済</t>
        </is>
      </c>
      <c r="P5" s="7" t="inlineStr">
        <is>
          <t>環境：第4次をR8.3策定済（R7.6諮問）。交通：R15まで、改定の動きなし。</t>
        </is>
      </c>
      <c r="Q5" s="10" t="inlineStr">
        <is>
          <t>https://www.city.utsunomiya.lg.jp/_res/projects/default_project/_page_/001/035/885/chiikikeikaku.pdf</t>
        </is>
      </c>
      <c r="R5" s="10" t="inlineStr">
        <is>
          <t>https://www.city.utsunomiya.lg.jp/_res/projects/default_project/_page_/001/045/465/4ji_sasshi.pdf</t>
        </is>
      </c>
    </row>
    <row r="6">
      <c r="A6" s="7" t="n">
        <v>2</v>
      </c>
      <c r="B6" s="7" t="inlineStr">
        <is>
          <t>足利市</t>
        </is>
      </c>
      <c r="C6" s="8">
        <f>IF(OR(D6="◎",E6="◎"),"◎ 営業",IF(OR(D6="△",E6="△"),"△ 着手済・要確認",IF(OR(D6="？",E6="？"),"？ 期間要確認","✕ 対象外")))</f>
        <v/>
      </c>
      <c r="D6" s="9">
        <f>IF(J6="計画なし","－",IF(J6="策定済","✕",IF(H6="","？",IF(H6&lt;=$B$3,IF(J6="着手済","△","◎"),"✕"))))</f>
        <v/>
      </c>
      <c r="E6" s="9">
        <f>IF(O6="計画なし","－",IF(O6="策定済","✕",IF(M6="","？",IF(M6&lt;=$B$3,IF(O6="着手済","△","◎"),"✕"))))</f>
        <v/>
      </c>
      <c r="F6" s="7" t="inlineStr">
        <is>
          <t>足利市地域公共交通計画</t>
        </is>
      </c>
      <c r="G6" s="7" t="inlineStr">
        <is>
          <t>R5〜R11</t>
        </is>
      </c>
      <c r="H6" s="9" t="n">
        <v>11</v>
      </c>
      <c r="I6" s="9" t="inlineStr">
        <is>
          <t>確認済</t>
        </is>
      </c>
      <c r="J6" s="9" t="inlineStr">
        <is>
          <t>未確認</t>
        </is>
      </c>
      <c r="K6" s="7" t="inlineStr">
        <is>
          <t>第3次足利市環境基本計画</t>
        </is>
      </c>
      <c r="L6" s="7" t="inlineStr">
        <is>
          <t>R4〜R11</t>
        </is>
      </c>
      <c r="M6" s="9" t="n">
        <v>11</v>
      </c>
      <c r="N6" s="9" t="inlineStr">
        <is>
          <t>確認済</t>
        </is>
      </c>
      <c r="O6" s="9" t="inlineStr">
        <is>
          <t>未確認</t>
        </is>
      </c>
      <c r="P6" s="7" t="inlineStr">
        <is>
          <t>どちらもR11まで。改定の動きは見つからず。</t>
        </is>
      </c>
      <c r="Q6" s="10" t="inlineStr">
        <is>
          <t>https://www.city.ashikaga.tochigi.jp/manage/contents/upload/64dc71a539bc0.pdf</t>
        </is>
      </c>
      <c r="R6" s="10" t="inlineStr">
        <is>
          <t>https://www.city.ashikaga.tochigi.jp/manage/contents/upload/633fd39cd506a.pdf</t>
        </is>
      </c>
    </row>
    <row r="7">
      <c r="A7" s="7" t="n">
        <v>3</v>
      </c>
      <c r="B7" s="7" t="inlineStr">
        <is>
          <t>栃木市</t>
        </is>
      </c>
      <c r="C7" s="8">
        <f>IF(OR(D7="◎",E7="◎"),"◎ 営業",IF(OR(D7="△",E7="△"),"△ 着手済・要確認",IF(OR(D7="？",E7="？"),"？ 期間要確認","✕ 対象外")))</f>
        <v/>
      </c>
      <c r="D7" s="9">
        <f>IF(J7="計画なし","－",IF(J7="策定済","✕",IF(H7="","？",IF(H7&lt;=$B$3,IF(J7="着手済","△","◎"),"✕"))))</f>
        <v/>
      </c>
      <c r="E7" s="9">
        <f>IF(O7="計画なし","－",IF(O7="策定済","✕",IF(M7="","？",IF(M7&lt;=$B$3,IF(O7="着手済","△","◎"),"✕"))))</f>
        <v/>
      </c>
      <c r="F7" s="7" t="inlineStr">
        <is>
          <t>栃木市地域公共交通計画（R6.6改定）</t>
        </is>
      </c>
      <c r="G7" s="7" t="inlineStr">
        <is>
          <t>R6.6〜R9</t>
        </is>
      </c>
      <c r="H7" s="9" t="n">
        <v>9</v>
      </c>
      <c r="I7" s="9" t="inlineStr">
        <is>
          <t>確認済</t>
        </is>
      </c>
      <c r="J7" s="9" t="inlineStr">
        <is>
          <t>未確認</t>
        </is>
      </c>
      <c r="K7" s="7" t="inlineStr">
        <is>
          <t>第2次栃木市環境基本計画</t>
        </is>
      </c>
      <c r="L7" s="7" t="inlineStr">
        <is>
          <t>R5〜R14</t>
        </is>
      </c>
      <c r="M7" s="9" t="n">
        <v>14</v>
      </c>
      <c r="N7" s="9" t="inlineStr">
        <is>
          <t>確認済</t>
        </is>
      </c>
      <c r="O7" s="9" t="inlineStr">
        <is>
          <t>未確認</t>
        </is>
      </c>
      <c r="P7" s="7" t="inlineStr">
        <is>
          <t>交通：次期「第2次」をR10〜R14で予定。策定業務の公告はまだ見つからず。</t>
        </is>
      </c>
      <c r="Q7" s="10" t="inlineStr">
        <is>
          <t>https://www.city.tochigi.lg.jp/uploaded/attachment/56361.pdf</t>
        </is>
      </c>
      <c r="R7" s="10" t="inlineStr">
        <is>
          <t>https://www.city.tochigi.lg.jp/uploaded/attachment/60576.pdf</t>
        </is>
      </c>
    </row>
    <row r="8">
      <c r="A8" s="7" t="n">
        <v>4</v>
      </c>
      <c r="B8" s="7" t="inlineStr">
        <is>
          <t>佐野市</t>
        </is>
      </c>
      <c r="C8" s="8">
        <f>IF(OR(D8="◎",E8="◎"),"◎ 営業",IF(OR(D8="△",E8="△"),"△ 着手済・要確認",IF(OR(D8="？",E8="？"),"？ 期間要確認","✕ 対象外")))</f>
        <v/>
      </c>
      <c r="D8" s="9">
        <f>IF(J8="計画なし","－",IF(J8="策定済","✕",IF(H8="","？",IF(H8&lt;=$B$3,IF(J8="着手済","△","◎"),"✕"))))</f>
        <v/>
      </c>
      <c r="E8" s="9">
        <f>IF(O8="計画なし","－",IF(O8="策定済","✕",IF(M8="","？",IF(M8&lt;=$B$3,IF(O8="着手済","△","◎"),"✕"))))</f>
        <v/>
      </c>
      <c r="F8" s="7" t="inlineStr">
        <is>
          <t>第2次佐野市地域公共交通計画</t>
        </is>
      </c>
      <c r="G8" s="7" t="inlineStr">
        <is>
          <t>R8〜R12</t>
        </is>
      </c>
      <c r="H8" s="9" t="n">
        <v>12</v>
      </c>
      <c r="I8" s="9" t="inlineStr">
        <is>
          <t>確認済</t>
        </is>
      </c>
      <c r="J8" s="9" t="inlineStr">
        <is>
          <t>策定済</t>
        </is>
      </c>
      <c r="K8" s="7" t="inlineStr">
        <is>
          <t>第2次佐野市環境基本計画（後期計画）</t>
        </is>
      </c>
      <c r="L8" s="7" t="inlineStr">
        <is>
          <t>R8〜R11</t>
        </is>
      </c>
      <c r="M8" s="9" t="n">
        <v>11</v>
      </c>
      <c r="N8" s="9" t="inlineStr">
        <is>
          <t>確認済</t>
        </is>
      </c>
      <c r="O8" s="9" t="inlineStr">
        <is>
          <t>策定済</t>
        </is>
      </c>
      <c r="P8" s="7" t="inlineStr">
        <is>
          <t>交通・環境とも新計画をR8.3策定済。</t>
        </is>
      </c>
      <c r="Q8" s="10" t="inlineStr">
        <is>
          <t>https://www.city.sano.lg.jp/material/files/group/1/koutuukeikaku2.pdf</t>
        </is>
      </c>
      <c r="R8" s="10" t="inlineStr">
        <is>
          <t>https://www.city.sano.lg.jp/material/files/group/1/kankyoukouki2.pdf</t>
        </is>
      </c>
    </row>
    <row r="9">
      <c r="A9" s="7" t="n">
        <v>5</v>
      </c>
      <c r="B9" s="7" t="inlineStr">
        <is>
          <t>鹿沼市</t>
        </is>
      </c>
      <c r="C9" s="8">
        <f>IF(OR(D9="◎",E9="◎"),"◎ 営業",IF(OR(D9="△",E9="△"),"△ 着手済・要確認",IF(OR(D9="？",E9="？"),"？ 期間要確認","✕ 対象外")))</f>
        <v/>
      </c>
      <c r="D9" s="9">
        <f>IF(J9="計画なし","－",IF(J9="策定済","✕",IF(H9="","？",IF(H9&lt;=$B$3,IF(J9="着手済","△","◎"),"✕"))))</f>
        <v/>
      </c>
      <c r="E9" s="9">
        <f>IF(O9="計画なし","－",IF(O9="策定済","✕",IF(M9="","？",IF(M9&lt;=$B$3,IF(O9="着手済","△","◎"),"✕"))))</f>
        <v/>
      </c>
      <c r="F9" s="7" t="inlineStr">
        <is>
          <t>鹿沼市地域公共交通計画</t>
        </is>
      </c>
      <c r="G9" s="7" t="inlineStr">
        <is>
          <t>R4〜R9</t>
        </is>
      </c>
      <c r="H9" s="9" t="n">
        <v>9</v>
      </c>
      <c r="I9" s="9" t="inlineStr">
        <is>
          <t>確認済</t>
        </is>
      </c>
      <c r="J9" s="9" t="inlineStr">
        <is>
          <t>未確認</t>
        </is>
      </c>
      <c r="K9" s="7" t="inlineStr">
        <is>
          <t>第5次鹿沼市環境基本計画</t>
        </is>
      </c>
      <c r="L9" s="7" t="inlineStr">
        <is>
          <t>R4〜R8</t>
        </is>
      </c>
      <c r="M9" s="9" t="n">
        <v>8</v>
      </c>
      <c r="N9" s="9" t="inlineStr">
        <is>
          <t>確認済</t>
        </is>
      </c>
      <c r="O9" s="9" t="inlineStr">
        <is>
          <t>未確認</t>
        </is>
      </c>
      <c r="P9" s="7" t="inlineStr">
        <is>
          <t>環境は今年度（R8）で終了。第6次の業務委託・パブコメ等は見つからず（延長の可能性もあり、環境課に要確認）。交通は予約バス運行事業者選定プロポ（R9〜R11）のみ。</t>
        </is>
      </c>
      <c r="Q9" s="10" t="inlineStr">
        <is>
          <t>https://www.city.kanuma.tochigi.jp/manage/contents/upload/623824c0af645.pdf</t>
        </is>
      </c>
      <c r="R9" s="10" t="inlineStr">
        <is>
          <t>https://www.city.kanuma.tochigi.jp/0097/info-0000007871-1.html</t>
        </is>
      </c>
    </row>
    <row r="10">
      <c r="A10" s="7" t="n">
        <v>6</v>
      </c>
      <c r="B10" s="7" t="inlineStr">
        <is>
          <t>日光市</t>
        </is>
      </c>
      <c r="C10" s="8">
        <f>IF(OR(D10="◎",E10="◎"),"◎ 営業",IF(OR(D10="△",E10="△"),"△ 着手済・要確認",IF(OR(D10="？",E10="？"),"？ 期間要確認","✕ 対象外")))</f>
        <v/>
      </c>
      <c r="D10" s="9">
        <f>IF(J10="計画なし","－",IF(J10="策定済","✕",IF(H10="","？",IF(H10&lt;=$B$3,IF(J10="着手済","△","◎"),"✕"))))</f>
        <v/>
      </c>
      <c r="E10" s="9">
        <f>IF(O10="計画なし","－",IF(O10="策定済","✕",IF(M10="","？",IF(M10&lt;=$B$3,IF(O10="着手済","△","◎"),"✕"))))</f>
        <v/>
      </c>
      <c r="F10" s="7" t="inlineStr">
        <is>
          <t>日光市地域公共交通計画</t>
        </is>
      </c>
      <c r="G10" s="7" t="inlineStr">
        <is>
          <t>R5.4〜R10.3</t>
        </is>
      </c>
      <c r="H10" s="9" t="n">
        <v>9</v>
      </c>
      <c r="I10" s="9" t="inlineStr">
        <is>
          <t>確認済</t>
        </is>
      </c>
      <c r="J10" s="9" t="inlineStr">
        <is>
          <t>未確認</t>
        </is>
      </c>
      <c r="K10" s="7" t="inlineStr">
        <is>
          <t>第2次日光市環境基本計画（R1.12策定）</t>
        </is>
      </c>
      <c r="L10" s="7" t="inlineStr">
        <is>
          <t>R2〜R11（推定）</t>
        </is>
      </c>
      <c r="M10" s="11" t="n">
        <v>11</v>
      </c>
      <c r="N10" s="9" t="inlineStr">
        <is>
          <t>推定</t>
        </is>
      </c>
      <c r="O10" s="9" t="inlineStr">
        <is>
          <t>未確認</t>
        </is>
      </c>
      <c r="P10" s="7" t="inlineStr">
        <is>
          <t>交通：R8施政方針は現計画の継続のみ。次期計画の業務委託は見つからず。</t>
        </is>
      </c>
      <c r="Q10" s="10" t="inlineStr">
        <is>
          <t>https://www.city.nikko.lg.jp/material/files/group/33/tiikikoukyoukoutuukeikaku.pdf</t>
        </is>
      </c>
      <c r="R10" s="10" t="inlineStr">
        <is>
          <t>https://www.city.nikko.lg.jp/soshiki/6/1031/5/1/1/125.html</t>
        </is>
      </c>
    </row>
    <row r="11">
      <c r="A11" s="7" t="n">
        <v>7</v>
      </c>
      <c r="B11" s="7" t="inlineStr">
        <is>
          <t>小山市</t>
        </is>
      </c>
      <c r="C11" s="8">
        <f>IF(OR(D11="◎",E11="◎"),"◎ 営業",IF(OR(D11="△",E11="△"),"△ 着手済・要確認",IF(OR(D11="？",E11="？"),"？ 期間要確認","✕ 対象外")))</f>
        <v/>
      </c>
      <c r="D11" s="9">
        <f>IF(J11="計画なし","－",IF(J11="策定済","✕",IF(H11="","？",IF(H11&lt;=$B$3,IF(J11="着手済","△","◎"),"✕"))))</f>
        <v/>
      </c>
      <c r="E11" s="9">
        <f>IF(O11="計画なし","－",IF(O11="策定済","✕",IF(M11="","？",IF(M11&lt;=$B$3,IF(O11="着手済","△","◎"),"✕"))))</f>
        <v/>
      </c>
      <c r="F11" s="7" t="inlineStr">
        <is>
          <t>小山市地域公共交通計画</t>
        </is>
      </c>
      <c r="G11" s="7" t="inlineStr">
        <is>
          <t>R5.10〜R8.9</t>
        </is>
      </c>
      <c r="H11" s="9" t="n">
        <v>8</v>
      </c>
      <c r="I11" s="9" t="inlineStr">
        <is>
          <t>確認済</t>
        </is>
      </c>
      <c r="J11" s="9" t="inlineStr">
        <is>
          <t>着手済</t>
        </is>
      </c>
      <c r="K11" s="7" t="inlineStr">
        <is>
          <t>第4次小山市環境基本計画</t>
        </is>
      </c>
      <c r="L11" s="7" t="inlineStr">
        <is>
          <t>R5〜R14</t>
        </is>
      </c>
      <c r="M11" s="9" t="n">
        <v>14</v>
      </c>
      <c r="N11" s="9" t="inlineStr">
        <is>
          <t>確認済</t>
        </is>
      </c>
      <c r="O11" s="9" t="inlineStr">
        <is>
          <t>未確認</t>
        </is>
      </c>
      <c r="P11" s="7" t="inlineStr">
        <is>
          <t>【改定作業中】交通：改訂支援業務をR7.6に公告、R8.5〜6に案のパブコメ。次期計画はR8.10〜R14.3。委託先は決定済。</t>
        </is>
      </c>
      <c r="Q11" s="10" t="inlineStr">
        <is>
          <t>https://www.city.oyama.tochigi.jp/o-bus/news/page011195.html</t>
        </is>
      </c>
      <c r="R11" s="10" t="inlineStr">
        <is>
          <t>https://www.city.oyama.tochigi.jp/data/doc/1700382745_doc_21_0.pdf</t>
        </is>
      </c>
    </row>
    <row r="12">
      <c r="A12" s="7" t="n">
        <v>8</v>
      </c>
      <c r="B12" s="7" t="inlineStr">
        <is>
          <t>真岡市</t>
        </is>
      </c>
      <c r="C12" s="8">
        <f>IF(OR(D12="◎",E12="◎"),"◎ 営業",IF(OR(D12="△",E12="△"),"△ 着手済・要確認",IF(OR(D12="？",E12="？"),"？ 期間要確認","✕ 対象外")))</f>
        <v/>
      </c>
      <c r="D12" s="9">
        <f>IF(J12="計画なし","－",IF(J12="策定済","✕",IF(H12="","？",IF(H12&lt;=$B$3,IF(J12="着手済","△","◎"),"✕"))))</f>
        <v/>
      </c>
      <c r="E12" s="9">
        <f>IF(O12="計画なし","－",IF(O12="策定済","✕",IF(M12="","？",IF(M12&lt;=$B$3,IF(O12="着手済","△","◎"),"✕"))))</f>
        <v/>
      </c>
      <c r="F12" s="7" t="inlineStr">
        <is>
          <t>真岡市地域公共交通計画（R8.3策定）</t>
        </is>
      </c>
      <c r="G12" s="7" t="inlineStr">
        <is>
          <t>R8〜R12</t>
        </is>
      </c>
      <c r="H12" s="9" t="n">
        <v>12</v>
      </c>
      <c r="I12" s="9" t="inlineStr">
        <is>
          <t>確認済</t>
        </is>
      </c>
      <c r="J12" s="9" t="inlineStr">
        <is>
          <t>策定済</t>
        </is>
      </c>
      <c r="K12" s="7" t="inlineStr">
        <is>
          <t>第3次真岡市環境基本計画</t>
        </is>
      </c>
      <c r="L12" s="7" t="inlineStr">
        <is>
          <t>R8〜R17</t>
        </is>
      </c>
      <c r="M12" s="9" t="n">
        <v>17</v>
      </c>
      <c r="N12" s="9" t="inlineStr">
        <is>
          <t>確認済</t>
        </is>
      </c>
      <c r="O12" s="9" t="inlineStr">
        <is>
          <t>策定済</t>
        </is>
      </c>
      <c r="P12" s="7" t="inlineStr">
        <is>
          <t>交通・環境とも新計画をR8策定済。</t>
        </is>
      </c>
      <c r="Q12" s="10" t="inlineStr">
        <is>
          <t>https://www.city.moka.lg.jp/material/files/group/47/kotsu_plan_r8.pdf</t>
        </is>
      </c>
      <c r="R12" s="10" t="inlineStr">
        <is>
          <t>https://www.city.moka.lg.jp/material/files/group/22/20260416kankyougaiyouban.pdf</t>
        </is>
      </c>
    </row>
    <row r="13">
      <c r="A13" s="7" t="n">
        <v>9</v>
      </c>
      <c r="B13" s="7" t="inlineStr">
        <is>
          <t>大田原市</t>
        </is>
      </c>
      <c r="C13" s="8">
        <f>IF(OR(D13="◎",E13="◎"),"◎ 営業",IF(OR(D13="△",E13="△"),"△ 着手済・要確認",IF(OR(D13="？",E13="？"),"？ 期間要確認","✕ 対象外")))</f>
        <v/>
      </c>
      <c r="D13" s="9">
        <f>IF(J13="計画なし","－",IF(J13="策定済","✕",IF(H13="","？",IF(H13&lt;=$B$3,IF(J13="着手済","△","◎"),"✕"))))</f>
        <v/>
      </c>
      <c r="E13" s="9">
        <f>IF(O13="計画なし","－",IF(O13="策定済","✕",IF(M13="","？",IF(M13&lt;=$B$3,IF(O13="着手済","△","◎"),"✕"))))</f>
        <v/>
      </c>
      <c r="F13" s="7" t="inlineStr">
        <is>
          <t>大田原市地域公共交通計画</t>
        </is>
      </c>
      <c r="G13" s="7" t="inlineStr">
        <is>
          <t>R4〜R9</t>
        </is>
      </c>
      <c r="H13" s="9" t="n">
        <v>9</v>
      </c>
      <c r="I13" s="9" t="inlineStr">
        <is>
          <t>確認済</t>
        </is>
      </c>
      <c r="J13" s="9" t="inlineStr">
        <is>
          <t>着手済</t>
        </is>
      </c>
      <c r="K13" s="7" t="inlineStr">
        <is>
          <t>大田原市環境基本計画（第三次計画）</t>
        </is>
      </c>
      <c r="L13" s="7" t="inlineStr">
        <is>
          <t>R8〜（終期はR17と推定）</t>
        </is>
      </c>
      <c r="M13" s="11" t="n">
        <v>17</v>
      </c>
      <c r="N13" s="9" t="inlineStr">
        <is>
          <t>推定</t>
        </is>
      </c>
      <c r="O13" s="9" t="inlineStr">
        <is>
          <t>策定済</t>
        </is>
      </c>
      <c r="P13" s="7" t="inlineStr">
        <is>
          <t>【改定作業中】交通：次期計画（R10〜5年間）の策定調査業務の公募型プロポを2026-07-31に公告。環境：第三次をR8策定済。</t>
        </is>
      </c>
      <c r="Q13" s="10" t="inlineStr">
        <is>
          <t>https://www.city.ohtawara.tochigi.jp/docs/2026073100056</t>
        </is>
      </c>
      <c r="R13" s="10" t="inlineStr">
        <is>
          <t>https://www.city.ohtawara.tochigi.jp/docs/2026013000019</t>
        </is>
      </c>
    </row>
    <row r="14">
      <c r="A14" s="7" t="n">
        <v>10</v>
      </c>
      <c r="B14" s="7" t="inlineStr">
        <is>
          <t>矢板市</t>
        </is>
      </c>
      <c r="C14" s="8">
        <f>IF(OR(D14="◎",E14="◎"),"◎ 営業",IF(OR(D14="△",E14="△"),"△ 着手済・要確認",IF(OR(D14="？",E14="？"),"？ 期間要確認","✕ 対象外")))</f>
        <v/>
      </c>
      <c r="D14" s="9">
        <f>IF(J14="計画なし","－",IF(J14="策定済","✕",IF(H14="","？",IF(H14&lt;=$B$3,IF(J14="着手済","△","◎"),"✕"))))</f>
        <v/>
      </c>
      <c r="E14" s="9">
        <f>IF(O14="計画なし","－",IF(O14="策定済","✕",IF(M14="","？",IF(M14&lt;=$B$3,IF(O14="着手済","△","◎"),"✕"))))</f>
        <v/>
      </c>
      <c r="F14" s="7" t="inlineStr">
        <is>
          <t>矢板市地域公共交通計画（R8.4策定）</t>
        </is>
      </c>
      <c r="G14" s="7" t="inlineStr">
        <is>
          <t>R8〜（終期不明）</t>
        </is>
      </c>
      <c r="H14" s="9" t="n"/>
      <c r="I14" s="9" t="inlineStr">
        <is>
          <t>不明</t>
        </is>
      </c>
      <c r="J14" s="9" t="inlineStr">
        <is>
          <t>策定済</t>
        </is>
      </c>
      <c r="K14" s="7" t="inlineStr">
        <is>
          <t>矢板市環境基本計画（R4.3策定）</t>
        </is>
      </c>
      <c r="L14" s="7" t="inlineStr">
        <is>
          <t>R4〜（終期不明）</t>
        </is>
      </c>
      <c r="M14" s="9" t="n"/>
      <c r="N14" s="9" t="inlineStr">
        <is>
          <t>不明</t>
        </is>
      </c>
      <c r="O14" s="9" t="inlineStr">
        <is>
          <t>未確認</t>
        </is>
      </c>
      <c r="P14" s="7" t="inlineStr">
        <is>
          <t>交通：新計画をR8.4策定済。環境：期間を確認できず（温暖化対策は別の気候変動対策計画 R5〜R13）。</t>
        </is>
      </c>
      <c r="Q14" s="10" t="inlineStr">
        <is>
          <t>https://www.city.yaita.tochigi.jp/soshiki/toshiseibi/koukyoukoutsu-plan.html</t>
        </is>
      </c>
      <c r="R14" s="10" t="inlineStr">
        <is>
          <t>https://www.city.yaita.tochigi.jp/soshiki/seikatsukankyou/kankyo-kihon.html</t>
        </is>
      </c>
    </row>
    <row r="15">
      <c r="A15" s="7" t="n">
        <v>11</v>
      </c>
      <c r="B15" s="7" t="inlineStr">
        <is>
          <t>那須塩原市</t>
        </is>
      </c>
      <c r="C15" s="8">
        <f>IF(OR(D15="◎",E15="◎"),"◎ 営業",IF(OR(D15="△",E15="△"),"△ 着手済・要確認",IF(OR(D15="？",E15="？"),"？ 期間要確認","✕ 対象外")))</f>
        <v/>
      </c>
      <c r="D15" s="9">
        <f>IF(J15="計画なし","－",IF(J15="策定済","✕",IF(H15="","？",IF(H15&lt;=$B$3,IF(J15="着手済","△","◎"),"✕"))))</f>
        <v/>
      </c>
      <c r="E15" s="9">
        <f>IF(O15="計画なし","－",IF(O15="策定済","✕",IF(M15="","？",IF(M15&lt;=$B$3,IF(O15="着手済","△","◎"),"✕"))))</f>
        <v/>
      </c>
      <c r="F15" s="7" t="inlineStr">
        <is>
          <t>第2次那須塩原市地域公共交通計画／那須地域定住自立圏計画</t>
        </is>
      </c>
      <c r="G15" s="7" t="inlineStr">
        <is>
          <t>R5〜R9</t>
        </is>
      </c>
      <c r="H15" s="9" t="n">
        <v>9</v>
      </c>
      <c r="I15" s="9" t="inlineStr">
        <is>
          <t>確認済</t>
        </is>
      </c>
      <c r="J15" s="9" t="inlineStr">
        <is>
          <t>未確認</t>
        </is>
      </c>
      <c r="K15" s="7" t="inlineStr">
        <is>
          <t>第2期那須塩原市環境基本計画【改定版】</t>
        </is>
      </c>
      <c r="L15" s="7" t="inlineStr">
        <is>
          <t>H29〜R12（延長）</t>
        </is>
      </c>
      <c r="M15" s="9" t="n">
        <v>12</v>
      </c>
      <c r="N15" s="9" t="inlineStr">
        <is>
          <t>確認済</t>
        </is>
      </c>
      <c r="O15" s="9" t="inlineStr">
        <is>
          <t>策定済</t>
        </is>
      </c>
      <c r="P15" s="7" t="inlineStr">
        <is>
          <t>環境：改定版で終期をR9からR12へ延長（R7.11審議会報告。最終策定は要確認）。交通：第3次の策定業務は見つからず。定住自立圏計画（4市町共同）もR9で終了。</t>
        </is>
      </c>
      <c r="Q15" s="10" t="inlineStr">
        <is>
          <t>https://www.city.nasushiobara.tochigi.jp/material/files/group/15/nasushiobaracity_2nd_publictransportation.pdf</t>
        </is>
      </c>
      <c r="R15" s="10" t="inlineStr">
        <is>
          <t>https://www.city.nasushiobara.tochigi.jp/material/files/group/13/dai2ki_kankyokihonkeikaku_an.pdf</t>
        </is>
      </c>
    </row>
    <row r="16">
      <c r="A16" s="7" t="n">
        <v>12</v>
      </c>
      <c r="B16" s="7" t="inlineStr">
        <is>
          <t>さくら市</t>
        </is>
      </c>
      <c r="C16" s="8">
        <f>IF(OR(D16="◎",E16="◎"),"◎ 営業",IF(OR(D16="△",E16="△"),"△ 着手済・要確認",IF(OR(D16="？",E16="？"),"？ 期間要確認","✕ 対象外")))</f>
        <v/>
      </c>
      <c r="D16" s="9">
        <f>IF(J16="計画なし","－",IF(J16="策定済","✕",IF(H16="","？",IF(H16&lt;=$B$3,IF(J16="着手済","△","◎"),"✕"))))</f>
        <v/>
      </c>
      <c r="E16" s="9">
        <f>IF(O16="計画なし","－",IF(O16="策定済","✕",IF(M16="","？",IF(M16&lt;=$B$3,IF(O16="着手済","△","◎"),"✕"))))</f>
        <v/>
      </c>
      <c r="F16" s="7" t="inlineStr">
        <is>
          <t>さくら市地域公共交通計画（R6.3策定）</t>
        </is>
      </c>
      <c r="G16" s="7" t="inlineStr">
        <is>
          <t>R6〜R10（推定）</t>
        </is>
      </c>
      <c r="H16" s="11" t="n">
        <v>10</v>
      </c>
      <c r="I16" s="9" t="inlineStr">
        <is>
          <t>推定</t>
        </is>
      </c>
      <c r="J16" s="9" t="inlineStr">
        <is>
          <t>未確認</t>
        </is>
      </c>
      <c r="K16" s="7" t="inlineStr">
        <is>
          <t>第2次さくら市環境基本計画</t>
        </is>
      </c>
      <c r="L16" s="7" t="inlineStr">
        <is>
          <t>H30〜R9</t>
        </is>
      </c>
      <c r="M16" s="9" t="n">
        <v>9</v>
      </c>
      <c r="N16" s="9" t="inlineStr">
        <is>
          <t>確認済</t>
        </is>
      </c>
      <c r="O16" s="9" t="inlineStr">
        <is>
          <t>未確認</t>
        </is>
      </c>
      <c r="P16" s="7" t="inlineStr">
        <is>
          <t>環境はR9で終了。第3次の業務委託・アンケートは見つからず。</t>
        </is>
      </c>
      <c r="Q16" s="10" t="inlineStr">
        <is>
          <t>https://www.city.tochigi-sakura.lg.jp/life/000017/p003140.html</t>
        </is>
      </c>
      <c r="R16" s="10" t="inlineStr">
        <is>
          <t>https://www.city.tochigi-sakura.lg.jp/life/000014/000121/000403/p001957.html</t>
        </is>
      </c>
    </row>
    <row r="17">
      <c r="A17" s="7" t="n">
        <v>13</v>
      </c>
      <c r="B17" s="7" t="inlineStr">
        <is>
          <t>那須烏山市</t>
        </is>
      </c>
      <c r="C17" s="8">
        <f>IF(OR(D17="◎",E17="◎"),"◎ 営業",IF(OR(D17="△",E17="△"),"△ 着手済・要確認",IF(OR(D17="？",E17="？"),"？ 期間要確認","✕ 対象外")))</f>
        <v/>
      </c>
      <c r="D17" s="9">
        <f>IF(J17="計画なし","－",IF(J17="策定済","✕",IF(H17="","？",IF(H17&lt;=$B$3,IF(J17="着手済","△","◎"),"✕"))))</f>
        <v/>
      </c>
      <c r="E17" s="9">
        <f>IF(O17="計画なし","－",IF(O17="策定済","✕",IF(M17="","？",IF(M17&lt;=$B$3,IF(O17="着手済","△","◎"),"✕"))))</f>
        <v/>
      </c>
      <c r="F17" s="7" t="inlineStr">
        <is>
          <t>那須烏山市地域公共交通計画</t>
        </is>
      </c>
      <c r="G17" s="7" t="inlineStr">
        <is>
          <t>R3〜R7（推定）</t>
        </is>
      </c>
      <c r="H17" s="11" t="n">
        <v>7</v>
      </c>
      <c r="I17" s="9" t="inlineStr">
        <is>
          <t>推定</t>
        </is>
      </c>
      <c r="J17" s="9" t="inlineStr">
        <is>
          <t>未確認</t>
        </is>
      </c>
      <c r="K17" s="7" t="inlineStr">
        <is>
          <t>第2次那須烏山市環境基本計画（R4頃策定）</t>
        </is>
      </c>
      <c r="L17" s="7" t="inlineStr">
        <is>
          <t>不明</t>
        </is>
      </c>
      <c r="M17" s="9" t="n"/>
      <c r="N17" s="9" t="inlineStr">
        <is>
          <t>不明</t>
        </is>
      </c>
      <c r="O17" s="9" t="inlineStr">
        <is>
          <t>未確認</t>
        </is>
      </c>
      <c r="P17" s="7" t="inlineStr">
        <is>
          <t>交通：R7で終了とみられるが、次の計画の状況（策定済・延長・作業中）を確認できず。直接確認が必要。</t>
        </is>
      </c>
      <c r="Q17" s="10" t="inlineStr">
        <is>
          <t>https://www.city.nasukarasuyama.lg.jp/page/page000722.html</t>
        </is>
      </c>
      <c r="R17" s="10" t="inlineStr">
        <is>
          <t>https://www.city.nasukarasuyama.lg.jp/page/page000773.html</t>
        </is>
      </c>
    </row>
    <row r="18">
      <c r="A18" s="7" t="n">
        <v>14</v>
      </c>
      <c r="B18" s="7" t="inlineStr">
        <is>
          <t>下野市</t>
        </is>
      </c>
      <c r="C18" s="8">
        <f>IF(OR(D18="◎",E18="◎"),"◎ 営業",IF(OR(D18="△",E18="△"),"△ 着手済・要確認",IF(OR(D18="？",E18="？"),"？ 期間要確認","✕ 対象外")))</f>
        <v/>
      </c>
      <c r="D18" s="9">
        <f>IF(J18="計画なし","－",IF(J18="策定済","✕",IF(H18="","？",IF(H18&lt;=$B$3,IF(J18="着手済","△","◎"),"✕"))))</f>
        <v/>
      </c>
      <c r="E18" s="9">
        <f>IF(O18="計画なし","－",IF(O18="策定済","✕",IF(M18="","？",IF(M18&lt;=$B$3,IF(O18="着手済","△","◎"),"✕"))))</f>
        <v/>
      </c>
      <c r="F18" s="7" t="inlineStr">
        <is>
          <t>下野市地域公共交通計画（R8.3策定）</t>
        </is>
      </c>
      <c r="G18" s="7" t="inlineStr">
        <is>
          <t>R8〜R12（推定）</t>
        </is>
      </c>
      <c r="H18" s="11" t="n">
        <v>12</v>
      </c>
      <c r="I18" s="9" t="inlineStr">
        <is>
          <t>推定</t>
        </is>
      </c>
      <c r="J18" s="9" t="inlineStr">
        <is>
          <t>策定済</t>
        </is>
      </c>
      <c r="K18" s="7" t="inlineStr">
        <is>
          <t>第2次下野市環境基本計画</t>
        </is>
      </c>
      <c r="L18" s="7" t="inlineStr">
        <is>
          <t>不明</t>
        </is>
      </c>
      <c r="M18" s="9" t="n"/>
      <c r="N18" s="9" t="inlineStr">
        <is>
          <t>不明</t>
        </is>
      </c>
      <c r="O18" s="9" t="inlineStr">
        <is>
          <t>未確認</t>
        </is>
      </c>
      <c r="P18" s="7" t="inlineStr">
        <is>
          <t>交通：新計画をR8.3策定済。環境：期間を確認できず。</t>
        </is>
      </c>
      <c r="Q18" s="10" t="inlineStr">
        <is>
          <t>https://www.city.shimotsuke.lg.jp/0170/info-0000005122-3.html</t>
        </is>
      </c>
      <c r="R18" s="10" t="inlineStr">
        <is>
          <t>https://www.city.shimotsuke.lg.jp/office0109/section-3.html</t>
        </is>
      </c>
    </row>
    <row r="19">
      <c r="A19" s="7" t="n">
        <v>15</v>
      </c>
      <c r="B19" s="7" t="inlineStr">
        <is>
          <t>上三川町</t>
        </is>
      </c>
      <c r="C19" s="8">
        <f>IF(OR(D19="◎",E19="◎"),"◎ 営業",IF(OR(D19="△",E19="△"),"△ 着手済・要確認",IF(OR(D19="？",E19="？"),"？ 期間要確認","✕ 対象外")))</f>
        <v/>
      </c>
      <c r="D19" s="9">
        <f>IF(J19="計画なし","－",IF(J19="策定済","✕",IF(H19="","？",IF(H19&lt;=$B$3,IF(J19="着手済","△","◎"),"✕"))))</f>
        <v/>
      </c>
      <c r="E19" s="9">
        <f>IF(O19="計画なし","－",IF(O19="策定済","✕",IF(M19="","？",IF(M19&lt;=$B$3,IF(O19="着手済","△","◎"),"✕"))))</f>
        <v/>
      </c>
      <c r="F19" s="7" t="inlineStr">
        <is>
          <t>上三川町地域公共交通計画（R4.6改定）</t>
        </is>
      </c>
      <c r="G19" s="7" t="inlineStr">
        <is>
          <t>H30〜（終期不明）</t>
        </is>
      </c>
      <c r="H19" s="9" t="n"/>
      <c r="I19" s="9" t="inlineStr">
        <is>
          <t>不明</t>
        </is>
      </c>
      <c r="J19" s="9" t="inlineStr">
        <is>
          <t>未確認</t>
        </is>
      </c>
      <c r="K19" s="7" t="inlineStr">
        <is>
          <t>（環境基本計画なし）区域施策編・適応計画</t>
        </is>
      </c>
      <c r="L19" s="7" t="inlineStr">
        <is>
          <t>R6〜R12</t>
        </is>
      </c>
      <c r="M19" s="9" t="n">
        <v>12</v>
      </c>
      <c r="N19" s="9" t="inlineStr">
        <is>
          <t>確認済</t>
        </is>
      </c>
      <c r="O19" s="9" t="inlineStr">
        <is>
          <t>計画なし</t>
        </is>
      </c>
      <c r="P19" s="7" t="inlineStr">
        <is>
          <t>交通：R7の協議会資料に計画改定の報告あり（中程度の確度・要確認）。</t>
        </is>
      </c>
      <c r="Q19" s="10" t="inlineStr">
        <is>
          <t>https://www.town.kaminokawa.lg.jp/0166/info-0000001338-0.html</t>
        </is>
      </c>
      <c r="R19" s="10" t="inlineStr">
        <is>
          <t>https://www.town.kaminokawa.lg.jp/0003/info-0000003247-0.html</t>
        </is>
      </c>
    </row>
    <row r="20">
      <c r="A20" s="7" t="n">
        <v>16</v>
      </c>
      <c r="B20" s="7" t="inlineStr">
        <is>
          <t>益子町</t>
        </is>
      </c>
      <c r="C20" s="8">
        <f>IF(OR(D20="◎",E20="◎"),"◎ 営業",IF(OR(D20="△",E20="△"),"△ 着手済・要確認",IF(OR(D20="？",E20="？"),"？ 期間要確認","✕ 対象外")))</f>
        <v/>
      </c>
      <c r="D20" s="9">
        <f>IF(J20="計画なし","－",IF(J20="策定済","✕",IF(H20="","？",IF(H20&lt;=$B$3,IF(J20="着手済","△","◎"),"✕"))))</f>
        <v/>
      </c>
      <c r="E20" s="9">
        <f>IF(O20="計画なし","－",IF(O20="策定済","✕",IF(M20="","？",IF(M20&lt;=$B$3,IF(O20="着手済","△","◎"),"✕"))))</f>
        <v/>
      </c>
      <c r="F20" s="7" t="inlineStr">
        <is>
          <t>益子町地域公共交通計画（R4.3策定）</t>
        </is>
      </c>
      <c r="G20" s="7" t="inlineStr">
        <is>
          <t>R4〜R8（推定）</t>
        </is>
      </c>
      <c r="H20" s="11" t="n">
        <v>8</v>
      </c>
      <c r="I20" s="9" t="inlineStr">
        <is>
          <t>推定</t>
        </is>
      </c>
      <c r="J20" s="9" t="inlineStr">
        <is>
          <t>未確認</t>
        </is>
      </c>
      <c r="K20" s="7" t="inlineStr">
        <is>
          <t>益子町第3次環境基本計画</t>
        </is>
      </c>
      <c r="L20" s="7" t="inlineStr">
        <is>
          <t>R5〜R14</t>
        </is>
      </c>
      <c r="M20" s="9" t="n">
        <v>14</v>
      </c>
      <c r="N20" s="9" t="inlineStr">
        <is>
          <t>確認済</t>
        </is>
      </c>
      <c r="O20" s="9" t="inlineStr">
        <is>
          <t>未確認</t>
        </is>
      </c>
      <c r="P20" s="7" t="inlineStr">
        <is>
          <t>交通：R8で終了とみられるが、次の計画の業務委託は見つからず。</t>
        </is>
      </c>
      <c r="Q20" s="10" t="inlineStr">
        <is>
          <t>https://www.town.mashiko.lg.jp/page/page003396.html</t>
        </is>
      </c>
      <c r="R20" s="10" t="inlineStr">
        <is>
          <t>https://www.town.mashiko.lg.jp/page/page000467.html</t>
        </is>
      </c>
    </row>
    <row r="21">
      <c r="A21" s="7" t="n">
        <v>17</v>
      </c>
      <c r="B21" s="7" t="inlineStr">
        <is>
          <t>茂木町</t>
        </is>
      </c>
      <c r="C21" s="8">
        <f>IF(OR(D21="◎",E21="◎"),"◎ 営業",IF(OR(D21="△",E21="△"),"△ 着手済・要確認",IF(OR(D21="？",E21="？"),"？ 期間要確認","✕ 対象外")))</f>
        <v/>
      </c>
      <c r="D21" s="9">
        <f>IF(J21="計画なし","－",IF(J21="策定済","✕",IF(H21="","？",IF(H21&lt;=$B$3,IF(J21="着手済","△","◎"),"✕"))))</f>
        <v/>
      </c>
      <c r="E21" s="9">
        <f>IF(O21="計画なし","－",IF(O21="策定済","✕",IF(M21="","？",IF(M21&lt;=$B$3,IF(O21="着手済","△","◎"),"✕"))))</f>
        <v/>
      </c>
      <c r="F21" s="7" t="inlineStr">
        <is>
          <t>茂木町地域公共交通計画</t>
        </is>
      </c>
      <c r="G21" s="7" t="inlineStr">
        <is>
          <t>不明</t>
        </is>
      </c>
      <c r="H21" s="9" t="n"/>
      <c r="I21" s="9" t="inlineStr">
        <is>
          <t>不明</t>
        </is>
      </c>
      <c r="J21" s="9" t="inlineStr">
        <is>
          <t>未確認</t>
        </is>
      </c>
      <c r="K21" s="7" t="inlineStr">
        <is>
          <t>（環境基本計画なし）区域施策編</t>
        </is>
      </c>
      <c r="L21" s="7" t="inlineStr">
        <is>
          <t>R6〜R12</t>
        </is>
      </c>
      <c r="M21" s="9" t="n">
        <v>12</v>
      </c>
      <c r="N21" s="9" t="inlineStr">
        <is>
          <t>確認済</t>
        </is>
      </c>
      <c r="O21" s="9" t="inlineStr">
        <is>
          <t>計画なし</t>
        </is>
      </c>
      <c r="P21" s="7" t="inlineStr">
        <is>
          <t>交通：期間を確認できず。</t>
        </is>
      </c>
      <c r="Q21" s="10" t="inlineStr">
        <is>
          <t>https://www.town.motegi.tochigi.jp/motegi/nextpage.php?cd=6374&amp;syurui=2</t>
        </is>
      </c>
      <c r="R21" s="10" t="inlineStr">
        <is>
          <t>https://www.town.motegi.tochigi.jp/motegi/nextpage.php?cd=7672&amp;syurui=2</t>
        </is>
      </c>
    </row>
    <row r="22">
      <c r="A22" s="7" t="n">
        <v>18</v>
      </c>
      <c r="B22" s="7" t="inlineStr">
        <is>
          <t>市貝町</t>
        </is>
      </c>
      <c r="C22" s="8">
        <f>IF(OR(D22="◎",E22="◎"),"◎ 営業",IF(OR(D22="△",E22="△"),"△ 着手済・要確認",IF(OR(D22="？",E22="？"),"？ 期間要確認","✕ 対象外")))</f>
        <v/>
      </c>
      <c r="D22" s="9">
        <f>IF(J22="計画なし","－",IF(J22="策定済","✕",IF(H22="","？",IF(H22&lt;=$B$3,IF(J22="着手済","△","◎"),"✕"))))</f>
        <v/>
      </c>
      <c r="E22" s="9">
        <f>IF(O22="計画なし","－",IF(O22="策定済","✕",IF(M22="","？",IF(M22&lt;=$B$3,IF(O22="着手済","△","◎"),"✕"))))</f>
        <v/>
      </c>
      <c r="F22" s="7" t="inlineStr">
        <is>
          <t>市貝町地域公共交通計画（R6.3頃策定）</t>
        </is>
      </c>
      <c r="G22" s="7" t="inlineStr">
        <is>
          <t>不明</t>
        </is>
      </c>
      <c r="H22" s="9" t="n"/>
      <c r="I22" s="9" t="inlineStr">
        <is>
          <t>不明</t>
        </is>
      </c>
      <c r="J22" s="9" t="inlineStr">
        <is>
          <t>未確認</t>
        </is>
      </c>
      <c r="K22" s="7" t="inlineStr">
        <is>
          <t>市貝町環境基本計画及び地球温暖化対策実行計画</t>
        </is>
      </c>
      <c r="L22" s="7" t="inlineStr">
        <is>
          <t>不明</t>
        </is>
      </c>
      <c r="M22" s="9" t="n"/>
      <c r="N22" s="9" t="inlineStr">
        <is>
          <t>不明</t>
        </is>
      </c>
      <c r="O22" s="9" t="inlineStr">
        <is>
          <t>未確認</t>
        </is>
      </c>
      <c r="P22" s="7" t="inlineStr">
        <is>
          <t>どちらも期間を確認できず。</t>
        </is>
      </c>
      <c r="Q22" s="10" t="inlineStr">
        <is>
          <t>https://www.town.ichikai.tochigi.jp/info/785</t>
        </is>
      </c>
      <c r="R22" s="10" t="inlineStr">
        <is>
          <t>https://www.town.ichikai.tochigi.jp/info/1814</t>
        </is>
      </c>
    </row>
    <row r="23">
      <c r="A23" s="7" t="n">
        <v>19</v>
      </c>
      <c r="B23" s="7" t="inlineStr">
        <is>
          <t>芳賀町</t>
        </is>
      </c>
      <c r="C23" s="8">
        <f>IF(OR(D23="◎",E23="◎"),"◎ 営業",IF(OR(D23="△",E23="△"),"△ 着手済・要確認",IF(OR(D23="？",E23="？"),"？ 期間要確認","✕ 対象外")))</f>
        <v/>
      </c>
      <c r="D23" s="9">
        <f>IF(J23="計画なし","－",IF(J23="策定済","✕",IF(H23="","？",IF(H23&lt;=$B$3,IF(J23="着手済","△","◎"),"✕"))))</f>
        <v/>
      </c>
      <c r="E23" s="9">
        <f>IF(O23="計画なし","－",IF(O23="策定済","✕",IF(M23="","？",IF(M23&lt;=$B$3,IF(O23="着手済","△","◎"),"✕"))))</f>
        <v/>
      </c>
      <c r="F23" s="7" t="inlineStr">
        <is>
          <t>芳賀・宇都宮地域公共交通計画（宇都宮市と共同）</t>
        </is>
      </c>
      <c r="G23" s="7" t="inlineStr">
        <is>
          <t>R6〜R15</t>
        </is>
      </c>
      <c r="H23" s="9" t="n">
        <v>15</v>
      </c>
      <c r="I23" s="9" t="inlineStr">
        <is>
          <t>確認済</t>
        </is>
      </c>
      <c r="J23" s="9" t="inlineStr">
        <is>
          <t>未確認</t>
        </is>
      </c>
      <c r="K23" s="7" t="inlineStr">
        <is>
          <t>（環境基本計画なし）2050カーボンニュートラル実現計画（R6.4）</t>
        </is>
      </c>
      <c r="L23" s="7" t="inlineStr">
        <is>
          <t>〜R12（2030目標）</t>
        </is>
      </c>
      <c r="M23" s="9" t="n"/>
      <c r="N23" s="9" t="inlineStr">
        <is>
          <t>不明</t>
        </is>
      </c>
      <c r="O23" s="9" t="inlineStr">
        <is>
          <t>計画なし</t>
        </is>
      </c>
      <c r="P23" s="7" t="inlineStr">
        <is>
          <t>交通はR15まで。環境基本計画はなし。</t>
        </is>
      </c>
      <c r="Q23" s="10" t="inlineStr">
        <is>
          <t>https://www.town.tochigi-haga.lg.jp/kurashi/sekatsu/kokyokotsu/koukyoukoutsuu/koukyoukoutsuu6.html</t>
        </is>
      </c>
      <c r="R23" s="10" t="inlineStr">
        <is>
          <t>https://www.town.tochigi-haga.lg.jp/kurashi/kurashi/ka-bonnyu-toraru/documents/jitugennkeikaku1.pdf</t>
        </is>
      </c>
    </row>
    <row r="24">
      <c r="A24" s="7" t="n">
        <v>20</v>
      </c>
      <c r="B24" s="7" t="inlineStr">
        <is>
          <t>壬生町</t>
        </is>
      </c>
      <c r="C24" s="8">
        <f>IF(OR(D24="◎",E24="◎"),"◎ 営業",IF(OR(D24="△",E24="△"),"△ 着手済・要確認",IF(OR(D24="？",E24="？"),"？ 期間要確認","✕ 対象外")))</f>
        <v/>
      </c>
      <c r="D24" s="9">
        <f>IF(J24="計画なし","－",IF(J24="策定済","✕",IF(H24="","？",IF(H24&lt;=$B$3,IF(J24="着手済","△","◎"),"✕"))))</f>
        <v/>
      </c>
      <c r="E24" s="9">
        <f>IF(O24="計画なし","－",IF(O24="策定済","✕",IF(M24="","？",IF(M24&lt;=$B$3,IF(O24="着手済","△","◎"),"✕"))))</f>
        <v/>
      </c>
      <c r="F24" s="7" t="inlineStr">
        <is>
          <t>壬生町地域公共交通計画</t>
        </is>
      </c>
      <c r="G24" s="7" t="inlineStr">
        <is>
          <t>R4〜R8</t>
        </is>
      </c>
      <c r="H24" s="9" t="n">
        <v>8</v>
      </c>
      <c r="I24" s="9" t="inlineStr">
        <is>
          <t>確認済</t>
        </is>
      </c>
      <c r="J24" s="9" t="inlineStr">
        <is>
          <t>着手済</t>
        </is>
      </c>
      <c r="K24" s="7" t="inlineStr">
        <is>
          <t>壬生町環境基本計画（温対・適応計画を兼ねる）</t>
        </is>
      </c>
      <c r="L24" s="7" t="inlineStr">
        <is>
          <t>R7〜R12</t>
        </is>
      </c>
      <c r="M24" s="9" t="n">
        <v>12</v>
      </c>
      <c r="N24" s="9" t="inlineStr">
        <is>
          <t>確認済</t>
        </is>
      </c>
      <c r="O24" s="9" t="inlineStr">
        <is>
          <t>策定済</t>
        </is>
      </c>
      <c r="P24" s="7" t="inlineStr">
        <is>
          <t>【改定作業中】交通：次期計画の策定業務委託の公募型プロポをR8.4.23に公告（事業者はR8.6に選定済）。</t>
        </is>
      </c>
      <c r="Q24" s="10" t="inlineStr">
        <is>
          <t>https://www.town.mibu.tochigi.jp/docs/2026042000042</t>
        </is>
      </c>
      <c r="R24" s="10" t="inlineStr">
        <is>
          <t>https://www.town.mibu.tochigi.jp/docs/2025032700030/file_contents/mibumachikankyokihonkeikaku.pdf</t>
        </is>
      </c>
    </row>
    <row r="25">
      <c r="A25" s="7" t="n">
        <v>21</v>
      </c>
      <c r="B25" s="7" t="inlineStr">
        <is>
          <t>野木町</t>
        </is>
      </c>
      <c r="C25" s="8">
        <f>IF(OR(D25="◎",E25="◎"),"◎ 営業",IF(OR(D25="△",E25="△"),"△ 着手済・要確認",IF(OR(D25="？",E25="？"),"？ 期間要確認","✕ 対象外")))</f>
        <v/>
      </c>
      <c r="D25" s="9">
        <f>IF(J25="計画なし","－",IF(J25="策定済","✕",IF(H25="","？",IF(H25&lt;=$B$3,IF(J25="着手済","△","◎"),"✕"))))</f>
        <v/>
      </c>
      <c r="E25" s="9">
        <f>IF(O25="計画なし","－",IF(O25="策定済","✕",IF(M25="","？",IF(M25&lt;=$B$3,IF(O25="着手済","△","◎"),"✕"))))</f>
        <v/>
      </c>
      <c r="F25" s="7" t="inlineStr">
        <is>
          <t>野木町地域公共交通計画</t>
        </is>
      </c>
      <c r="G25" s="7" t="inlineStr">
        <is>
          <t>R6〜R10</t>
        </is>
      </c>
      <c r="H25" s="11" t="n">
        <v>10</v>
      </c>
      <c r="I25" s="9" t="inlineStr">
        <is>
          <t>推定</t>
        </is>
      </c>
      <c r="J25" s="9" t="inlineStr">
        <is>
          <t>未確認</t>
        </is>
      </c>
      <c r="K25" s="7" t="inlineStr">
        <is>
          <t>（環境基本計画なし）区域施策編</t>
        </is>
      </c>
      <c r="L25" s="7" t="inlineStr">
        <is>
          <t>不明</t>
        </is>
      </c>
      <c r="M25" s="9" t="n"/>
      <c r="N25" s="9" t="inlineStr">
        <is>
          <t>不明</t>
        </is>
      </c>
      <c r="O25" s="9" t="inlineStr">
        <is>
          <t>計画なし</t>
        </is>
      </c>
      <c r="P25" s="7" t="inlineStr">
        <is>
          <t>交通はR10まで（検索結果1件のみで確度は中程度）。</t>
        </is>
      </c>
      <c r="Q25" s="10" t="inlineStr">
        <is>
          <t>https://www.town.nogi.lg.jp/cyousei/cyousei_jyouhou/keikaku/keikaku_toshiseibi/page005745.html</t>
        </is>
      </c>
      <c r="R25" s="10" t="inlineStr">
        <is>
          <t>https://www.town.nogi.lg.jp/kurashi/kankyou/ondanka/hojo/</t>
        </is>
      </c>
    </row>
    <row r="26">
      <c r="A26" s="7" t="n">
        <v>22</v>
      </c>
      <c r="B26" s="7" t="inlineStr">
        <is>
          <t>塩谷町</t>
        </is>
      </c>
      <c r="C26" s="8">
        <f>IF(OR(D26="◎",E26="◎"),"◎ 営業",IF(OR(D26="△",E26="△"),"△ 着手済・要確認",IF(OR(D26="？",E26="？"),"？ 期間要確認","✕ 対象外")))</f>
        <v/>
      </c>
      <c r="D26" s="9">
        <f>IF(J26="計画なし","－",IF(J26="策定済","✕",IF(H26="","？",IF(H26&lt;=$B$3,IF(J26="着手済","△","◎"),"✕"))))</f>
        <v/>
      </c>
      <c r="E26" s="9">
        <f>IF(O26="計画なし","－",IF(O26="策定済","✕",IF(M26="","？",IF(M26&lt;=$B$3,IF(O26="着手済","△","◎"),"✕"))))</f>
        <v/>
      </c>
      <c r="F26" s="7" t="inlineStr">
        <is>
          <t>塩谷町地域公共交通計画</t>
        </is>
      </c>
      <c r="G26" s="7" t="inlineStr">
        <is>
          <t>不明</t>
        </is>
      </c>
      <c r="H26" s="9" t="n"/>
      <c r="I26" s="9" t="inlineStr">
        <is>
          <t>不明</t>
        </is>
      </c>
      <c r="J26" s="9" t="inlineStr">
        <is>
          <t>未確認</t>
        </is>
      </c>
      <c r="K26" s="7" t="inlineStr">
        <is>
          <t>（環境基本計画なし）区域施策編（R7.3改定）</t>
        </is>
      </c>
      <c r="L26" s="7" t="inlineStr">
        <is>
          <t>不明</t>
        </is>
      </c>
      <c r="M26" s="9" t="n"/>
      <c r="N26" s="9" t="inlineStr">
        <is>
          <t>不明</t>
        </is>
      </c>
      <c r="O26" s="9" t="inlineStr">
        <is>
          <t>計画なし</t>
        </is>
      </c>
      <c r="P26" s="7" t="inlineStr">
        <is>
          <t>交通：R7に「地域公共交通事業支援業務」のプロポあり（約1,240万円）。計画改定を含むかは要確認。</t>
        </is>
      </c>
      <c r="Q26" s="10" t="inlineStr">
        <is>
          <t>https://www.town.shioya.tochigi.jp/info/2531</t>
        </is>
      </c>
      <c r="R26" s="10" t="inlineStr">
        <is>
          <t>https://www.town.shioya.tochigi.jp/info/2490</t>
        </is>
      </c>
    </row>
    <row r="27">
      <c r="A27" s="7" t="n">
        <v>23</v>
      </c>
      <c r="B27" s="7" t="inlineStr">
        <is>
          <t>高根沢町</t>
        </is>
      </c>
      <c r="C27" s="8">
        <f>IF(OR(D27="◎",E27="◎"),"◎ 営業",IF(OR(D27="△",E27="△"),"△ 着手済・要確認",IF(OR(D27="？",E27="？"),"？ 期間要確認","✕ 対象外")))</f>
        <v/>
      </c>
      <c r="D27" s="9">
        <f>IF(J27="計画なし","－",IF(J27="策定済","✕",IF(H27="","？",IF(H27&lt;=$B$3,IF(J27="着手済","△","◎"),"✕"))))</f>
        <v/>
      </c>
      <c r="E27" s="9">
        <f>IF(O27="計画なし","－",IF(O27="策定済","✕",IF(M27="","？",IF(M27&lt;=$B$3,IF(O27="着手済","△","◎"),"✕"))))</f>
        <v/>
      </c>
      <c r="F27" s="7" t="inlineStr">
        <is>
          <t>高根沢町地域公共交通計画</t>
        </is>
      </c>
      <c r="G27" s="7" t="inlineStr">
        <is>
          <t>R8〜R12</t>
        </is>
      </c>
      <c r="H27" s="9" t="n">
        <v>12</v>
      </c>
      <c r="I27" s="9" t="inlineStr">
        <is>
          <t>確認済</t>
        </is>
      </c>
      <c r="J27" s="9" t="inlineStr">
        <is>
          <t>策定済</t>
        </is>
      </c>
      <c r="K27" s="7" t="inlineStr">
        <is>
          <t>高根沢町環境基本計画2026</t>
        </is>
      </c>
      <c r="L27" s="7" t="inlineStr">
        <is>
          <t>R8〜R17</t>
        </is>
      </c>
      <c r="M27" s="9" t="n">
        <v>17</v>
      </c>
      <c r="N27" s="9" t="inlineStr">
        <is>
          <t>確認済</t>
        </is>
      </c>
      <c r="O27" s="9" t="inlineStr">
        <is>
          <t>策定済</t>
        </is>
      </c>
      <c r="P27" s="7" t="inlineStr">
        <is>
          <t>交通・環境とも新計画をR8策定済。</t>
        </is>
      </c>
      <c r="Q27" s="10" t="inlineStr">
        <is>
          <t>https://www.town.takanezawa.tochigi.jp/gyosei/plan/bunya/documents/202604koutsukeikaku.pdf</t>
        </is>
      </c>
      <c r="R27" s="10" t="inlineStr">
        <is>
          <t>https://www.town.takanezawa.tochigi.jp/life/kankyo/keikaku/documents/kankyoukihon2026gaiyou.pdf</t>
        </is>
      </c>
    </row>
    <row r="28">
      <c r="A28" s="7" t="n">
        <v>24</v>
      </c>
      <c r="B28" s="7" t="inlineStr">
        <is>
          <t>那須町</t>
        </is>
      </c>
      <c r="C28" s="8">
        <f>IF(OR(D28="◎",E28="◎"),"◎ 営業",IF(OR(D28="△",E28="△"),"△ 着手済・要確認",IF(OR(D28="？",E28="？"),"？ 期間要確認","✕ 対象外")))</f>
        <v/>
      </c>
      <c r="D28" s="9">
        <f>IF(J28="計画なし","－",IF(J28="策定済","✕",IF(H28="","？",IF(H28&lt;=$B$3,IF(J28="着手済","△","◎"),"✕"))))</f>
        <v/>
      </c>
      <c r="E28" s="9">
        <f>IF(O28="計画なし","－",IF(O28="策定済","✕",IF(M28="","？",IF(M28&lt;=$B$3,IF(O28="着手済","△","◎"),"✕"))))</f>
        <v/>
      </c>
      <c r="F28" s="7" t="inlineStr">
        <is>
          <t>那須町地域公共交通計画／那須地域定住自立圏計画</t>
        </is>
      </c>
      <c r="G28" s="7" t="inlineStr">
        <is>
          <t>R4〜R9</t>
        </is>
      </c>
      <c r="H28" s="9" t="n">
        <v>9</v>
      </c>
      <c r="I28" s="9" t="inlineStr">
        <is>
          <t>確認済</t>
        </is>
      </c>
      <c r="J28" s="9" t="inlineStr">
        <is>
          <t>未確認</t>
        </is>
      </c>
      <c r="K28" s="7" t="inlineStr">
        <is>
          <t>第3次那須町環境基本計画</t>
        </is>
      </c>
      <c r="L28" s="7" t="inlineStr">
        <is>
          <t>R8〜R17</t>
        </is>
      </c>
      <c r="M28" s="9" t="n">
        <v>17</v>
      </c>
      <c r="N28" s="9" t="inlineStr">
        <is>
          <t>確認済</t>
        </is>
      </c>
      <c r="O28" s="9" t="inlineStr">
        <is>
          <t>策定済</t>
        </is>
      </c>
      <c r="P28" s="7" t="inlineStr">
        <is>
          <t>交通：次期計画の業務委託は見つからず。環境：第3次をR8策定済。</t>
        </is>
      </c>
      <c r="Q28" s="10" t="inlineStr">
        <is>
          <t>https://www.town.nasu.lg.jp/manage/contents/upload/6243b2b07f368.pdf</t>
        </is>
      </c>
      <c r="R28" s="10" t="inlineStr">
        <is>
          <t>http://www.town.nasu.lg.jp/0076/info-0000004347-1.html</t>
        </is>
      </c>
    </row>
    <row r="29">
      <c r="A29" s="7" t="n">
        <v>25</v>
      </c>
      <c r="B29" s="7" t="inlineStr">
        <is>
          <t>那珂川町</t>
        </is>
      </c>
      <c r="C29" s="8">
        <f>IF(OR(D29="◎",E29="◎"),"◎ 営業",IF(OR(D29="△",E29="△"),"△ 着手済・要確認",IF(OR(D29="？",E29="？"),"？ 期間要確認","✕ 対象外")))</f>
        <v/>
      </c>
      <c r="D29" s="9">
        <f>IF(J29="計画なし","－",IF(J29="策定済","✕",IF(H29="","？",IF(H29&lt;=$B$3,IF(J29="着手済","△","◎"),"✕"))))</f>
        <v/>
      </c>
      <c r="E29" s="9">
        <f>IF(O29="計画なし","－",IF(O29="策定済","✕",IF(M29="","？",IF(M29&lt;=$B$3,IF(O29="着手済","△","◎"),"✕"))))</f>
        <v/>
      </c>
      <c r="F29" s="7" t="inlineStr">
        <is>
          <t>那須地域定住自立圏地域公共交通計画＋町計画（R5.3策定）</t>
        </is>
      </c>
      <c r="G29" s="7" t="inlineStr">
        <is>
          <t>R5〜R9（定住自立圏）</t>
        </is>
      </c>
      <c r="H29" s="9" t="n">
        <v>9</v>
      </c>
      <c r="I29" s="9" t="inlineStr">
        <is>
          <t>確認済</t>
        </is>
      </c>
      <c r="J29" s="9" t="inlineStr">
        <is>
          <t>未確認</t>
        </is>
      </c>
      <c r="K29" s="7" t="inlineStr">
        <is>
          <t>第2次那珂川町環境基本計画（後期計画）</t>
        </is>
      </c>
      <c r="L29" s="7" t="inlineStr">
        <is>
          <t>不明</t>
        </is>
      </c>
      <c r="M29" s="9" t="n"/>
      <c r="N29" s="9" t="inlineStr">
        <is>
          <t>不明</t>
        </is>
      </c>
      <c r="O29" s="9" t="inlineStr">
        <is>
          <t>未確認</t>
        </is>
      </c>
      <c r="P29" s="7" t="inlineStr">
        <is>
          <t>交通：定住自立圏計画はR9で終了。町計画の期間は不明。環境：期間を確認できず。</t>
        </is>
      </c>
      <c r="Q29" s="10" t="inlineStr">
        <is>
          <t>https://www.city.nasushiobara.tochigi.jp/soshikikarasagasu/kb/shinoseisakutokeikaku/1/5504.html</t>
        </is>
      </c>
      <c r="R29" s="10" t="inlineStr">
        <is>
          <t>https://www.town.tochigi-nakagawa.lg.jp/35kankyo/01keikaku/index.html</t>
        </is>
      </c>
    </row>
    <row r="31">
      <c r="B31" s="3" t="inlineStr">
        <is>
          <t>集計</t>
        </is>
      </c>
    </row>
    <row r="32">
      <c r="B32" s="12" t="inlineStr">
        <is>
          <t>◎ 営業</t>
        </is>
      </c>
      <c r="C32" s="12">
        <f>COUNTIF($C$5:$C$29,B32)</f>
        <v/>
      </c>
    </row>
    <row r="33">
      <c r="B33" s="12" t="inlineStr">
        <is>
          <t>△ 着手済・要確認</t>
        </is>
      </c>
      <c r="C33" s="12">
        <f>COUNTIF($C$5:$C$29,B33)</f>
        <v/>
      </c>
    </row>
    <row r="34">
      <c r="B34" s="12" t="inlineStr">
        <is>
          <t>？ 期間要確認</t>
        </is>
      </c>
      <c r="C34" s="12">
        <f>COUNTIF($C$5:$C$29,B34)</f>
        <v/>
      </c>
    </row>
    <row r="35">
      <c r="B35" s="12" t="inlineStr">
        <is>
          <t>✕ 対象外</t>
        </is>
      </c>
      <c r="C35" s="12">
        <f>COUNTIF($C$5:$C$29,B35)</f>
        <v/>
      </c>
    </row>
  </sheetData>
  <autoFilter ref="A4:R29"/>
  <conditionalFormatting sqref="A5:R29">
    <cfRule type="expression" priority="1" dxfId="0">
      <formula>LEFT($C5,1)="◎"</formula>
    </cfRule>
    <cfRule type="expression" priority="2" dxfId="1">
      <formula>LEFT($C5,1)="△"</formula>
    </cfRule>
    <cfRule type="expression" priority="3" dxfId="2">
      <formula>LEFT($C5,1)="？"</formula>
    </cfRule>
    <cfRule type="expression" priority="4" dxfId="3">
      <formula>LEFT($C5,1)="✕"</formula>
    </cfRule>
  </conditionalFormatting>
  <dataValidations count="1">
    <dataValidation sqref="J5:J29 O5:O29" showDropDown="0" showInputMessage="0" showErrorMessage="0" allowBlank="1" type="list">
      <formula1>"未確認,着手済,策定済,計画なし"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Q6" r:id="rId3"/>
    <hyperlink xmlns:r="http://schemas.openxmlformats.org/officeDocument/2006/relationships" ref="R6" r:id="rId4"/>
    <hyperlink xmlns:r="http://schemas.openxmlformats.org/officeDocument/2006/relationships" ref="Q7" r:id="rId5"/>
    <hyperlink xmlns:r="http://schemas.openxmlformats.org/officeDocument/2006/relationships" ref="R7" r:id="rId6"/>
    <hyperlink xmlns:r="http://schemas.openxmlformats.org/officeDocument/2006/relationships" ref="Q8" r:id="rId7"/>
    <hyperlink xmlns:r="http://schemas.openxmlformats.org/officeDocument/2006/relationships" ref="R8" r:id="rId8"/>
    <hyperlink xmlns:r="http://schemas.openxmlformats.org/officeDocument/2006/relationships" ref="Q9" r:id="rId9"/>
    <hyperlink xmlns:r="http://schemas.openxmlformats.org/officeDocument/2006/relationships" ref="R9" r:id="rId10"/>
    <hyperlink xmlns:r="http://schemas.openxmlformats.org/officeDocument/2006/relationships" ref="Q10" r:id="rId11"/>
    <hyperlink xmlns:r="http://schemas.openxmlformats.org/officeDocument/2006/relationships" ref="R10" r:id="rId12"/>
    <hyperlink xmlns:r="http://schemas.openxmlformats.org/officeDocument/2006/relationships" ref="Q11" r:id="rId13"/>
    <hyperlink xmlns:r="http://schemas.openxmlformats.org/officeDocument/2006/relationships" ref="R11" r:id="rId14"/>
    <hyperlink xmlns:r="http://schemas.openxmlformats.org/officeDocument/2006/relationships" ref="Q12" r:id="rId15"/>
    <hyperlink xmlns:r="http://schemas.openxmlformats.org/officeDocument/2006/relationships" ref="R12" r:id="rId16"/>
    <hyperlink xmlns:r="http://schemas.openxmlformats.org/officeDocument/2006/relationships" ref="Q13" r:id="rId17"/>
    <hyperlink xmlns:r="http://schemas.openxmlformats.org/officeDocument/2006/relationships" ref="R13" r:id="rId18"/>
    <hyperlink xmlns:r="http://schemas.openxmlformats.org/officeDocument/2006/relationships" ref="Q14" r:id="rId19"/>
    <hyperlink xmlns:r="http://schemas.openxmlformats.org/officeDocument/2006/relationships" ref="R14" r:id="rId20"/>
    <hyperlink xmlns:r="http://schemas.openxmlformats.org/officeDocument/2006/relationships" ref="Q15" r:id="rId21"/>
    <hyperlink xmlns:r="http://schemas.openxmlformats.org/officeDocument/2006/relationships" ref="R15" r:id="rId22"/>
    <hyperlink xmlns:r="http://schemas.openxmlformats.org/officeDocument/2006/relationships" ref="Q16" r:id="rId23"/>
    <hyperlink xmlns:r="http://schemas.openxmlformats.org/officeDocument/2006/relationships" ref="R16" r:id="rId24"/>
    <hyperlink xmlns:r="http://schemas.openxmlformats.org/officeDocument/2006/relationships" ref="Q17" r:id="rId25"/>
    <hyperlink xmlns:r="http://schemas.openxmlformats.org/officeDocument/2006/relationships" ref="R17" r:id="rId26"/>
    <hyperlink xmlns:r="http://schemas.openxmlformats.org/officeDocument/2006/relationships" ref="Q18" r:id="rId27"/>
    <hyperlink xmlns:r="http://schemas.openxmlformats.org/officeDocument/2006/relationships" ref="R18" r:id="rId28"/>
    <hyperlink xmlns:r="http://schemas.openxmlformats.org/officeDocument/2006/relationships" ref="Q19" r:id="rId29"/>
    <hyperlink xmlns:r="http://schemas.openxmlformats.org/officeDocument/2006/relationships" ref="R19" r:id="rId30"/>
    <hyperlink xmlns:r="http://schemas.openxmlformats.org/officeDocument/2006/relationships" ref="Q20" r:id="rId31"/>
    <hyperlink xmlns:r="http://schemas.openxmlformats.org/officeDocument/2006/relationships" ref="R20" r:id="rId32"/>
    <hyperlink xmlns:r="http://schemas.openxmlformats.org/officeDocument/2006/relationships" ref="Q21" r:id="rId33"/>
    <hyperlink xmlns:r="http://schemas.openxmlformats.org/officeDocument/2006/relationships" ref="R21" r:id="rId34"/>
    <hyperlink xmlns:r="http://schemas.openxmlformats.org/officeDocument/2006/relationships" ref="Q22" r:id="rId35"/>
    <hyperlink xmlns:r="http://schemas.openxmlformats.org/officeDocument/2006/relationships" ref="R22" r:id="rId36"/>
    <hyperlink xmlns:r="http://schemas.openxmlformats.org/officeDocument/2006/relationships" ref="Q23" r:id="rId37"/>
    <hyperlink xmlns:r="http://schemas.openxmlformats.org/officeDocument/2006/relationships" ref="R23" r:id="rId38"/>
    <hyperlink xmlns:r="http://schemas.openxmlformats.org/officeDocument/2006/relationships" ref="Q24" r:id="rId39"/>
    <hyperlink xmlns:r="http://schemas.openxmlformats.org/officeDocument/2006/relationships" ref="R24" r:id="rId40"/>
    <hyperlink xmlns:r="http://schemas.openxmlformats.org/officeDocument/2006/relationships" ref="Q25" r:id="rId41"/>
    <hyperlink xmlns:r="http://schemas.openxmlformats.org/officeDocument/2006/relationships" ref="R25" r:id="rId42"/>
    <hyperlink xmlns:r="http://schemas.openxmlformats.org/officeDocument/2006/relationships" ref="Q26" r:id="rId43"/>
    <hyperlink xmlns:r="http://schemas.openxmlformats.org/officeDocument/2006/relationships" ref="R26" r:id="rId44"/>
    <hyperlink xmlns:r="http://schemas.openxmlformats.org/officeDocument/2006/relationships" ref="Q27" r:id="rId45"/>
    <hyperlink xmlns:r="http://schemas.openxmlformats.org/officeDocument/2006/relationships" ref="R27" r:id="rId46"/>
    <hyperlink xmlns:r="http://schemas.openxmlformats.org/officeDocument/2006/relationships" ref="Q28" r:id="rId47"/>
    <hyperlink xmlns:r="http://schemas.openxmlformats.org/officeDocument/2006/relationships" ref="R28" r:id="rId48"/>
    <hyperlink xmlns:r="http://schemas.openxmlformats.org/officeDocument/2006/relationships" ref="Q29" r:id="rId49"/>
    <hyperlink xmlns:r="http://schemas.openxmlformats.org/officeDocument/2006/relationships" ref="R29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凡例・注意</t>
        </is>
      </c>
    </row>
    <row r="2">
      <c r="A2" s="14" t="inlineStr"/>
    </row>
    <row r="3">
      <c r="A3" s="15" t="inlineStr">
        <is>
          <t>■ 営業判定（C列は自動で計算されます）</t>
        </is>
      </c>
    </row>
    <row r="4">
      <c r="A4" s="14" t="inlineStr">
        <is>
          <t>◎ 営業：どちらかの計画の終期が基準年度（一覧シートB3、初期値はR9）以内で、次の計画の作業は見つかっていない</t>
        </is>
      </c>
    </row>
    <row r="5">
      <c r="A5" s="14" t="inlineStr">
        <is>
          <t>△ 着手済・要確認：終期は基準以内だが、次期計画の策定業務委託やパブコメをすでに確認済。委託先が決まっている可能性が高い</t>
        </is>
      </c>
    </row>
    <row r="6">
      <c r="A6" s="14" t="inlineStr">
        <is>
          <t>？ 期間要確認：終期がわからないため判定できない。直接の確認が必要</t>
        </is>
      </c>
    </row>
    <row r="7">
      <c r="A7" s="14" t="inlineStr">
        <is>
          <t>✕ 対象外：どちらの計画も終期が基準より先、または新計画を策定済</t>
        </is>
      </c>
    </row>
    <row r="8">
      <c r="A8" s="14" t="inlineStr">
        <is>
          <t>－：環境基本計画がない（区域施策編などで代わりにしている町）</t>
        </is>
      </c>
    </row>
    <row r="9">
      <c r="A9" s="14" t="inlineStr"/>
    </row>
    <row r="10">
      <c r="A10" s="15" t="inlineStr">
        <is>
          <t>■ 入力する列</t>
        </is>
      </c>
    </row>
    <row r="11">
      <c r="A11" s="14" t="inlineStr">
        <is>
          <t>交通・環境の「終期(令和年度)」（H・M列）と「改定状況」（J・O列：未確認／着手済／策定済／計画なし）を直すと、判定が自動で変わります。</t>
        </is>
      </c>
    </row>
    <row r="12">
      <c r="A12" s="14" t="inlineStr">
        <is>
          <t>「未確認」は、改定の動きが検索で見つからなかったという意味です。動きがないと確かめたわけではありません。</t>
        </is>
      </c>
    </row>
    <row r="13">
      <c r="A13" s="14" t="inlineStr"/>
    </row>
    <row r="14">
      <c r="A14" s="15" t="inlineStr">
        <is>
          <t>■ 確度</t>
        </is>
      </c>
    </row>
    <row r="15">
      <c r="A15" s="14" t="inlineStr">
        <is>
          <t>確認済：検索結果の本文に期間が書かれていたもの。推定：策定時期などから推測したもの（終期のセルは茶色の斜体）。不明：確認できなかったもの。</t>
        </is>
      </c>
    </row>
    <row r="16">
      <c r="A16" s="14" t="inlineStr"/>
    </row>
    <row r="17">
      <c r="A17" s="15" t="inlineStr">
        <is>
          <t>■ 調査の方法と限界</t>
        </is>
      </c>
    </row>
    <row r="18">
      <c r="A18" s="14" t="inlineStr">
        <is>
          <t>2026年9月30日時点でWeb検索して調べました。自治体サイトやPDFを直接開けない環境だったため、期間は検索結果の本文・要約から取っています。</t>
        </is>
      </c>
    </row>
    <row r="19">
      <c r="A19" s="14" t="inlineStr">
        <is>
          <t>営業に行く前に、出典URLの計画書で計画期間を確かめてください。特に「推定」「不明」の行は必ず確認してください。</t>
        </is>
      </c>
    </row>
    <row r="20">
      <c r="A20" s="14" t="inlineStr"/>
    </row>
    <row r="21">
      <c r="A21" s="15" t="inlineStr">
        <is>
          <t>■ 優先して確認したいこと</t>
        </is>
      </c>
    </row>
    <row r="22">
      <c r="A22" s="14" t="inlineStr">
        <is>
          <t>鹿沼市：第5次環境基本計画がR8（今年度）で終わるのに、第6次の動きが見つからない。延長の可能性もあるので環境課に確認を。</t>
        </is>
      </c>
    </row>
    <row r="23">
      <c r="A23" s="14" t="inlineStr">
        <is>
          <t>さくら市：第2次環境基本計画がR9で終了。次期計画の業務はまだ見つからない。</t>
        </is>
      </c>
    </row>
    <row r="24">
      <c r="A24" s="14" t="inlineStr">
        <is>
          <t>益子町・那須烏山市：交通計画の終期（R8・R7と推定）と次の計画の状況を確認。</t>
        </is>
      </c>
    </row>
    <row r="25">
      <c r="A25" s="14" t="inlineStr">
        <is>
          <t>大田原市・壬生町・小山市：交通計画の次期作業にすでに着手済（委託先は選定済）。</t>
        </is>
      </c>
    </row>
    <row r="26">
      <c r="A26" s="14" t="inlineStr">
        <is>
          <t>那須塩原市：環境基本計画の終期をR12へ延ばす改定版の最終策定を確認。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2026-09-30T08:59:56Z</dcterms:created>
  <dcterms:modified xsi:type="dcterms:W3CDTF">2026-09-30T08:59:56Z</dcterms:modified>
</cp:coreProperties>
</file>